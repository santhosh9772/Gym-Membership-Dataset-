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drawings/drawing4.xml" ContentType="application/vnd.openxmlformats-officedocument.drawingml.chartshapes+xml"/>
  <Override PartName="/xl/drawings/drawing5.xml" ContentType="application/vnd.openxmlformats-officedocument.drawingml.chartshapes+xml"/>
  <Override PartName="/xl/drawings/drawing6.xml" ContentType="application/vnd.openxmlformats-officedocument.drawingml.chartshap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activeTab="3"/>
  </bookViews>
  <sheets>
    <sheet name="Raw Gym Membership Dataset" sheetId="1" r:id="rId1"/>
    <sheet name="Gym Membership Dataset" sheetId="2" r:id="rId2"/>
    <sheet name="Pivot Table" sheetId="4" r:id="rId3"/>
    <sheet name="Dashboard" sheetId="5" r:id="rId4"/>
  </sheets>
  <definedNames>
    <definedName name="Slicer_days_per_week">#N/A</definedName>
    <definedName name="Slicer_abonoment_type">#N/A</definedName>
    <definedName name="Slicer_age_group">#N/A</definedName>
    <definedName name="Slicer_gender">#N/A</definedName>
    <definedName name="Slicer_personal_training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<sst xmlns="http://schemas.openxmlformats.org/spreadsheetml/2006/main" count="10161" uniqueCount="1372">
  <si>
    <t>id</t>
  </si>
  <si>
    <t>first_name</t>
  </si>
  <si>
    <t>gender</t>
  </si>
  <si>
    <t>birthday</t>
  </si>
  <si>
    <t>Age</t>
  </si>
  <si>
    <t>abonoment_type</t>
  </si>
  <si>
    <t>visit_per_week</t>
  </si>
  <si>
    <t>days_per_week</t>
  </si>
  <si>
    <t>attend_group_lesson</t>
  </si>
  <si>
    <t>fav_group_lesson</t>
  </si>
  <si>
    <t>avg_time_check_in</t>
  </si>
  <si>
    <t>avg_time_check_out</t>
  </si>
  <si>
    <t>avg_time_in_gym</t>
  </si>
  <si>
    <t>personal_training</t>
  </si>
  <si>
    <t>name_personal_trainer</t>
  </si>
  <si>
    <t>Fey</t>
  </si>
  <si>
    <t>Female</t>
  </si>
  <si>
    <t>Premium</t>
  </si>
  <si>
    <t>Mon, Sat, Tue, Wed</t>
  </si>
  <si>
    <t>Kickboxen</t>
  </si>
  <si>
    <t>Doralin</t>
  </si>
  <si>
    <t>Standard</t>
  </si>
  <si>
    <t>Fri, Sat, Sun</t>
  </si>
  <si>
    <t>Chantal</t>
  </si>
  <si>
    <t>Linc</t>
  </si>
  <si>
    <t>Male</t>
  </si>
  <si>
    <t>Sun</t>
  </si>
  <si>
    <t>XCore, Spinning, LesMiles</t>
  </si>
  <si>
    <t>Mike</t>
  </si>
  <si>
    <t>Darren</t>
  </si>
  <si>
    <t>Fri, Sat, Tue</t>
  </si>
  <si>
    <t>Petr</t>
  </si>
  <si>
    <t>Thu, Tue</t>
  </si>
  <si>
    <t>Running, BodyBalance</t>
  </si>
  <si>
    <t>Alvera</t>
  </si>
  <si>
    <t>Tue</t>
  </si>
  <si>
    <t>Anson</t>
  </si>
  <si>
    <t>Mon, Sat, Sun</t>
  </si>
  <si>
    <t>LesMiles, XCore</t>
  </si>
  <si>
    <t>Uriah</t>
  </si>
  <si>
    <t>Sat, Sun</t>
  </si>
  <si>
    <t>Yoga, BodyPump, Running</t>
  </si>
  <si>
    <t>Borden</t>
  </si>
  <si>
    <t>Mon, Tue, Wed</t>
  </si>
  <si>
    <t>BodyPump</t>
  </si>
  <si>
    <t>Abbye</t>
  </si>
  <si>
    <t>Mon</t>
  </si>
  <si>
    <t>Jeffrey</t>
  </si>
  <si>
    <t>Conrade</t>
  </si>
  <si>
    <t>Thu</t>
  </si>
  <si>
    <t>Hanna</t>
  </si>
  <si>
    <t>Ely</t>
  </si>
  <si>
    <t>Mon, Sat, Tue</t>
  </si>
  <si>
    <t>Pilates, LesMiles, Kickboxen</t>
  </si>
  <si>
    <t>Celine</t>
  </si>
  <si>
    <t>Sun, Wed</t>
  </si>
  <si>
    <t>Alie</t>
  </si>
  <si>
    <t>Mon, Sun, Wed</t>
  </si>
  <si>
    <t>Charmine</t>
  </si>
  <si>
    <t>Sat</t>
  </si>
  <si>
    <t>Katya</t>
  </si>
  <si>
    <t>Mon, Sat, Sun, Wed</t>
  </si>
  <si>
    <t>Spinning, LesMiles</t>
  </si>
  <si>
    <t>Chaddie</t>
  </si>
  <si>
    <t>Trixy</t>
  </si>
  <si>
    <t>Sun, Thu, Wed</t>
  </si>
  <si>
    <t>Janene</t>
  </si>
  <si>
    <t>Pilates</t>
  </si>
  <si>
    <t>Abe</t>
  </si>
  <si>
    <t>Sat, Wed</t>
  </si>
  <si>
    <t>BodyPump, BodyBalance</t>
  </si>
  <si>
    <t>Biddie</t>
  </si>
  <si>
    <t>Sat, Thu</t>
  </si>
  <si>
    <t>Jamey</t>
  </si>
  <si>
    <t>Fri, Mon, Sun</t>
  </si>
  <si>
    <t>Yoga, Pilates, Spinning</t>
  </si>
  <si>
    <t>Kimberlee</t>
  </si>
  <si>
    <t>HIT, Running, Spinning</t>
  </si>
  <si>
    <t>Mar</t>
  </si>
  <si>
    <t>Fri, Mon, Sat</t>
  </si>
  <si>
    <t>Bernardina</t>
  </si>
  <si>
    <t>Fri</t>
  </si>
  <si>
    <t>Hew</t>
  </si>
  <si>
    <t>BodyBalance</t>
  </si>
  <si>
    <t>Kenon</t>
  </si>
  <si>
    <t>Mon, Thu, Tue</t>
  </si>
  <si>
    <t>Zumba, HIT, Yoga</t>
  </si>
  <si>
    <t>Wat</t>
  </si>
  <si>
    <t>Fri, Mon, Sat, Thu, Wed</t>
  </si>
  <si>
    <t>BodyBalance, Running</t>
  </si>
  <si>
    <t>Kandy</t>
  </si>
  <si>
    <t>Nissa</t>
  </si>
  <si>
    <t>Fri, Mon, Wed</t>
  </si>
  <si>
    <t>Spinning</t>
  </si>
  <si>
    <t>Keith</t>
  </si>
  <si>
    <t>Nataniel</t>
  </si>
  <si>
    <t>Fri, Mon, Sat, Sun, Wed</t>
  </si>
  <si>
    <t>Hestia</t>
  </si>
  <si>
    <t>Fri, Mon, Thu</t>
  </si>
  <si>
    <t>LesMiles, Zumba, Yoga</t>
  </si>
  <si>
    <t>Trudi</t>
  </si>
  <si>
    <t>Fri, Sat</t>
  </si>
  <si>
    <t>XCore, BodyPump, LesMiles</t>
  </si>
  <si>
    <t>Alf</t>
  </si>
  <si>
    <t>Fri, Sat, Thu, Tue, Wed</t>
  </si>
  <si>
    <t>Morie</t>
  </si>
  <si>
    <t>Mon, Sun, Thu</t>
  </si>
  <si>
    <t>XCore</t>
  </si>
  <si>
    <t>Shelby</t>
  </si>
  <si>
    <t>Fri, Mon, Sun, Tue, Wed</t>
  </si>
  <si>
    <t>Sibella</t>
  </si>
  <si>
    <t>Mon, Sat</t>
  </si>
  <si>
    <t>Hercules</t>
  </si>
  <si>
    <t>Kara</t>
  </si>
  <si>
    <t>LesMiles</t>
  </si>
  <si>
    <t>Samantha</t>
  </si>
  <si>
    <t>Sat, Thu, Wed</t>
  </si>
  <si>
    <t>Bambie</t>
  </si>
  <si>
    <t>Nicol</t>
  </si>
  <si>
    <t>Elizabet</t>
  </si>
  <si>
    <t>Sigismond</t>
  </si>
  <si>
    <t>Fri, Wed</t>
  </si>
  <si>
    <t>Aridatha</t>
  </si>
  <si>
    <t>Fri, Mon, Thu, Tue</t>
  </si>
  <si>
    <t>Spinning, Pilates</t>
  </si>
  <si>
    <t>Sigfrid</t>
  </si>
  <si>
    <t>Dick</t>
  </si>
  <si>
    <t>Fri, Sun, Thu, Tue, Wed</t>
  </si>
  <si>
    <t>Yoga, Zumba, Running</t>
  </si>
  <si>
    <t>Anette</t>
  </si>
  <si>
    <t>Mon, Thu, Wed</t>
  </si>
  <si>
    <t>Yoga, LesMiles</t>
  </si>
  <si>
    <t>Nora</t>
  </si>
  <si>
    <t>Sun, Tue</t>
  </si>
  <si>
    <t>BodyPump, HIT</t>
  </si>
  <si>
    <t>Maximilianus</t>
  </si>
  <si>
    <t>Fri, Sun, Wed</t>
  </si>
  <si>
    <t>Nathanil</t>
  </si>
  <si>
    <t>Fri, Tue</t>
  </si>
  <si>
    <t>BodyPump, XCore</t>
  </si>
  <si>
    <t>Jada</t>
  </si>
  <si>
    <t>BodyBalance, Kickboxen, Yoga</t>
  </si>
  <si>
    <t>Maud</t>
  </si>
  <si>
    <t>Fri, Mon, Sun, Wed</t>
  </si>
  <si>
    <t>Pilates, BodyPump, Running</t>
  </si>
  <si>
    <t>Chadd</t>
  </si>
  <si>
    <t>Spinning, XCore, BodyPump</t>
  </si>
  <si>
    <t>Paten</t>
  </si>
  <si>
    <t>Fri, Thu, Wed</t>
  </si>
  <si>
    <t>Isahella</t>
  </si>
  <si>
    <t>Mon, Sat, Wed</t>
  </si>
  <si>
    <t>Benton</t>
  </si>
  <si>
    <t>Sat, Sun, Thu, Tue, Wed</t>
  </si>
  <si>
    <t>BodyBalance, Spinning, XCore</t>
  </si>
  <si>
    <t>Gus</t>
  </si>
  <si>
    <t>Kickboxen, Spinning, BodyPump</t>
  </si>
  <si>
    <t>Lesley</t>
  </si>
  <si>
    <t>XCore, LesMiles, HIT</t>
  </si>
  <si>
    <t>Eulalie</t>
  </si>
  <si>
    <t>Mon, Sat, Thu</t>
  </si>
  <si>
    <t>Talia</t>
  </si>
  <si>
    <t>Fri, Sat, Thu</t>
  </si>
  <si>
    <t>Chaddy</t>
  </si>
  <si>
    <t>Bridget</t>
  </si>
  <si>
    <t>Fri, Thu, Tue</t>
  </si>
  <si>
    <t>Dierdre</t>
  </si>
  <si>
    <t>Mon, Wed</t>
  </si>
  <si>
    <t>Constancia</t>
  </si>
  <si>
    <t>Sat, Sun, Tue, Wed</t>
  </si>
  <si>
    <t>Arlie</t>
  </si>
  <si>
    <t>Running, HIT</t>
  </si>
  <si>
    <t>Shelden</t>
  </si>
  <si>
    <t>Spinning, Zumba</t>
  </si>
  <si>
    <t>Carver</t>
  </si>
  <si>
    <t>Zumba</t>
  </si>
  <si>
    <t>Franky</t>
  </si>
  <si>
    <t>Vincenz</t>
  </si>
  <si>
    <t>Fri, Mon, Sat, Sun, Thu</t>
  </si>
  <si>
    <t>BodyPump, Kickboxen, Running</t>
  </si>
  <si>
    <t>Adham</t>
  </si>
  <si>
    <t>Guillaume</t>
  </si>
  <si>
    <t>Bone</t>
  </si>
  <si>
    <t>Florry</t>
  </si>
  <si>
    <t>Fri, Mon, Sat, Tue, Wed</t>
  </si>
  <si>
    <t>Thaddeus</t>
  </si>
  <si>
    <t>Wed</t>
  </si>
  <si>
    <t>Alexine</t>
  </si>
  <si>
    <t>Thu, Wed</t>
  </si>
  <si>
    <t>Boigie</t>
  </si>
  <si>
    <t>Mon, Tue</t>
  </si>
  <si>
    <t>Zumba, LesMiles</t>
  </si>
  <si>
    <t>Morgan</t>
  </si>
  <si>
    <t>Fri, Mon, Sat, Sun, Tue</t>
  </si>
  <si>
    <t>XCore, LesMiles</t>
  </si>
  <si>
    <t>Merrily</t>
  </si>
  <si>
    <t>Mon, Sun</t>
  </si>
  <si>
    <t>Yoga, Zumba, BodyPump</t>
  </si>
  <si>
    <t>Orv</t>
  </si>
  <si>
    <t>Sayres</t>
  </si>
  <si>
    <t>Estevan</t>
  </si>
  <si>
    <t>Rusty</t>
  </si>
  <si>
    <t>Yoga</t>
  </si>
  <si>
    <t>Crin</t>
  </si>
  <si>
    <t>Fri, Sun</t>
  </si>
  <si>
    <t>HIT, Yoga, BodyBalance</t>
  </si>
  <si>
    <t>Kailey</t>
  </si>
  <si>
    <t>BodyPump, LesMiles</t>
  </si>
  <si>
    <t>Thorsten</t>
  </si>
  <si>
    <t>Kickboxen, XCore, HIT</t>
  </si>
  <si>
    <t>Karolina</t>
  </si>
  <si>
    <t>Fri, Mon</t>
  </si>
  <si>
    <t>Shirlee</t>
  </si>
  <si>
    <t>Fri, Mon, Tue, Wed</t>
  </si>
  <si>
    <t>Henrie</t>
  </si>
  <si>
    <t>Perri</t>
  </si>
  <si>
    <t>Mon, Sun, Tue</t>
  </si>
  <si>
    <t>Elvis</t>
  </si>
  <si>
    <t>Running</t>
  </si>
  <si>
    <t>Nicolle</t>
  </si>
  <si>
    <t>Mon, Sat, Thu, Wed</t>
  </si>
  <si>
    <t>Karlyn</t>
  </si>
  <si>
    <t>Jen</t>
  </si>
  <si>
    <t>Fri, Mon, Tue</t>
  </si>
  <si>
    <t>BodyBalance, XCore</t>
  </si>
  <si>
    <t>Hunt</t>
  </si>
  <si>
    <t>Barnebas</t>
  </si>
  <si>
    <t>Emanuel</t>
  </si>
  <si>
    <t>Blondelle</t>
  </si>
  <si>
    <t>Cherise</t>
  </si>
  <si>
    <t>Giselbert</t>
  </si>
  <si>
    <t>HIT</t>
  </si>
  <si>
    <t>Shayna</t>
  </si>
  <si>
    <t>BodyPump, Running, XCore</t>
  </si>
  <si>
    <t>Falito</t>
  </si>
  <si>
    <t>Pilates, Kickboxen, HIT</t>
  </si>
  <si>
    <t>Rodi</t>
  </si>
  <si>
    <t>Dianemarie</t>
  </si>
  <si>
    <t>Tomkin</t>
  </si>
  <si>
    <t>Pilates, Yoga</t>
  </si>
  <si>
    <t>Shawnee</t>
  </si>
  <si>
    <t>Vivia</t>
  </si>
  <si>
    <t>Thu, Tue, Wed</t>
  </si>
  <si>
    <t>Amara</t>
  </si>
  <si>
    <t>Aile</t>
  </si>
  <si>
    <t>Irena</t>
  </si>
  <si>
    <t>Fri, Sun, Tue</t>
  </si>
  <si>
    <t>Waylin</t>
  </si>
  <si>
    <t>Fri, Tue, Wed</t>
  </si>
  <si>
    <t>Pilates, BodyBalance</t>
  </si>
  <si>
    <t>Yvonne</t>
  </si>
  <si>
    <t>Catherine</t>
  </si>
  <si>
    <t>Sun, Tue, Wed</t>
  </si>
  <si>
    <t>Mae</t>
  </si>
  <si>
    <t>Esra</t>
  </si>
  <si>
    <t>Woodie</t>
  </si>
  <si>
    <t>Bank</t>
  </si>
  <si>
    <t>HIT, XCore, BodyPump</t>
  </si>
  <si>
    <t>Selle</t>
  </si>
  <si>
    <t>Robinetta</t>
  </si>
  <si>
    <t>Mon, Thu</t>
  </si>
  <si>
    <t>BodyPump, Spinning</t>
  </si>
  <si>
    <t>Corrie</t>
  </si>
  <si>
    <t>Kickboxen, BodyPump</t>
  </si>
  <si>
    <t>Carmencita</t>
  </si>
  <si>
    <t>Fifi</t>
  </si>
  <si>
    <t>Jae</t>
  </si>
  <si>
    <t>Fri, Sun, Thu</t>
  </si>
  <si>
    <t>Iago</t>
  </si>
  <si>
    <t>Minnie</t>
  </si>
  <si>
    <t>Lian</t>
  </si>
  <si>
    <t>Bradney</t>
  </si>
  <si>
    <t>Cody</t>
  </si>
  <si>
    <t>Tue, Wed</t>
  </si>
  <si>
    <t>Garrott</t>
  </si>
  <si>
    <t>Finley</t>
  </si>
  <si>
    <t>Gearalt</t>
  </si>
  <si>
    <t>Pooh</t>
  </si>
  <si>
    <t>Mon, Sat, Sun, Thu, Wed</t>
  </si>
  <si>
    <t>Kris</t>
  </si>
  <si>
    <t>Helga</t>
  </si>
  <si>
    <t>Marga</t>
  </si>
  <si>
    <t>Gunar</t>
  </si>
  <si>
    <t>Nesta</t>
  </si>
  <si>
    <t>Fri, Mon, Sun, Thu, Tue</t>
  </si>
  <si>
    <t>Brittany</t>
  </si>
  <si>
    <t>Spinning, XCore, BodyBalance</t>
  </si>
  <si>
    <t>Park</t>
  </si>
  <si>
    <t>LesMiles, Yoga</t>
  </si>
  <si>
    <t>Rosalinde</t>
  </si>
  <si>
    <t>Mon, Sun, Thu, Tue, Wed</t>
  </si>
  <si>
    <t>Running, Yoga, Kickboxen</t>
  </si>
  <si>
    <t>Ginnifer</t>
  </si>
  <si>
    <t>Rickard</t>
  </si>
  <si>
    <t>XCore, HIT, Kickboxen</t>
  </si>
  <si>
    <t>Winne</t>
  </si>
  <si>
    <t>Sat, Sun, Thu</t>
  </si>
  <si>
    <t>Julina</t>
  </si>
  <si>
    <t>Timothee</t>
  </si>
  <si>
    <t>Hazlett</t>
  </si>
  <si>
    <t>BodyPump, Pilates, BodyBalance</t>
  </si>
  <si>
    <t>Andrew</t>
  </si>
  <si>
    <t>Cirilo</t>
  </si>
  <si>
    <t>Alberto</t>
  </si>
  <si>
    <t>Pilates, XCore</t>
  </si>
  <si>
    <t>Marion</t>
  </si>
  <si>
    <t>Gail</t>
  </si>
  <si>
    <t>Sun, Thu</t>
  </si>
  <si>
    <t>Running, Kickboxen, Pilates</t>
  </si>
  <si>
    <t>Burke</t>
  </si>
  <si>
    <t>Moe</t>
  </si>
  <si>
    <t>Jocelyne</t>
  </si>
  <si>
    <t>Jillie</t>
  </si>
  <si>
    <t>Fri, Sat, Thu, Tue</t>
  </si>
  <si>
    <t>Torrance</t>
  </si>
  <si>
    <t>Ruthann</t>
  </si>
  <si>
    <t>Sat, Thu, Tue</t>
  </si>
  <si>
    <t>Kickboxen, LesMiles, HIT</t>
  </si>
  <si>
    <t>Millie</t>
  </si>
  <si>
    <t>Sun, Thu, Tue</t>
  </si>
  <si>
    <t>BodyBalance, Yoga</t>
  </si>
  <si>
    <t>Adriane</t>
  </si>
  <si>
    <t>Fri, Sat, Wed</t>
  </si>
  <si>
    <t>XCore, Running, HIT</t>
  </si>
  <si>
    <t>Peder</t>
  </si>
  <si>
    <t>Cesaro</t>
  </si>
  <si>
    <t>Sat, Sun, Wed</t>
  </si>
  <si>
    <t>Quincy</t>
  </si>
  <si>
    <t>Christian</t>
  </si>
  <si>
    <t>Bordie</t>
  </si>
  <si>
    <t>Nessie</t>
  </si>
  <si>
    <t>Running, Spinning, Kickboxen</t>
  </si>
  <si>
    <t>Desi</t>
  </si>
  <si>
    <t>Odelinda</t>
  </si>
  <si>
    <t>Rodger</t>
  </si>
  <si>
    <t>Corabella</t>
  </si>
  <si>
    <t>Joni</t>
  </si>
  <si>
    <t>Feliks</t>
  </si>
  <si>
    <t>Panchito</t>
  </si>
  <si>
    <t>Spenser</t>
  </si>
  <si>
    <t>Burty</t>
  </si>
  <si>
    <t>Nadean</t>
  </si>
  <si>
    <t>Chick</t>
  </si>
  <si>
    <t>Fri, Mon, Sat, Tue</t>
  </si>
  <si>
    <t>Maryrose</t>
  </si>
  <si>
    <t>Nolly</t>
  </si>
  <si>
    <t>Kickboxen, Spinning</t>
  </si>
  <si>
    <t>Jeremiah</t>
  </si>
  <si>
    <t>Fri, Mon, Sat, Thu, Tue</t>
  </si>
  <si>
    <t>Kickboxen, Yoga, BodyPump</t>
  </si>
  <si>
    <t>Martguerita</t>
  </si>
  <si>
    <t>Steffen</t>
  </si>
  <si>
    <t>Klement</t>
  </si>
  <si>
    <t>Webb</t>
  </si>
  <si>
    <t>Running, BodyBalance, BodyPump</t>
  </si>
  <si>
    <t>Chloe</t>
  </si>
  <si>
    <t>Salvidor</t>
  </si>
  <si>
    <t>Pilates, HIT</t>
  </si>
  <si>
    <t>Ethelyn</t>
  </si>
  <si>
    <t>Yoga, LesMiles, HIT</t>
  </si>
  <si>
    <t>Terry</t>
  </si>
  <si>
    <t>Spinning, Zumba, BodyBalance</t>
  </si>
  <si>
    <t>Nealy</t>
  </si>
  <si>
    <t>Cirstoforo</t>
  </si>
  <si>
    <t>Kaye</t>
  </si>
  <si>
    <t>Candie</t>
  </si>
  <si>
    <t>Bernetta</t>
  </si>
  <si>
    <t>Ferd</t>
  </si>
  <si>
    <t>Kendrick</t>
  </si>
  <si>
    <t>Fri, Mon, Thu, Tue, Wed</t>
  </si>
  <si>
    <t>Cord</t>
  </si>
  <si>
    <t>Bret</t>
  </si>
  <si>
    <t>BodyPump, Yoga, XCore</t>
  </si>
  <si>
    <t>Elfie</t>
  </si>
  <si>
    <t>Cooper</t>
  </si>
  <si>
    <t>Sheffield</t>
  </si>
  <si>
    <t>Sun, Thu, Tue, Wed</t>
  </si>
  <si>
    <t>Gualterio</t>
  </si>
  <si>
    <t>Mon, Sun, Thu, Tue</t>
  </si>
  <si>
    <t>Rikki</t>
  </si>
  <si>
    <t>Roderigo</t>
  </si>
  <si>
    <t>LesMiles, Kickboxen</t>
  </si>
  <si>
    <t>Trey</t>
  </si>
  <si>
    <t>Aaron</t>
  </si>
  <si>
    <t>Zumba, BodyBalance, Kickboxen</t>
  </si>
  <si>
    <t>Heall</t>
  </si>
  <si>
    <t>Running, Zumba, Pilates</t>
  </si>
  <si>
    <t>Willey</t>
  </si>
  <si>
    <t>Running, Kickboxen, Zumba</t>
  </si>
  <si>
    <t>Earl</t>
  </si>
  <si>
    <t>Trstram</t>
  </si>
  <si>
    <t>Ethelin</t>
  </si>
  <si>
    <t>Giffer</t>
  </si>
  <si>
    <t>Patrizio</t>
  </si>
  <si>
    <t>Reiko</t>
  </si>
  <si>
    <t>Mindy</t>
  </si>
  <si>
    <t>Yoga, Running</t>
  </si>
  <si>
    <t>Isaak</t>
  </si>
  <si>
    <t>Denver</t>
  </si>
  <si>
    <t>Rubina</t>
  </si>
  <si>
    <t>Harland</t>
  </si>
  <si>
    <t>Any</t>
  </si>
  <si>
    <t>Elbert</t>
  </si>
  <si>
    <t>Jesse</t>
  </si>
  <si>
    <t>Mata</t>
  </si>
  <si>
    <t>Oriana</t>
  </si>
  <si>
    <t>Cletis</t>
  </si>
  <si>
    <t>Marlin</t>
  </si>
  <si>
    <t>Lenka</t>
  </si>
  <si>
    <t>XCore, HIT, BodyBalance</t>
  </si>
  <si>
    <t>Rowan</t>
  </si>
  <si>
    <t>Spinning, BodyPump, Running</t>
  </si>
  <si>
    <t>Harper</t>
  </si>
  <si>
    <t>Fri, Sat, Sun, Thu, Tue</t>
  </si>
  <si>
    <t>Alanson</t>
  </si>
  <si>
    <t>Yoga, Zumba, BodyBalance</t>
  </si>
  <si>
    <t>Onofredo</t>
  </si>
  <si>
    <t>Bennett</t>
  </si>
  <si>
    <t>Fri, Mon, Sun, Thu, Wed</t>
  </si>
  <si>
    <t>XCore, Spinning</t>
  </si>
  <si>
    <t>Jennilee</t>
  </si>
  <si>
    <t>Teirtza</t>
  </si>
  <si>
    <t>Fri, Mon, Sat, Sun</t>
  </si>
  <si>
    <t>Idell</t>
  </si>
  <si>
    <t>BodyPump, BodyBalance, XCore</t>
  </si>
  <si>
    <t>Marylou</t>
  </si>
  <si>
    <t>Irene</t>
  </si>
  <si>
    <t>Pilates, XCore, Running</t>
  </si>
  <si>
    <t>Claudius</t>
  </si>
  <si>
    <t>Zumba, BodyBalance</t>
  </si>
  <si>
    <t>Stanton</t>
  </si>
  <si>
    <t>Fri, Mon, Sun, Thu</t>
  </si>
  <si>
    <t>Kickboxen, LesMiles</t>
  </si>
  <si>
    <t>Hedwig</t>
  </si>
  <si>
    <t>Godart</t>
  </si>
  <si>
    <t>Ekaterina</t>
  </si>
  <si>
    <t>Sella</t>
  </si>
  <si>
    <t>Brennen</t>
  </si>
  <si>
    <t>Kickboxen, HIT</t>
  </si>
  <si>
    <t>Kary</t>
  </si>
  <si>
    <t>Mon, Thu, Tue, Wed</t>
  </si>
  <si>
    <t>BodyBalance, Yoga, LesMiles</t>
  </si>
  <si>
    <t>Lib</t>
  </si>
  <si>
    <t>Deloris</t>
  </si>
  <si>
    <t>Zumba, BodyPump</t>
  </si>
  <si>
    <t>Peter</t>
  </si>
  <si>
    <t>Yoga, BodyPump, BodyBalance</t>
  </si>
  <si>
    <t>Margarita</t>
  </si>
  <si>
    <t>Sergio</t>
  </si>
  <si>
    <t>Yoga, Zumba, Spinning</t>
  </si>
  <si>
    <t>Alexei</t>
  </si>
  <si>
    <t>Michale</t>
  </si>
  <si>
    <t>Andreana</t>
  </si>
  <si>
    <t>Worth</t>
  </si>
  <si>
    <t>XCore, Yoga</t>
  </si>
  <si>
    <t>Bronnie</t>
  </si>
  <si>
    <t>Muire</t>
  </si>
  <si>
    <t>Mon, Sat, Thu, Tue, Wed</t>
  </si>
  <si>
    <t>Jaquelyn</t>
  </si>
  <si>
    <t>Mon, Sat, Sun, Tue, Wed</t>
  </si>
  <si>
    <t>Eamon</t>
  </si>
  <si>
    <t>Caritta</t>
  </si>
  <si>
    <t>Fri, Thu</t>
  </si>
  <si>
    <t>Yoga, LesMiles, BodyBalance</t>
  </si>
  <si>
    <t>Star</t>
  </si>
  <si>
    <t>Padraig</t>
  </si>
  <si>
    <t>Reina</t>
  </si>
  <si>
    <t>Prudence</t>
  </si>
  <si>
    <t>Zumba, Yoga, Pilates</t>
  </si>
  <si>
    <t>Bertie</t>
  </si>
  <si>
    <t>Chadwick</t>
  </si>
  <si>
    <t>Fri, Sun, Thu, Wed</t>
  </si>
  <si>
    <t>Vinny</t>
  </si>
  <si>
    <t>Abby</t>
  </si>
  <si>
    <t>Craggy</t>
  </si>
  <si>
    <t>Arley</t>
  </si>
  <si>
    <t>Elset</t>
  </si>
  <si>
    <t>Gunther</t>
  </si>
  <si>
    <t>Horatio</t>
  </si>
  <si>
    <t>Trista</t>
  </si>
  <si>
    <t>Leon</t>
  </si>
  <si>
    <t>Yoga, XCore, Spinning</t>
  </si>
  <si>
    <t>Mathilda</t>
  </si>
  <si>
    <t>Mon, Sun, Tue, Wed</t>
  </si>
  <si>
    <t>Zachariah</t>
  </si>
  <si>
    <t>Dorey</t>
  </si>
  <si>
    <t>Pilates, HIT, Running</t>
  </si>
  <si>
    <t>Daniel</t>
  </si>
  <si>
    <t>Zumba, Kickboxen</t>
  </si>
  <si>
    <t>Dionis</t>
  </si>
  <si>
    <t>LesMiles, BodyBalance</t>
  </si>
  <si>
    <t>Marnie</t>
  </si>
  <si>
    <t>Dimitry</t>
  </si>
  <si>
    <t>Hieronymus</t>
  </si>
  <si>
    <t>BodyPump, Running, LesMiles</t>
  </si>
  <si>
    <t>Piggy</t>
  </si>
  <si>
    <t>Gwendolin</t>
  </si>
  <si>
    <t>Chelsy</t>
  </si>
  <si>
    <t>Barbi</t>
  </si>
  <si>
    <t>Mitchel</t>
  </si>
  <si>
    <t>Merilee</t>
  </si>
  <si>
    <t>Yoga, BodyBalance, Running</t>
  </si>
  <si>
    <t>Maitilde</t>
  </si>
  <si>
    <t>Yoga, Pilates, Running</t>
  </si>
  <si>
    <t>Abbie</t>
  </si>
  <si>
    <t>Sat, Tue, Wed</t>
  </si>
  <si>
    <t>Evie</t>
  </si>
  <si>
    <t>Fri, Mon, Sat, Thu</t>
  </si>
  <si>
    <t>Georas</t>
  </si>
  <si>
    <t>Nicki</t>
  </si>
  <si>
    <t>Sat, Tue</t>
  </si>
  <si>
    <t>Avis</t>
  </si>
  <si>
    <t>Ives</t>
  </si>
  <si>
    <t>Amalea</t>
  </si>
  <si>
    <t>Sat, Sun, Tue</t>
  </si>
  <si>
    <t>Kickboxen, Spinning, LesMiles</t>
  </si>
  <si>
    <t>Sigismondo</t>
  </si>
  <si>
    <t>BodyPump, Pilates, HIT</t>
  </si>
  <si>
    <t>Therese</t>
  </si>
  <si>
    <t>Godfry</t>
  </si>
  <si>
    <t>Alfie</t>
  </si>
  <si>
    <t>Fri, Mon, Thu, Wed</t>
  </si>
  <si>
    <t>Spinning, BodyPump</t>
  </si>
  <si>
    <t>Seumas</t>
  </si>
  <si>
    <t>Running, Spinning, BodyPump</t>
  </si>
  <si>
    <t>Elora</t>
  </si>
  <si>
    <t>Jodee</t>
  </si>
  <si>
    <t>Virge</t>
  </si>
  <si>
    <t>Jeremias</t>
  </si>
  <si>
    <t>BodyPump, Pilates</t>
  </si>
  <si>
    <t>Christabella</t>
  </si>
  <si>
    <t>Taite</t>
  </si>
  <si>
    <t>Freemon</t>
  </si>
  <si>
    <t>Worden</t>
  </si>
  <si>
    <t>Dante</t>
  </si>
  <si>
    <t>Eric</t>
  </si>
  <si>
    <t>Willie</t>
  </si>
  <si>
    <t>Curran</t>
  </si>
  <si>
    <t>Dexter</t>
  </si>
  <si>
    <t>Lavinia</t>
  </si>
  <si>
    <t>HIT, LesMiles, Pilates</t>
  </si>
  <si>
    <t>Ernesto</t>
  </si>
  <si>
    <t>Marcus</t>
  </si>
  <si>
    <t>Benjamin</t>
  </si>
  <si>
    <t>Running, Kickboxen, XCore</t>
  </si>
  <si>
    <t>Belicia</t>
  </si>
  <si>
    <t>Quinton</t>
  </si>
  <si>
    <t>Corette</t>
  </si>
  <si>
    <t>Noel</t>
  </si>
  <si>
    <t>Lexine</t>
  </si>
  <si>
    <t>Davy</t>
  </si>
  <si>
    <t>Elisabet</t>
  </si>
  <si>
    <t>Jeannette</t>
  </si>
  <si>
    <t>Kickboxen, XCore</t>
  </si>
  <si>
    <t>Corey</t>
  </si>
  <si>
    <t>Derwin</t>
  </si>
  <si>
    <t>Keelby</t>
  </si>
  <si>
    <t>Ladonna</t>
  </si>
  <si>
    <t>Malanie</t>
  </si>
  <si>
    <t>Running, BodyBalance, Spinning</t>
  </si>
  <si>
    <t>Norris</t>
  </si>
  <si>
    <t>Jarib</t>
  </si>
  <si>
    <t>Brenda</t>
  </si>
  <si>
    <t>Sanderson</t>
  </si>
  <si>
    <t>HIT, Kickboxen, Zumba</t>
  </si>
  <si>
    <t>Rita</t>
  </si>
  <si>
    <t>Orren</t>
  </si>
  <si>
    <t>HIT, Pilates</t>
  </si>
  <si>
    <t>Fri, Sat, Sun, Thu, Wed</t>
  </si>
  <si>
    <t>Running, Pilates, XCore</t>
  </si>
  <si>
    <t>Janela</t>
  </si>
  <si>
    <t>Wes</t>
  </si>
  <si>
    <t>Domeniga</t>
  </si>
  <si>
    <t>Valentine</t>
  </si>
  <si>
    <t>Karim</t>
  </si>
  <si>
    <t>Sheryl</t>
  </si>
  <si>
    <t>Joelie</t>
  </si>
  <si>
    <t>Jerri</t>
  </si>
  <si>
    <t>BodyBalance, Zumba</t>
  </si>
  <si>
    <t>Rici</t>
  </si>
  <si>
    <t>Constanta</t>
  </si>
  <si>
    <t>Shoshanna</t>
  </si>
  <si>
    <t>BodyBalance, BodyPump</t>
  </si>
  <si>
    <t>Reed</t>
  </si>
  <si>
    <t>BodyBalance, Zumba, HIT</t>
  </si>
  <si>
    <t>Alejandro</t>
  </si>
  <si>
    <t>Pilates, Spinning, Zumba</t>
  </si>
  <si>
    <t>Dominga</t>
  </si>
  <si>
    <t>Carla</t>
  </si>
  <si>
    <t>XCore, Zumba, BodyPump</t>
  </si>
  <si>
    <t>Alikee</t>
  </si>
  <si>
    <t>Wini</t>
  </si>
  <si>
    <t>Leilah</t>
  </si>
  <si>
    <t>Melli</t>
  </si>
  <si>
    <t>Sat, Thu, Tue, Wed</t>
  </si>
  <si>
    <t>Pilates, HIT, Spinning</t>
  </si>
  <si>
    <t>Nikki</t>
  </si>
  <si>
    <t>Thea</t>
  </si>
  <si>
    <t>Shannon</t>
  </si>
  <si>
    <t>Kickboxen, Zumba</t>
  </si>
  <si>
    <t>Nicolais</t>
  </si>
  <si>
    <t>Cissy</t>
  </si>
  <si>
    <t>XCore, Zumba, Running</t>
  </si>
  <si>
    <t>Luca</t>
  </si>
  <si>
    <t>BodyBalance, Yoga, XCore</t>
  </si>
  <si>
    <t>Hadrian</t>
  </si>
  <si>
    <t>HIT, Running, Yoga</t>
  </si>
  <si>
    <t>Maryellen</t>
  </si>
  <si>
    <t>Spinning, Yoga, Kickboxen</t>
  </si>
  <si>
    <t>Bil</t>
  </si>
  <si>
    <t>Ilyse</t>
  </si>
  <si>
    <t>Running, Zumba</t>
  </si>
  <si>
    <t>Agatha</t>
  </si>
  <si>
    <t>Portia</t>
  </si>
  <si>
    <t>Kelley</t>
  </si>
  <si>
    <t>Beryle</t>
  </si>
  <si>
    <t>Parke</t>
  </si>
  <si>
    <t>Colan</t>
  </si>
  <si>
    <t>Running, Pilates</t>
  </si>
  <si>
    <t>Alexina</t>
  </si>
  <si>
    <t>Vasilis</t>
  </si>
  <si>
    <t>Ronald</t>
  </si>
  <si>
    <t>Hagen</t>
  </si>
  <si>
    <t>Marje</t>
  </si>
  <si>
    <t>Priscilla</t>
  </si>
  <si>
    <t>BodyBalance, Spinning, HIT</t>
  </si>
  <si>
    <t>Maiga</t>
  </si>
  <si>
    <t>LesMiles, HIT</t>
  </si>
  <si>
    <t>Joel</t>
  </si>
  <si>
    <t>Kickboxen, Zumba, Yoga</t>
  </si>
  <si>
    <t>Woody</t>
  </si>
  <si>
    <t>Ave</t>
  </si>
  <si>
    <t>LesMiles, BodyPump, Spinning</t>
  </si>
  <si>
    <t>Zola</t>
  </si>
  <si>
    <t>Devi</t>
  </si>
  <si>
    <t>Cordelie</t>
  </si>
  <si>
    <t>Dreddy</t>
  </si>
  <si>
    <t>Lenna</t>
  </si>
  <si>
    <t>Sat, Sun, Thu, Wed</t>
  </si>
  <si>
    <t>XCore, Spinning, Yoga</t>
  </si>
  <si>
    <t>Taffy</t>
  </si>
  <si>
    <t>Shelly</t>
  </si>
  <si>
    <t>Yetta</t>
  </si>
  <si>
    <t>Hetti</t>
  </si>
  <si>
    <t>Edna</t>
  </si>
  <si>
    <t>Rafferty</t>
  </si>
  <si>
    <t>Logan</t>
  </si>
  <si>
    <t>Kickboxen, XCore, Zumba</t>
  </si>
  <si>
    <t>Evy</t>
  </si>
  <si>
    <t>Ashly</t>
  </si>
  <si>
    <t>LesMiles, Zumba, HIT</t>
  </si>
  <si>
    <t>Nelie</t>
  </si>
  <si>
    <t>Ronna</t>
  </si>
  <si>
    <t>Eldredge</t>
  </si>
  <si>
    <t>Leela</t>
  </si>
  <si>
    <t>Pilates, Kickboxen</t>
  </si>
  <si>
    <t>Oralie</t>
  </si>
  <si>
    <t>Cthrine</t>
  </si>
  <si>
    <t>Zedekiah</t>
  </si>
  <si>
    <t>Aeriell</t>
  </si>
  <si>
    <t>Adolph</t>
  </si>
  <si>
    <t>LesMiles, Pilates</t>
  </si>
  <si>
    <t>Myrwyn</t>
  </si>
  <si>
    <t>LesMiles, Running, HIT</t>
  </si>
  <si>
    <t>Truda</t>
  </si>
  <si>
    <t>BodyPump, Running</t>
  </si>
  <si>
    <t>Olag</t>
  </si>
  <si>
    <t>LesMiles, BodyPump</t>
  </si>
  <si>
    <t>Mab</t>
  </si>
  <si>
    <t>Stafani</t>
  </si>
  <si>
    <t>Durward</t>
  </si>
  <si>
    <t>Caitlin</t>
  </si>
  <si>
    <t>Jessalin</t>
  </si>
  <si>
    <t>Fri, Thu, Tue, Wed</t>
  </si>
  <si>
    <t>Koren</t>
  </si>
  <si>
    <t>XCore, Pilates, Spinning</t>
  </si>
  <si>
    <t>Rockwell</t>
  </si>
  <si>
    <t>Cal</t>
  </si>
  <si>
    <t>Robers</t>
  </si>
  <si>
    <t>Ainslie</t>
  </si>
  <si>
    <t>Basil</t>
  </si>
  <si>
    <t>Maryanna</t>
  </si>
  <si>
    <t>Willard</t>
  </si>
  <si>
    <t>Becca</t>
  </si>
  <si>
    <t>Sabra</t>
  </si>
  <si>
    <t>Maisie</t>
  </si>
  <si>
    <t>Dalt</t>
  </si>
  <si>
    <t>Aldwin</t>
  </si>
  <si>
    <t>LesMiles, Spinning, BodyBalance</t>
  </si>
  <si>
    <t>Averil</t>
  </si>
  <si>
    <t>Cchaddie</t>
  </si>
  <si>
    <t>Griffin</t>
  </si>
  <si>
    <t>Running, BodyPump</t>
  </si>
  <si>
    <t>Risa</t>
  </si>
  <si>
    <t>Spinning, LesMiles, Yoga</t>
  </si>
  <si>
    <t>Joyce</t>
  </si>
  <si>
    <t>Merrie</t>
  </si>
  <si>
    <t>Orville</t>
  </si>
  <si>
    <t>Amabel</t>
  </si>
  <si>
    <t>Alyce</t>
  </si>
  <si>
    <t>HIT, Yoga, BodyPump</t>
  </si>
  <si>
    <t>Wittie</t>
  </si>
  <si>
    <t>Jean</t>
  </si>
  <si>
    <t>Catriona</t>
  </si>
  <si>
    <t>Hunter</t>
  </si>
  <si>
    <t>Fri, Sat, Tue, Wed</t>
  </si>
  <si>
    <t>Running, Spinning, BodyBalance</t>
  </si>
  <si>
    <t>Cherish</t>
  </si>
  <si>
    <t>Augusta</t>
  </si>
  <si>
    <t>Spinning, HIT, BodyPump</t>
  </si>
  <si>
    <t>Malynda</t>
  </si>
  <si>
    <t>Yoga, BodyPump</t>
  </si>
  <si>
    <t>Philippine</t>
  </si>
  <si>
    <t>Sallie</t>
  </si>
  <si>
    <t>Preston</t>
  </si>
  <si>
    <t>Yoga, Zumba, HIT</t>
  </si>
  <si>
    <t>Maggi</t>
  </si>
  <si>
    <t>Edi</t>
  </si>
  <si>
    <t>Pilates, Kickboxen, Zumba</t>
  </si>
  <si>
    <t>Ancell</t>
  </si>
  <si>
    <t>Blithe</t>
  </si>
  <si>
    <t>Gianni</t>
  </si>
  <si>
    <t>XCore, Pilates, Yoga</t>
  </si>
  <si>
    <t>Care</t>
  </si>
  <si>
    <t>Sidoney</t>
  </si>
  <si>
    <t>Arda</t>
  </si>
  <si>
    <t>Sat, Sun, Thu, Tue</t>
  </si>
  <si>
    <t>Abagael</t>
  </si>
  <si>
    <t>Krystle</t>
  </si>
  <si>
    <t>Gregorio</t>
  </si>
  <si>
    <t>BodyBalance, Kickboxen</t>
  </si>
  <si>
    <t>Nananne</t>
  </si>
  <si>
    <t>Decca</t>
  </si>
  <si>
    <t>Gard</t>
  </si>
  <si>
    <t>Latisha</t>
  </si>
  <si>
    <t>Thorvald</t>
  </si>
  <si>
    <t>Boniface</t>
  </si>
  <si>
    <t>Running, LesMiles, Yoga</t>
  </si>
  <si>
    <t>Walker</t>
  </si>
  <si>
    <t>BodyBalance, LesMiles, Kickboxen</t>
  </si>
  <si>
    <t>Lyon</t>
  </si>
  <si>
    <t>Mendy</t>
  </si>
  <si>
    <t>XCore, BodyPump, HIT</t>
  </si>
  <si>
    <t>Melisa</t>
  </si>
  <si>
    <t>Claretta</t>
  </si>
  <si>
    <t>Ingamar</t>
  </si>
  <si>
    <t>Ikey</t>
  </si>
  <si>
    <t>Zumba, Yoga</t>
  </si>
  <si>
    <t>Felicdad</t>
  </si>
  <si>
    <t>Edmund</t>
  </si>
  <si>
    <t>Shurlock</t>
  </si>
  <si>
    <t>Quincey</t>
  </si>
  <si>
    <t>Pilates, Zumba</t>
  </si>
  <si>
    <t>Mariam</t>
  </si>
  <si>
    <t>BodyBalance, Spinning</t>
  </si>
  <si>
    <t>Hodge</t>
  </si>
  <si>
    <t>Huntley</t>
  </si>
  <si>
    <t>Sheilakathryn</t>
  </si>
  <si>
    <t>Crysta</t>
  </si>
  <si>
    <t>Angel</t>
  </si>
  <si>
    <t>Elka</t>
  </si>
  <si>
    <t>Yoga, Kickboxen, Running</t>
  </si>
  <si>
    <t>Mil</t>
  </si>
  <si>
    <t>BodyPump, Yoga</t>
  </si>
  <si>
    <t>Efren</t>
  </si>
  <si>
    <t>Butch</t>
  </si>
  <si>
    <t>Elbertine</t>
  </si>
  <si>
    <t>Dall</t>
  </si>
  <si>
    <t>Fri, Sat, Thu, Wed</t>
  </si>
  <si>
    <t>BodyBalance, Spinning, BodyPump</t>
  </si>
  <si>
    <t>Cecilia</t>
  </si>
  <si>
    <t>XCore, Zumba, Kickboxen</t>
  </si>
  <si>
    <t>Esdras</t>
  </si>
  <si>
    <t>Gib</t>
  </si>
  <si>
    <t>Pilates, Spinning, HIT</t>
  </si>
  <si>
    <t>Sib</t>
  </si>
  <si>
    <t>Filia</t>
  </si>
  <si>
    <t>HIT, BodyBalance, BodyPump</t>
  </si>
  <si>
    <t>Remus</t>
  </si>
  <si>
    <t>Dasie</t>
  </si>
  <si>
    <t>Anna-diane</t>
  </si>
  <si>
    <t>LesMiles, BodyPump, Zumba</t>
  </si>
  <si>
    <t>Josh</t>
  </si>
  <si>
    <t>Joly</t>
  </si>
  <si>
    <t>Minor</t>
  </si>
  <si>
    <t>LesMiles, Running</t>
  </si>
  <si>
    <t>Jarred</t>
  </si>
  <si>
    <t>Kermy</t>
  </si>
  <si>
    <t>Darcee</t>
  </si>
  <si>
    <t>Laney</t>
  </si>
  <si>
    <t>Corella</t>
  </si>
  <si>
    <t>Yoga, Spinning, BodyBalance</t>
  </si>
  <si>
    <t>Alec</t>
  </si>
  <si>
    <t>Torey</t>
  </si>
  <si>
    <t>BodyPump, XCore, Yoga</t>
  </si>
  <si>
    <t>Hollis</t>
  </si>
  <si>
    <t>XCore, BodyPump, Yoga</t>
  </si>
  <si>
    <t>Jo-anne</t>
  </si>
  <si>
    <t>Mikaela</t>
  </si>
  <si>
    <t>Fri, Mon, Sun, Tue</t>
  </si>
  <si>
    <t>Calypso</t>
  </si>
  <si>
    <t>Klarika</t>
  </si>
  <si>
    <t>Sofie</t>
  </si>
  <si>
    <t>Charisse</t>
  </si>
  <si>
    <t>Tailor</t>
  </si>
  <si>
    <t>Flora</t>
  </si>
  <si>
    <t>Yetty</t>
  </si>
  <si>
    <t>Errol</t>
  </si>
  <si>
    <t>Sandy</t>
  </si>
  <si>
    <t>Kickboxen, Running, Pilates</t>
  </si>
  <si>
    <t>Zacharie</t>
  </si>
  <si>
    <t>Kickboxen, Yoga, Running</t>
  </si>
  <si>
    <t>Skell</t>
  </si>
  <si>
    <t>BodyPump, Kickboxen</t>
  </si>
  <si>
    <t>Cyndie</t>
  </si>
  <si>
    <t>Fri, Mon, Sat, Wed</t>
  </si>
  <si>
    <t>Rabbi</t>
  </si>
  <si>
    <t>Fri, Sat, Sun, Tue, Wed</t>
  </si>
  <si>
    <t>Enos</t>
  </si>
  <si>
    <t>Jane</t>
  </si>
  <si>
    <t>BodyPump, HIT, Zumba</t>
  </si>
  <si>
    <t>Jethro</t>
  </si>
  <si>
    <t>Dru</t>
  </si>
  <si>
    <t>XCore, Pilates</t>
  </si>
  <si>
    <t>Ermanno</t>
  </si>
  <si>
    <t>Solomon</t>
  </si>
  <si>
    <t>Cicily</t>
  </si>
  <si>
    <t>Perle</t>
  </si>
  <si>
    <t>Bianca</t>
  </si>
  <si>
    <t>Ddene</t>
  </si>
  <si>
    <t>Agnesse</t>
  </si>
  <si>
    <t>Papageno</t>
  </si>
  <si>
    <t>Alvina</t>
  </si>
  <si>
    <t>Pilates, BodyPump</t>
  </si>
  <si>
    <t>Sebastiano</t>
  </si>
  <si>
    <t>BodyPump, Spinning, BodyBalance</t>
  </si>
  <si>
    <t>Charyl</t>
  </si>
  <si>
    <t>Manda</t>
  </si>
  <si>
    <t>Spinning, HIT</t>
  </si>
  <si>
    <t>Consalve</t>
  </si>
  <si>
    <t>Kickboxen, Spinning, BodyBalance</t>
  </si>
  <si>
    <t>Kit</t>
  </si>
  <si>
    <t>BodyPump, Kickboxen, LesMiles</t>
  </si>
  <si>
    <t>Garner</t>
  </si>
  <si>
    <t>Audra</t>
  </si>
  <si>
    <t>Hatti</t>
  </si>
  <si>
    <t>LesMiles, Zumba, Pilates</t>
  </si>
  <si>
    <t>Theodoric</t>
  </si>
  <si>
    <t>Bride</t>
  </si>
  <si>
    <t>Marietta</t>
  </si>
  <si>
    <t>Monique</t>
  </si>
  <si>
    <t>BodyPump, Yoga, Kickboxen</t>
  </si>
  <si>
    <t>Gerladina</t>
  </si>
  <si>
    <t>Filippa</t>
  </si>
  <si>
    <t>Helaina</t>
  </si>
  <si>
    <t>Kickboxen, Pilates, Yoga</t>
  </si>
  <si>
    <t>Kathy</t>
  </si>
  <si>
    <t>Verile</t>
  </si>
  <si>
    <t>Amye</t>
  </si>
  <si>
    <t>Pasquale</t>
  </si>
  <si>
    <t>Yoga, LesMiles, BodyPump</t>
  </si>
  <si>
    <t>Dewitt</t>
  </si>
  <si>
    <t>Emmalynne</t>
  </si>
  <si>
    <t>Sheila</t>
  </si>
  <si>
    <t>Mon, Sat, Sun, Thu, Tue</t>
  </si>
  <si>
    <t>Iggie</t>
  </si>
  <si>
    <t>Laurice</t>
  </si>
  <si>
    <t>Brade</t>
  </si>
  <si>
    <t>Yelena</t>
  </si>
  <si>
    <t>Lester</t>
  </si>
  <si>
    <t>Nickey</t>
  </si>
  <si>
    <t>Freedman</t>
  </si>
  <si>
    <t>Albert</t>
  </si>
  <si>
    <t>Avie</t>
  </si>
  <si>
    <t>Giacinta</t>
  </si>
  <si>
    <t>Dallis</t>
  </si>
  <si>
    <t>Courtenay</t>
  </si>
  <si>
    <t>Kickboxen, BodyPump, Zumba</t>
  </si>
  <si>
    <t>Roosevelt</t>
  </si>
  <si>
    <t>Cammy</t>
  </si>
  <si>
    <t>Rochester</t>
  </si>
  <si>
    <t>BodyPump, HIT, Pilates</t>
  </si>
  <si>
    <t>Toby</t>
  </si>
  <si>
    <t>XCore, Running, BodyBalance</t>
  </si>
  <si>
    <t>Waylen</t>
  </si>
  <si>
    <t>Aurie</t>
  </si>
  <si>
    <t>Honor</t>
  </si>
  <si>
    <t>Clare</t>
  </si>
  <si>
    <t>BodyPump, LesMiles, XCore</t>
  </si>
  <si>
    <t>Orazio</t>
  </si>
  <si>
    <t>Darius</t>
  </si>
  <si>
    <t>Holly</t>
  </si>
  <si>
    <t>Ami</t>
  </si>
  <si>
    <t>Weber</t>
  </si>
  <si>
    <t>Meyer</t>
  </si>
  <si>
    <t>Germaine</t>
  </si>
  <si>
    <t>Germayne</t>
  </si>
  <si>
    <t>Mirella</t>
  </si>
  <si>
    <t>Joey</t>
  </si>
  <si>
    <t>Ruben</t>
  </si>
  <si>
    <t>Maureene</t>
  </si>
  <si>
    <t>Marrissa</t>
  </si>
  <si>
    <t>Neda</t>
  </si>
  <si>
    <t>Arly</t>
  </si>
  <si>
    <t>Alameda</t>
  </si>
  <si>
    <t>Emlen</t>
  </si>
  <si>
    <t>Phineas</t>
  </si>
  <si>
    <t>Norbie</t>
  </si>
  <si>
    <t>Dennis</t>
  </si>
  <si>
    <t>Duffie</t>
  </si>
  <si>
    <t>Earlie</t>
  </si>
  <si>
    <t>Phillip</t>
  </si>
  <si>
    <t>Geneva</t>
  </si>
  <si>
    <t>Zumba, Spinning</t>
  </si>
  <si>
    <t>Haley</t>
  </si>
  <si>
    <t>Glory</t>
  </si>
  <si>
    <t>Kickboxen, Zumba, Pilates</t>
  </si>
  <si>
    <t>Merralee</t>
  </si>
  <si>
    <t>Yoga, BodyPump, Spinning</t>
  </si>
  <si>
    <t>Olympie</t>
  </si>
  <si>
    <t>Warren</t>
  </si>
  <si>
    <t>Tiffani</t>
  </si>
  <si>
    <t>Welbie</t>
  </si>
  <si>
    <t>Pablo</t>
  </si>
  <si>
    <t>Cordy</t>
  </si>
  <si>
    <t>Holmes</t>
  </si>
  <si>
    <t>Trula</t>
  </si>
  <si>
    <t>Running, XCore, Zumba</t>
  </si>
  <si>
    <t>Nina</t>
  </si>
  <si>
    <t>Alverta</t>
  </si>
  <si>
    <t>Georgeanne</t>
  </si>
  <si>
    <t>Steward</t>
  </si>
  <si>
    <t>Timothea</t>
  </si>
  <si>
    <t>Shea</t>
  </si>
  <si>
    <t>Kickboxen, BodyPump, Yoga</t>
  </si>
  <si>
    <t>Romola</t>
  </si>
  <si>
    <t>BodyBalance, HIT</t>
  </si>
  <si>
    <t>Elladine</t>
  </si>
  <si>
    <t>Noelle</t>
  </si>
  <si>
    <t>Dilan</t>
  </si>
  <si>
    <t>Catlee</t>
  </si>
  <si>
    <t>Padget</t>
  </si>
  <si>
    <t>Toiboid</t>
  </si>
  <si>
    <t>Rodd</t>
  </si>
  <si>
    <t>Yoga, HIT, Spinning</t>
  </si>
  <si>
    <t>Kikelia</t>
  </si>
  <si>
    <t>Noelani</t>
  </si>
  <si>
    <t>Bradley</t>
  </si>
  <si>
    <t>Jermayne</t>
  </si>
  <si>
    <t>Bradford</t>
  </si>
  <si>
    <t>Fabian</t>
  </si>
  <si>
    <t>Demetris</t>
  </si>
  <si>
    <t>Barbabas</t>
  </si>
  <si>
    <t>Yoga, BodyBalance</t>
  </si>
  <si>
    <t>Ricoriki</t>
  </si>
  <si>
    <t>Westleigh</t>
  </si>
  <si>
    <t>Fri, Sat, Sun, Tue</t>
  </si>
  <si>
    <t>Ailina</t>
  </si>
  <si>
    <t>Bronson</t>
  </si>
  <si>
    <t>Kickboxen, Pilates</t>
  </si>
  <si>
    <t>Elisa</t>
  </si>
  <si>
    <t>Myrle</t>
  </si>
  <si>
    <t>Myrah</t>
  </si>
  <si>
    <t>BodyPump, LesMiles, Kickboxen</t>
  </si>
  <si>
    <t>Hesther</t>
  </si>
  <si>
    <t>Pilates, Spinning</t>
  </si>
  <si>
    <t>Lewie</t>
  </si>
  <si>
    <t>Spinning, HIT, LesMiles</t>
  </si>
  <si>
    <t>Nessy</t>
  </si>
  <si>
    <t>Ashia</t>
  </si>
  <si>
    <t>HIT, BodyPump</t>
  </si>
  <si>
    <t>Spinning, BodyPump, LesMiles</t>
  </si>
  <si>
    <t>Gery</t>
  </si>
  <si>
    <t>Tomi</t>
  </si>
  <si>
    <t>Yoga, Zumba</t>
  </si>
  <si>
    <t>Yehudit</t>
  </si>
  <si>
    <t>HIT, Pilates, BodyBalance</t>
  </si>
  <si>
    <t>Sidonia</t>
  </si>
  <si>
    <t>Bari</t>
  </si>
  <si>
    <t>Tonia</t>
  </si>
  <si>
    <t>Jessie</t>
  </si>
  <si>
    <t>Terrill</t>
  </si>
  <si>
    <t>LesMiles, BodyPump, Running</t>
  </si>
  <si>
    <t>Farlee</t>
  </si>
  <si>
    <t>Aura</t>
  </si>
  <si>
    <t>Maximilien</t>
  </si>
  <si>
    <t>Kenneth</t>
  </si>
  <si>
    <t>HIT, Zumba</t>
  </si>
  <si>
    <t>Joella</t>
  </si>
  <si>
    <t>Nessa</t>
  </si>
  <si>
    <t>Wendall</t>
  </si>
  <si>
    <t>Lyn</t>
  </si>
  <si>
    <t>Elke</t>
  </si>
  <si>
    <t>Simmonds</t>
  </si>
  <si>
    <t>Guss</t>
  </si>
  <si>
    <t>Matelda</t>
  </si>
  <si>
    <t>Mignonne</t>
  </si>
  <si>
    <t>Shirline</t>
  </si>
  <si>
    <t>Gabriell</t>
  </si>
  <si>
    <t>Janean</t>
  </si>
  <si>
    <t>Peadar</t>
  </si>
  <si>
    <t>Alana</t>
  </si>
  <si>
    <t>Julia</t>
  </si>
  <si>
    <t>Rudiger</t>
  </si>
  <si>
    <t>Travers</t>
  </si>
  <si>
    <t>Pilates, HIT, Yoga</t>
  </si>
  <si>
    <t>Hal</t>
  </si>
  <si>
    <t>XCore, Pilates, Kickboxen</t>
  </si>
  <si>
    <t>Edvard</t>
  </si>
  <si>
    <t>HIT, Yoga, Kickboxen</t>
  </si>
  <si>
    <t>Hayley</t>
  </si>
  <si>
    <t>Grove</t>
  </si>
  <si>
    <t>XCore, LesMiles, Running</t>
  </si>
  <si>
    <t>Chic</t>
  </si>
  <si>
    <t>Rudolfo</t>
  </si>
  <si>
    <t>HIT, XCore, LesMiles</t>
  </si>
  <si>
    <t>Kayley</t>
  </si>
  <si>
    <t>BodyBalance, Kickboxen, XCore</t>
  </si>
  <si>
    <t>Nelli</t>
  </si>
  <si>
    <t>Paul</t>
  </si>
  <si>
    <t>XCore, Kickboxen, BodyBalance</t>
  </si>
  <si>
    <t>Walt</t>
  </si>
  <si>
    <t>Brant</t>
  </si>
  <si>
    <t>Emiline</t>
  </si>
  <si>
    <t>Ive</t>
  </si>
  <si>
    <t>Mon, Sun, Thu, Wed</t>
  </si>
  <si>
    <t>Pren</t>
  </si>
  <si>
    <t>Lloyd</t>
  </si>
  <si>
    <t>Fri, Sat, Sun, Thu</t>
  </si>
  <si>
    <t>Haskel</t>
  </si>
  <si>
    <t>Otho</t>
  </si>
  <si>
    <t>Riccardo</t>
  </si>
  <si>
    <t>Querida</t>
  </si>
  <si>
    <t>Sebastien</t>
  </si>
  <si>
    <t>Zeb</t>
  </si>
  <si>
    <t>Fri, Sun, Thu, Tue</t>
  </si>
  <si>
    <t>Raina</t>
  </si>
  <si>
    <t>Zumba, Spinning, BodyBalance</t>
  </si>
  <si>
    <t>Sasha</t>
  </si>
  <si>
    <t>Courtnay</t>
  </si>
  <si>
    <t>Caitrin</t>
  </si>
  <si>
    <t>Melva</t>
  </si>
  <si>
    <t>Konrad</t>
  </si>
  <si>
    <t>Georgeta</t>
  </si>
  <si>
    <t>HIT, Running</t>
  </si>
  <si>
    <t>Whitaker</t>
  </si>
  <si>
    <t>Zumba, HIT, Kickboxen</t>
  </si>
  <si>
    <t>Feodor</t>
  </si>
  <si>
    <t>Dorian</t>
  </si>
  <si>
    <t>Carmelia</t>
  </si>
  <si>
    <t>Kellsie</t>
  </si>
  <si>
    <t>Igor</t>
  </si>
  <si>
    <t>Ambrosio</t>
  </si>
  <si>
    <t>Bartie</t>
  </si>
  <si>
    <t>Prince</t>
  </si>
  <si>
    <t>Yoga, Pilates</t>
  </si>
  <si>
    <t>Lonna</t>
  </si>
  <si>
    <t>Dallon</t>
  </si>
  <si>
    <t>Loydie</t>
  </si>
  <si>
    <t>Yolande</t>
  </si>
  <si>
    <t>Agnese</t>
  </si>
  <si>
    <t>Nana</t>
  </si>
  <si>
    <t>Spinning, BodyPump, Zumba</t>
  </si>
  <si>
    <t>Daile</t>
  </si>
  <si>
    <t>Jacquette</t>
  </si>
  <si>
    <t>Vida</t>
  </si>
  <si>
    <t>Mommy</t>
  </si>
  <si>
    <t>BodyBalance, Pilates</t>
  </si>
  <si>
    <t>Nikolaus</t>
  </si>
  <si>
    <t>Gabbi</t>
  </si>
  <si>
    <t>Ricki</t>
  </si>
  <si>
    <t>Kickboxen, XCore, Pilates</t>
  </si>
  <si>
    <t>XCore, BodyBalance</t>
  </si>
  <si>
    <t>Leonerd</t>
  </si>
  <si>
    <t>Ardis</t>
  </si>
  <si>
    <t>Gabbie</t>
  </si>
  <si>
    <t>LesMiles, Pilates, Spinning</t>
  </si>
  <si>
    <t>Lars</t>
  </si>
  <si>
    <t>XCore, Kickboxen, Yoga</t>
  </si>
  <si>
    <t>Godfree</t>
  </si>
  <si>
    <t>Kally</t>
  </si>
  <si>
    <t>Kickboxen, Zumba, XCore</t>
  </si>
  <si>
    <t>Lin</t>
  </si>
  <si>
    <t>Benjy</t>
  </si>
  <si>
    <t>Glynda</t>
  </si>
  <si>
    <t>Mon, Sat, Thu, Tue</t>
  </si>
  <si>
    <t>Marcelo</t>
  </si>
  <si>
    <t>Dominique</t>
  </si>
  <si>
    <t>Robbi</t>
  </si>
  <si>
    <t>Willis</t>
  </si>
  <si>
    <t>Spinning, XCore</t>
  </si>
  <si>
    <t>Dario</t>
  </si>
  <si>
    <t>Odella</t>
  </si>
  <si>
    <t>Shannan</t>
  </si>
  <si>
    <t>Harriette</t>
  </si>
  <si>
    <t>Zacharias</t>
  </si>
  <si>
    <t>Lorenza</t>
  </si>
  <si>
    <t>Dulsea</t>
  </si>
  <si>
    <t>Martyn</t>
  </si>
  <si>
    <t>Elvera</t>
  </si>
  <si>
    <t>Dion</t>
  </si>
  <si>
    <t>Anallise</t>
  </si>
  <si>
    <t>Evey</t>
  </si>
  <si>
    <t>Margareta</t>
  </si>
  <si>
    <t>Codi</t>
  </si>
  <si>
    <t>Kane</t>
  </si>
  <si>
    <t>Starlin</t>
  </si>
  <si>
    <t>Derron</t>
  </si>
  <si>
    <t>Fred</t>
  </si>
  <si>
    <t>Celestina</t>
  </si>
  <si>
    <t>HIT, Spinning, XCore</t>
  </si>
  <si>
    <t>Berk</t>
  </si>
  <si>
    <t>Vallie</t>
  </si>
  <si>
    <t>Jeremie</t>
  </si>
  <si>
    <t>Marylinda</t>
  </si>
  <si>
    <t>HIT, XCore, BodyBalance</t>
  </si>
  <si>
    <t>Alley</t>
  </si>
  <si>
    <t>Donall</t>
  </si>
  <si>
    <t>BodyBalance, Kickboxen, Pilates</t>
  </si>
  <si>
    <t>Helen-elizabeth</t>
  </si>
  <si>
    <t>Running, XCore</t>
  </si>
  <si>
    <t>Roxy</t>
  </si>
  <si>
    <t>Bonita</t>
  </si>
  <si>
    <t>Kristan</t>
  </si>
  <si>
    <t>Cecily</t>
  </si>
  <si>
    <t>Ben</t>
  </si>
  <si>
    <t>Salaidh</t>
  </si>
  <si>
    <t>Beatriz</t>
  </si>
  <si>
    <t>Ardelis</t>
  </si>
  <si>
    <t>Sosanna</t>
  </si>
  <si>
    <t>Rana</t>
  </si>
  <si>
    <t>Neils</t>
  </si>
  <si>
    <t>Kelly</t>
  </si>
  <si>
    <t>Johnathan</t>
  </si>
  <si>
    <t>Naoma</t>
  </si>
  <si>
    <t>Ranee</t>
  </si>
  <si>
    <t>Benoit</t>
  </si>
  <si>
    <t>Ailee</t>
  </si>
  <si>
    <t>Gavin</t>
  </si>
  <si>
    <t>Vi</t>
  </si>
  <si>
    <t>Kial</t>
  </si>
  <si>
    <t>Romona</t>
  </si>
  <si>
    <t>Mischa</t>
  </si>
  <si>
    <t>Viola</t>
  </si>
  <si>
    <t>Junie</t>
  </si>
  <si>
    <t>Baily</t>
  </si>
  <si>
    <t>Zumba, HIT</t>
  </si>
  <si>
    <t>Lizette</t>
  </si>
  <si>
    <t>Whit</t>
  </si>
  <si>
    <t>Running, BodyPump, Spinning</t>
  </si>
  <si>
    <t>Fields</t>
  </si>
  <si>
    <t>Micky</t>
  </si>
  <si>
    <t>Wheeler</t>
  </si>
  <si>
    <t>Caralie</t>
  </si>
  <si>
    <t>Susana</t>
  </si>
  <si>
    <t>Avram</t>
  </si>
  <si>
    <t>Mair</t>
  </si>
  <si>
    <t>Marieann</t>
  </si>
  <si>
    <t>HIT, Zumba, XCore</t>
  </si>
  <si>
    <t>Gal</t>
  </si>
  <si>
    <t>Montague</t>
  </si>
  <si>
    <t>Ynes</t>
  </si>
  <si>
    <t>Darell</t>
  </si>
  <si>
    <t>Marthena</t>
  </si>
  <si>
    <t>Gale</t>
  </si>
  <si>
    <t>Donnie</t>
  </si>
  <si>
    <t>Ogdan</t>
  </si>
  <si>
    <t>Colby</t>
  </si>
  <si>
    <t>Carolus</t>
  </si>
  <si>
    <t>Pietro</t>
  </si>
  <si>
    <t>Carol</t>
  </si>
  <si>
    <t>Pilates, XCore, Spinning</t>
  </si>
  <si>
    <t>Reinhold</t>
  </si>
  <si>
    <t>LesMiles, Running, BodyBalance</t>
  </si>
  <si>
    <t>Serene</t>
  </si>
  <si>
    <t>Laraine</t>
  </si>
  <si>
    <t>Westbrooke</t>
  </si>
  <si>
    <t>HIT, BodyPump, XCore</t>
  </si>
  <si>
    <t>Odelia</t>
  </si>
  <si>
    <t>Gordie</t>
  </si>
  <si>
    <t>Ester</t>
  </si>
  <si>
    <t>Danyette</t>
  </si>
  <si>
    <t>Florinda</t>
  </si>
  <si>
    <t>HIT, Zumba, Yoga</t>
  </si>
  <si>
    <t>Mikey</t>
  </si>
  <si>
    <t>Marcelle</t>
  </si>
  <si>
    <t>Tasia</t>
  </si>
  <si>
    <t>Zackariah</t>
  </si>
  <si>
    <t>Wash</t>
  </si>
  <si>
    <t>Malchy</t>
  </si>
  <si>
    <t>Erhard</t>
  </si>
  <si>
    <t>Evangelia</t>
  </si>
  <si>
    <t>Anderea</t>
  </si>
  <si>
    <t>Merlina</t>
  </si>
  <si>
    <t>Saba</t>
  </si>
  <si>
    <t>HIT, XCore</t>
  </si>
  <si>
    <t>Annora</t>
  </si>
  <si>
    <t>Harwilll</t>
  </si>
  <si>
    <t>BodyBalance, LesMiles, Zumba</t>
  </si>
  <si>
    <t>Ramona</t>
  </si>
  <si>
    <t>Running, XCore, LesMiles</t>
  </si>
  <si>
    <t>Hobart</t>
  </si>
  <si>
    <t>Lil</t>
  </si>
  <si>
    <t>Ketti</t>
  </si>
  <si>
    <t>Johnna</t>
  </si>
  <si>
    <t>Fan</t>
  </si>
  <si>
    <t>Wayland</t>
  </si>
  <si>
    <t>HIT, LesMiles, XCore</t>
  </si>
  <si>
    <t>Biddy</t>
  </si>
  <si>
    <t>Cathryn</t>
  </si>
  <si>
    <t>HIT, Running, Pilates</t>
  </si>
  <si>
    <t>Tiffi</t>
  </si>
  <si>
    <t>Wilt</t>
  </si>
  <si>
    <t>Spinning, Zumba, BodyPump</t>
  </si>
  <si>
    <t>Gonzales</t>
  </si>
  <si>
    <t>Hamilton</t>
  </si>
  <si>
    <t>Renard</t>
  </si>
  <si>
    <t>Eileen</t>
  </si>
  <si>
    <t>Robinet</t>
  </si>
  <si>
    <t>Franni</t>
  </si>
  <si>
    <t>Andra</t>
  </si>
  <si>
    <t>Brandise</t>
  </si>
  <si>
    <t>Gretel</t>
  </si>
  <si>
    <t>Avivah</t>
  </si>
  <si>
    <t>Nadia</t>
  </si>
  <si>
    <t>Freddi</t>
  </si>
  <si>
    <t>Marika</t>
  </si>
  <si>
    <t>Stanislaus</t>
  </si>
  <si>
    <t>Zumba, XCore</t>
  </si>
  <si>
    <t>Grazia</t>
  </si>
  <si>
    <t>Randy</t>
  </si>
  <si>
    <t>Fri, Sun, Tue, Wed</t>
  </si>
  <si>
    <t>BodyBalance, LesMiles</t>
  </si>
  <si>
    <t>Urban</t>
  </si>
  <si>
    <t>Pilates, Spinning, Yoga</t>
  </si>
  <si>
    <t>Fifine</t>
  </si>
  <si>
    <t>XCore, BodyPump, BodyBalance</t>
  </si>
  <si>
    <t>Garv</t>
  </si>
  <si>
    <t>Ker</t>
  </si>
  <si>
    <t>Chelsie</t>
  </si>
  <si>
    <t>Zeke</t>
  </si>
  <si>
    <t>Kickboxen, XCore, Yoga</t>
  </si>
  <si>
    <t>Ignaz</t>
  </si>
  <si>
    <t>Fayth</t>
  </si>
  <si>
    <t>Mon, Sat, Sun, Tue</t>
  </si>
  <si>
    <t>Devlin</t>
  </si>
  <si>
    <t>Angelique</t>
  </si>
  <si>
    <t>Fredi</t>
  </si>
  <si>
    <t>BodyBalance, XCore, Kickboxen</t>
  </si>
  <si>
    <t>Devondra</t>
  </si>
  <si>
    <t>Carling</t>
  </si>
  <si>
    <t>Gerick</t>
  </si>
  <si>
    <t>Tye</t>
  </si>
  <si>
    <t>Pamela</t>
  </si>
  <si>
    <t>Aldous</t>
  </si>
  <si>
    <t>Pilates, Zumba, LesMiles</t>
  </si>
  <si>
    <t>Vita</t>
  </si>
  <si>
    <t>Dori</t>
  </si>
  <si>
    <t>Francklin</t>
  </si>
  <si>
    <t>Yoga, Kickboxen, Spinning</t>
  </si>
  <si>
    <t>Tiertza</t>
  </si>
  <si>
    <t>BodyPump, Zumba, Yoga</t>
  </si>
  <si>
    <t>Briano</t>
  </si>
  <si>
    <t>Parsifal</t>
  </si>
  <si>
    <t>Merle</t>
  </si>
  <si>
    <t>Carlen</t>
  </si>
  <si>
    <t>BodyBalance, Spinning, Running</t>
  </si>
  <si>
    <t>Matias</t>
  </si>
  <si>
    <t>Lindon</t>
  </si>
  <si>
    <t>Ransell</t>
  </si>
  <si>
    <t>Marty</t>
  </si>
  <si>
    <t>Doris</t>
  </si>
  <si>
    <t>Fidelio</t>
  </si>
  <si>
    <t>Spinning, HIT, Kickboxen</t>
  </si>
  <si>
    <t>Nathanael</t>
  </si>
  <si>
    <t>Karyn</t>
  </si>
  <si>
    <t>Grayce</t>
  </si>
  <si>
    <t>HIT, Yoga</t>
  </si>
  <si>
    <t>Ricky</t>
  </si>
  <si>
    <t>Jacquenetta</t>
  </si>
  <si>
    <t>Ivor</t>
  </si>
  <si>
    <t>HIT, Pilates, Yoga</t>
  </si>
  <si>
    <t>Menard</t>
  </si>
  <si>
    <t>Lucia</t>
  </si>
  <si>
    <t>Kickboxen, HIT, Running</t>
  </si>
  <si>
    <t>Thomasin</t>
  </si>
  <si>
    <t>Doroteya</t>
  </si>
  <si>
    <t>Gunilla</t>
  </si>
  <si>
    <t>Brenn</t>
  </si>
  <si>
    <t>Kellen</t>
  </si>
  <si>
    <t>Wenona</t>
  </si>
  <si>
    <t>Domenico</t>
  </si>
  <si>
    <t>Francesco</t>
  </si>
  <si>
    <t>Yoga, LesMiles, Spinning</t>
  </si>
  <si>
    <t>Jacynth</t>
  </si>
  <si>
    <t>Emalee</t>
  </si>
  <si>
    <t>Nikolai</t>
  </si>
  <si>
    <t>Beale</t>
  </si>
  <si>
    <t>Emma</t>
  </si>
  <si>
    <t>HIT, BodyBalance, LesMiles</t>
  </si>
  <si>
    <t>Yoga, XCore</t>
  </si>
  <si>
    <t>Nikos</t>
  </si>
  <si>
    <t>Samaria</t>
  </si>
  <si>
    <t>Clemmy</t>
  </si>
  <si>
    <t>Veda</t>
  </si>
  <si>
    <t>Zacherie</t>
  </si>
  <si>
    <t>Tremaine</t>
  </si>
  <si>
    <t>Adair</t>
  </si>
  <si>
    <t>Quillan</t>
  </si>
  <si>
    <t>Georgie</t>
  </si>
  <si>
    <t>XCore, Pilates, BodyPump</t>
  </si>
  <si>
    <t>Agna</t>
  </si>
  <si>
    <t>Benyamin</t>
  </si>
  <si>
    <t>Pilates, BodyBalance, Yoga</t>
  </si>
  <si>
    <t>Jamal</t>
  </si>
  <si>
    <t>LesMiles, Pilates, Running</t>
  </si>
  <si>
    <t>Josie</t>
  </si>
  <si>
    <t>Pilates, BodyPump, XCore</t>
  </si>
  <si>
    <t>Jules</t>
  </si>
  <si>
    <t>Hadria</t>
  </si>
  <si>
    <t>Rad</t>
  </si>
  <si>
    <t>Magdalen</t>
  </si>
  <si>
    <t>LesMiles, Zumba, XCore</t>
  </si>
  <si>
    <t>Clywd</t>
  </si>
  <si>
    <t>Oliy</t>
  </si>
  <si>
    <t>Isidor</t>
  </si>
  <si>
    <t>Melantha</t>
  </si>
  <si>
    <t>Averill</t>
  </si>
  <si>
    <t>Cora</t>
  </si>
  <si>
    <t>Karlen</t>
  </si>
  <si>
    <t>Elaina</t>
  </si>
  <si>
    <t>Humfried</t>
  </si>
  <si>
    <t>Brigg</t>
  </si>
  <si>
    <t>Norrie</t>
  </si>
  <si>
    <t>age group</t>
  </si>
  <si>
    <t>Day visit</t>
  </si>
  <si>
    <t>KPIs Cords</t>
  </si>
  <si>
    <t>TOTAL MEMERS</t>
  </si>
  <si>
    <t>AVERAGE GYM TIME</t>
  </si>
  <si>
    <t>AVEG VIST-WEEK</t>
  </si>
  <si>
    <t>TOTAL PREMIUM MEMBERS</t>
  </si>
  <si>
    <t>TOTAL STANDARD MEMBERS</t>
  </si>
  <si>
    <t>SUBSCRIPTION TYPES WISE COUNT</t>
  </si>
  <si>
    <t>Count of abonoment_type</t>
  </si>
  <si>
    <t>Grand Total</t>
  </si>
  <si>
    <t>GENDER WISE COUNT</t>
  </si>
  <si>
    <t>Count of gender</t>
  </si>
  <si>
    <t>VISIT_PER_WEEL WISE AVERAGE</t>
  </si>
  <si>
    <t>Average of visit_per_week</t>
  </si>
  <si>
    <t>AGE GROUP WISE COUNT</t>
  </si>
  <si>
    <t>Count of Age</t>
  </si>
  <si>
    <t>20-30</t>
  </si>
  <si>
    <t>31-41</t>
  </si>
  <si>
    <t>41-50</t>
  </si>
  <si>
    <t>below 20</t>
  </si>
  <si>
    <t>GROUP LESSON  WISE COUNT</t>
  </si>
  <si>
    <t>Count of attend_group_lesson</t>
  </si>
  <si>
    <t>MOST POPULAR GROUP LESSON WISE COUNT</t>
  </si>
  <si>
    <t>Count of id</t>
  </si>
  <si>
    <t>(blank)</t>
  </si>
  <si>
    <t>PERSONAL TRAINER NAME WISE COUNT</t>
  </si>
  <si>
    <t>SUBSCRIPTION TYPE  WISE AVERAGE TIME _GYM</t>
  </si>
  <si>
    <t>Average of avg_time_in_gym</t>
  </si>
  <si>
    <t>DAY WISE VISITED</t>
  </si>
  <si>
    <t>Values</t>
  </si>
  <si>
    <t>Sum of Sun</t>
  </si>
  <si>
    <t>Sum of Mon</t>
  </si>
  <si>
    <t>Sum of Tue</t>
  </si>
  <si>
    <t>Sum of Wed</t>
  </si>
  <si>
    <t>Sum of Thu</t>
  </si>
  <si>
    <t>Sum of Fri</t>
  </si>
  <si>
    <t>Sum of Sat</t>
  </si>
  <si>
    <t>SUBSCRIPTION TYPES WISE  AVG_TIME_IN_GYM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</si>
</sst>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2"/>
      <color theme="0"/>
      <name val="Arial Black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3" xfId="0" applyFont="1" applyBorder="1"/>
    <xf numFmtId="0" fontId="3" fillId="0" borderId="0" xfId="0" applyFont="1"/>
    <xf numFmtId="0" fontId="0" fillId="0" borderId="3" xfId="0" applyBorder="1"/>
    <xf numFmtId="0" fontId="2" fillId="3" borderId="4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180" fontId="0" fillId="0" borderId="0" xfId="0" applyNumberFormat="1"/>
    <xf numFmtId="35" fontId="0" fillId="0" borderId="0" xfId="0" applyNumberFormat="1"/>
    <xf numFmtId="0" fontId="4" fillId="4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4" xfId="3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b val="1"/>
      </font>
    </dxf>
    <dxf>
      <font>
        <b val="0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/>
        <right/>
        <top/>
        <bottom/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numFmt numFmtId="180" formatCode="dd/mm/yyyy"/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9" tint="0.599993896298105"/>
          <bgColor theme="9" tint="0.599993896298105"/>
        </patternFill>
      </fill>
    </dxf>
    <dxf>
      <fill>
        <patternFill patternType="solid">
          <fgColor theme="9" tint="0.599993896298105"/>
          <bgColor theme="9" tint="0.599993896298105"/>
        </patternFill>
      </fill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b val="1"/>
        <color theme="1"/>
      </font>
      <fill>
        <patternFill patternType="solid">
          <fgColor theme="9" tint="0.799981688894314"/>
          <bgColor theme="9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9"/>
          <bgColor theme="9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9" tint="0.799981688894314"/>
          <bgColor theme="9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Preset4_Accent6" pivot="0" count="7" xr9:uid="{0A83F175-C7A9-476A-8414-13FEEDB0F076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</tableStyles>
  <colors>
    <mruColors>
      <color rgb="0056E1EA"/>
      <color rgb="00C3E7E7"/>
      <color rgb="00ABFAFB"/>
      <color rgb="00C1E5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5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chartUserShapes" Target="../drawings/drawing3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chartUserShapes" Target="../drawings/drawing4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chartUserShapes" Target="../drawings/drawing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3" Type="http://schemas.microsoft.com/office/2011/relationships/chartColorStyle" Target="colors14.xml"/><Relationship Id="rId2" Type="http://schemas.microsoft.com/office/2011/relationships/chartStyle" Target="style14.xml"/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Table'!$A$19:$A$21</c:f>
              <c:strCache>
                <c:ptCount val="2"/>
                <c:pt idx="0">
                  <c:v>Premium</c:v>
                </c:pt>
                <c:pt idx="1">
                  <c:v>Standard</c:v>
                </c:pt>
              </c:strCache>
            </c:strRef>
          </c:cat>
          <c:val>
            <c:numRef>
              <c:f>'Pivot Table'!$B$19:$B$21</c:f>
              <c:numCache>
                <c:formatCode>General</c:formatCode>
                <c:ptCount val="2"/>
                <c:pt idx="0">
                  <c:v>2.68356997971602</c:v>
                </c:pt>
                <c:pt idx="1">
                  <c:v>2.68047337278107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b574c5-a346-4522-9f26-021e9470207c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Table'!$A$27:$A$31</c:f>
              <c:strCache>
                <c:ptCount val="4"/>
                <c:pt idx="0">
                  <c:v>20-30</c:v>
                </c:pt>
                <c:pt idx="1">
                  <c:v>31-41</c:v>
                </c:pt>
                <c:pt idx="2">
                  <c:v>41-50</c:v>
                </c:pt>
                <c:pt idx="3">
                  <c:v>below 20</c:v>
                </c:pt>
              </c:strCache>
            </c:strRef>
          </c:cat>
          <c:val>
            <c:numRef>
              <c:f>'Pivot Table'!$B$27:$B$31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516049836"/>
        <c:axId val="885811256"/>
      </c:barChart>
      <c:catAx>
        <c:axId val="5160498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5811256"/>
        <c:crosses val="autoZero"/>
        <c:auto val="1"/>
        <c:lblAlgn val="ctr"/>
        <c:lblOffset val="100"/>
        <c:noMultiLvlLbl val="0"/>
      </c:catAx>
      <c:valAx>
        <c:axId val="88581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60498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7bbfd54-04b9-462b-8dc8-9a0b099f82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Table!PivotTable6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Table'!$A$42:$A$50</c:f>
              <c:strCache>
                <c:ptCount val="8"/>
                <c:pt idx="0">
                  <c:v>BodyBalance</c:v>
                </c:pt>
                <c:pt idx="1">
                  <c:v>BodyBalance, XCore, Kickboxen</c:v>
                </c:pt>
                <c:pt idx="2">
                  <c:v>BodyPump</c:v>
                </c:pt>
                <c:pt idx="3">
                  <c:v>LesMiles</c:v>
                </c:pt>
                <c:pt idx="4">
                  <c:v>LesMiles, Zumba, Pilates</c:v>
                </c:pt>
                <c:pt idx="5">
                  <c:v>Pilates</c:v>
                </c:pt>
                <c:pt idx="6">
                  <c:v>Yoga, Pilates, Running</c:v>
                </c:pt>
                <c:pt idx="7">
                  <c:v>(blank)</c:v>
                </c:pt>
              </c:strCache>
            </c:strRef>
          </c:cat>
          <c:val>
            <c:numRef>
              <c:f>'Pivot Table'!$B$42:$B$50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81022579"/>
        <c:axId val="576901614"/>
      </c:barChart>
      <c:catAx>
        <c:axId val="8102257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6901614"/>
        <c:crosses val="autoZero"/>
        <c:auto val="1"/>
        <c:lblAlgn val="ctr"/>
        <c:lblOffset val="100"/>
        <c:noMultiLvlLbl val="0"/>
      </c:catAx>
      <c:valAx>
        <c:axId val="57690161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225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13daa1-c55c-485c-b275-2f296b9aff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[Raw Gym Membership Dataset.xlsx]Pivot Table!PivotTable7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IN"/>
              <a:t>Total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Table'!$B$56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Table'!$A$57:$A$59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'Pivot Table'!$B$57:$B$59</c:f>
              <c:numCache>
                <c:formatCode>General</c:formatCode>
                <c:ptCount val="2"/>
                <c:pt idx="0">
                  <c:v>10</c:v>
                </c:pt>
                <c:pt idx="1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215b479-ade7-4e1e-9276-5c609418f8a9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Table!PivotTable8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Table'!$A$63:$A$67</c:f>
              <c:strCache>
                <c:ptCount val="4"/>
                <c:pt idx="0">
                  <c:v>Chantal</c:v>
                </c:pt>
                <c:pt idx="1">
                  <c:v>Hanna</c:v>
                </c:pt>
                <c:pt idx="2">
                  <c:v>Jeffrey</c:v>
                </c:pt>
                <c:pt idx="3">
                  <c:v>Mike</c:v>
                </c:pt>
              </c:strCache>
            </c:strRef>
          </c:cat>
          <c:val>
            <c:numRef>
              <c:f>'Pivot Table'!$B$63:$B$67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857340119"/>
        <c:axId val="845787602"/>
      </c:barChart>
      <c:catAx>
        <c:axId val="857340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5787602"/>
        <c:crosses val="autoZero"/>
        <c:auto val="1"/>
        <c:lblAlgn val="ctr"/>
        <c:lblOffset val="100"/>
        <c:noMultiLvlLbl val="0"/>
      </c:catAx>
      <c:valAx>
        <c:axId val="8457876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340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ee1e28b-1544-495c-a9bd-af1be7da0f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[Raw Gym Membership Dataset.xlsx]Pivot Table!PivotTable11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Table'!$A$193:$A$195</c:f>
              <c:strCache>
                <c:ptCount val="2"/>
                <c:pt idx="0">
                  <c:v>Premium</c:v>
                </c:pt>
                <c:pt idx="1">
                  <c:v>Standard</c:v>
                </c:pt>
              </c:strCache>
            </c:strRef>
          </c:cat>
          <c:val>
            <c:numRef>
              <c:f>'Pivot Table'!$B$193:$B$195</c:f>
              <c:numCache>
                <c:formatCode>General</c:formatCode>
                <c:ptCount val="2"/>
                <c:pt idx="0">
                  <c:v>75.8571428571429</c:v>
                </c:pt>
                <c:pt idx="1">
                  <c:v>99.9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07745807"/>
        <c:axId val="226130883"/>
      </c:barChart>
      <c:catAx>
        <c:axId val="407745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26130883"/>
        <c:crosses val="autoZero"/>
        <c:auto val="1"/>
        <c:lblAlgn val="ctr"/>
        <c:lblOffset val="100"/>
        <c:noMultiLvlLbl val="0"/>
      </c:catAx>
      <c:valAx>
        <c:axId val="2261308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0774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2e0930-d12d-4e9a-8137-d3d9866999e4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[Raw Gym Membership Dataset.xlsx]Pivot Table!PivotTable10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  <a:alpha val="91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Table'!$A$77:$A$83</c:f>
              <c:strCache>
                <c:ptCount val="7"/>
                <c:pt idx="0">
                  <c:v>Sum of Sun</c:v>
                </c:pt>
                <c:pt idx="1">
                  <c:v>Sum of Mon</c:v>
                </c:pt>
                <c:pt idx="2">
                  <c:v>Sum of Tue</c:v>
                </c:pt>
                <c:pt idx="3">
                  <c:v>Sum of Wed</c:v>
                </c:pt>
                <c:pt idx="4">
                  <c:v>Sum of Thu</c:v>
                </c:pt>
                <c:pt idx="5">
                  <c:v>Sum of Fri</c:v>
                </c:pt>
                <c:pt idx="6">
                  <c:v>Sum of Sat</c:v>
                </c:pt>
              </c:strCache>
            </c:strRef>
          </c:cat>
          <c:val>
            <c:numRef>
              <c:f>'Pivot Table'!$B$77:$B$83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29675446"/>
        <c:axId val="323836616"/>
      </c:barChart>
      <c:catAx>
        <c:axId val="22967544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3836616"/>
        <c:crosses val="autoZero"/>
        <c:auto val="1"/>
        <c:lblAlgn val="ctr"/>
        <c:lblOffset val="100"/>
        <c:noMultiLvlLbl val="0"/>
      </c:catAx>
      <c:valAx>
        <c:axId val="323836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96754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c7523d-2311-4229-a4f7-35c692e5721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Table'!$A$4:$A$6</c:f>
              <c:strCache>
                <c:ptCount val="2"/>
                <c:pt idx="0">
                  <c:v>Premium</c:v>
                </c:pt>
                <c:pt idx="1">
                  <c:v>Standard</c:v>
                </c:pt>
              </c:strCache>
            </c:strRef>
          </c:cat>
          <c:val>
            <c:numRef>
              <c:f>'Pivot Table'!$B$4:$B$6</c:f>
              <c:numCache>
                <c:formatCode>General</c:formatCode>
                <c:ptCount val="2"/>
                <c:pt idx="0">
                  <c:v>493</c:v>
                </c:pt>
                <c:pt idx="1">
                  <c:v>507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245713305"/>
        <c:axId val="713397974"/>
      </c:barChart>
      <c:catAx>
        <c:axId val="2457133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397974"/>
        <c:crosses val="autoZero"/>
        <c:auto val="1"/>
        <c:lblAlgn val="ctr"/>
        <c:lblOffset val="100"/>
        <c:noMultiLvlLbl val="0"/>
      </c:catAx>
      <c:valAx>
        <c:axId val="7133979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71330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02c7a6e-8399-4a84-afc5-6d5085febb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Table'!$B$34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Table'!$A$35:$A$37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'Pivot Table'!$B$35:$B$37</c:f>
              <c:numCache>
                <c:formatCode>General</c:formatCode>
                <c:ptCount val="2"/>
                <c:pt idx="0">
                  <c:v>10</c:v>
                </c:pt>
                <c:pt idx="1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f81f63-9847-422e-92dc-2c9a099cef3b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Table'!$A$11:$A$13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Table'!$B$11:$B$13</c:f>
              <c:numCache>
                <c:formatCode>General</c:formatCode>
                <c:ptCount val="2"/>
                <c:pt idx="0">
                  <c:v>503</c:v>
                </c:pt>
                <c:pt idx="1">
                  <c:v>497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76495701"/>
        <c:axId val="851238134"/>
      </c:barChart>
      <c:catAx>
        <c:axId val="97649570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238134"/>
        <c:crosses val="autoZero"/>
        <c:auto val="1"/>
        <c:lblAlgn val="ctr"/>
        <c:lblOffset val="100"/>
        <c:noMultiLvlLbl val="0"/>
      </c:catAx>
      <c:valAx>
        <c:axId val="85123813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64957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da6786-c3fc-4fb7-8dea-75f26d0a54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Total</a:t>
            </a:r>
            <a:endParaRPr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Table'!$A$4:$A$6</c:f>
              <c:strCache>
                <c:ptCount val="2"/>
                <c:pt idx="0">
                  <c:v>Premium</c:v>
                </c:pt>
                <c:pt idx="1">
                  <c:v>Standard</c:v>
                </c:pt>
              </c:strCache>
            </c:strRef>
          </c:cat>
          <c:val>
            <c:numRef>
              <c:f>'Pivot Table'!$B$4:$B$6</c:f>
              <c:numCache>
                <c:formatCode>General</c:formatCode>
                <c:ptCount val="2"/>
                <c:pt idx="0">
                  <c:v>493</c:v>
                </c:pt>
                <c:pt idx="1">
                  <c:v>507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245713305"/>
        <c:axId val="713397974"/>
      </c:barChart>
      <c:catAx>
        <c:axId val="2457133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713397974"/>
        <c:crosses val="autoZero"/>
        <c:auto val="1"/>
        <c:lblAlgn val="ctr"/>
        <c:lblOffset val="100"/>
        <c:noMultiLvlLbl val="0"/>
      </c:catAx>
      <c:valAx>
        <c:axId val="7133979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24571330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46d0c04-c00d-464c-b332-896d171c7d9e}"/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bg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[Raw Gym Membership Dataset.xlsx]Pivot Table!PivotTable10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Total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Table'!$A$77:$A$83</c:f>
              <c:strCache>
                <c:ptCount val="7"/>
                <c:pt idx="0">
                  <c:v>Sum of Sun</c:v>
                </c:pt>
                <c:pt idx="1">
                  <c:v>Sum of Mon</c:v>
                </c:pt>
                <c:pt idx="2">
                  <c:v>Sum of Tue</c:v>
                </c:pt>
                <c:pt idx="3">
                  <c:v>Sum of Wed</c:v>
                </c:pt>
                <c:pt idx="4">
                  <c:v>Sum of Thu</c:v>
                </c:pt>
                <c:pt idx="5">
                  <c:v>Sum of Fri</c:v>
                </c:pt>
                <c:pt idx="6">
                  <c:v>Sum of Sat</c:v>
                </c:pt>
              </c:strCache>
            </c:strRef>
          </c:cat>
          <c:val>
            <c:numRef>
              <c:f>'Pivot Table'!$B$77:$B$83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29675446"/>
        <c:axId val="323836616"/>
      </c:barChart>
      <c:catAx>
        <c:axId val="22967544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23836616"/>
        <c:crosses val="autoZero"/>
        <c:auto val="1"/>
        <c:lblAlgn val="ctr"/>
        <c:lblOffset val="100"/>
        <c:noMultiLvlLbl val="0"/>
      </c:catAx>
      <c:valAx>
        <c:axId val="323836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296754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c7523d-2311-4229-a4f7-35c692e57210}"/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</a:p>
  </c:txPr>
  <c:externalData r:id="rId1">
    <c:autoUpdate val="0"/>
  </c:externalData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Table!PivotTable4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Total</a:t>
            </a:r>
            <a:endParaRPr lang="en-IN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74822695035461"/>
          <c:y val="0.24228439573118"/>
          <c:w val="0.56903073286052"/>
          <c:h val="0.4867608883761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Table'!$B$26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Table'!$A$27:$A$31</c:f>
              <c:strCache>
                <c:ptCount val="4"/>
                <c:pt idx="0">
                  <c:v>20-30</c:v>
                </c:pt>
                <c:pt idx="1">
                  <c:v>31-41</c:v>
                </c:pt>
                <c:pt idx="2">
                  <c:v>41-50</c:v>
                </c:pt>
                <c:pt idx="3">
                  <c:v>below 20</c:v>
                </c:pt>
              </c:strCache>
            </c:strRef>
          </c:cat>
          <c:val>
            <c:numRef>
              <c:f>'Pivot Table'!$B$27:$B$31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516049836"/>
        <c:axId val="885811256"/>
      </c:barChart>
      <c:catAx>
        <c:axId val="5160498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85811256"/>
        <c:crosses val="autoZero"/>
        <c:auto val="1"/>
        <c:lblAlgn val="ctr"/>
        <c:lblOffset val="100"/>
        <c:noMultiLvlLbl val="0"/>
      </c:catAx>
      <c:valAx>
        <c:axId val="88581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160498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7bbfd54-04b9-462b-8dc8-9a0b099f8208}"/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</a:p>
  </c:txPr>
  <c:externalData r:id="rId1">
    <c:autoUpdate val="0"/>
  </c:externalData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Table!PivotTable5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Total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Table'!$B$34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Table'!$A$35:$A$37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'Pivot Table'!$B$35:$B$37</c:f>
              <c:numCache>
                <c:formatCode>General</c:formatCode>
                <c:ptCount val="2"/>
                <c:pt idx="0">
                  <c:v>10</c:v>
                </c:pt>
                <c:pt idx="1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a05f03-1756-48d5-af7e-83277e8b8672}"/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Total</a:t>
            </a:r>
            <a:endParaRPr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446449026345934"/>
          <c:y val="0.026133743274404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Table'!$A$11:$A$13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Table'!$B$11:$B$13</c:f>
              <c:numCache>
                <c:formatCode>General</c:formatCode>
                <c:ptCount val="2"/>
                <c:pt idx="0">
                  <c:v>503</c:v>
                </c:pt>
                <c:pt idx="1">
                  <c:v>497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76495701"/>
        <c:axId val="851238134"/>
      </c:barChart>
      <c:catAx>
        <c:axId val="97649570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51238134"/>
        <c:crosses val="autoZero"/>
        <c:auto val="1"/>
        <c:lblAlgn val="ctr"/>
        <c:lblOffset val="100"/>
        <c:noMultiLvlLbl val="0"/>
      </c:catAx>
      <c:valAx>
        <c:axId val="85123813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9764957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b31070-ff2f-4ebc-85a2-dc6e538dc6ae}"/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</a:p>
  </c:txPr>
  <c:externalData r:id="rId1">
    <c:autoUpdate val="0"/>
  </c:externalData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2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png"/><Relationship Id="rId8" Type="http://schemas.openxmlformats.org/officeDocument/2006/relationships/image" Target="../media/image3.png"/><Relationship Id="rId7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1" Type="http://schemas.openxmlformats.org/officeDocument/2006/relationships/image" Target="../media/image6.png"/><Relationship Id="rId10" Type="http://schemas.openxmlformats.org/officeDocument/2006/relationships/image" Target="../media/image5.png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13</xdr:row>
      <xdr:rowOff>106045</xdr:rowOff>
    </xdr:from>
    <xdr:to>
      <xdr:col>8</xdr:col>
      <xdr:colOff>238125</xdr:colOff>
      <xdr:row>24</xdr:row>
      <xdr:rowOff>19050</xdr:rowOff>
    </xdr:to>
    <xdr:graphicFrame>
      <xdr:nvGraphicFramePr>
        <xdr:cNvPr id="5" name="Chart 4" descr="7b0a202020202263686172745265734964223a20223230343732323037220a7d0a"/>
        <xdr:cNvGraphicFramePr/>
      </xdr:nvGraphicFramePr>
      <xdr:xfrm>
        <a:off x="2095500" y="2601595"/>
        <a:ext cx="1866900" cy="2018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</xdr:colOff>
      <xdr:row>25</xdr:row>
      <xdr:rowOff>30480</xdr:rowOff>
    </xdr:from>
    <xdr:to>
      <xdr:col>8</xdr:col>
      <xdr:colOff>781050</xdr:colOff>
      <xdr:row>36</xdr:row>
      <xdr:rowOff>127000</xdr:rowOff>
    </xdr:to>
    <xdr:graphicFrame>
      <xdr:nvGraphicFramePr>
        <xdr:cNvPr id="6" name="Chart 5" descr="7b0a202020202263686172745265734964223a202234363130333534220a7d0a"/>
        <xdr:cNvGraphicFramePr/>
      </xdr:nvGraphicFramePr>
      <xdr:xfrm>
        <a:off x="2127885" y="4831080"/>
        <a:ext cx="2196465" cy="2201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342900</xdr:colOff>
      <xdr:row>38</xdr:row>
      <xdr:rowOff>28575</xdr:rowOff>
    </xdr:from>
    <xdr:to>
      <xdr:col>11</xdr:col>
      <xdr:colOff>102870</xdr:colOff>
      <xdr:row>51</xdr:row>
      <xdr:rowOff>76200</xdr:rowOff>
    </xdr:to>
    <xdr:graphicFrame>
      <xdr:nvGraphicFramePr>
        <xdr:cNvPr id="8" name="Chart 7"/>
        <xdr:cNvGraphicFramePr/>
      </xdr:nvGraphicFramePr>
      <xdr:xfrm>
        <a:off x="2809875" y="7315200"/>
        <a:ext cx="3674745" cy="2533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323850</xdr:colOff>
      <xdr:row>54</xdr:row>
      <xdr:rowOff>39370</xdr:rowOff>
    </xdr:from>
    <xdr:to>
      <xdr:col>9</xdr:col>
      <xdr:colOff>229235</xdr:colOff>
      <xdr:row>66</xdr:row>
      <xdr:rowOff>139065</xdr:rowOff>
    </xdr:to>
    <xdr:graphicFrame>
      <xdr:nvGraphicFramePr>
        <xdr:cNvPr id="9" name="Chart 8" descr="7b0a202020202263686172745265734964223a202234353338343236220a7d0a"/>
        <xdr:cNvGraphicFramePr/>
      </xdr:nvGraphicFramePr>
      <xdr:xfrm>
        <a:off x="2419350" y="10383520"/>
        <a:ext cx="2134235" cy="2395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364490</xdr:colOff>
      <xdr:row>52</xdr:row>
      <xdr:rowOff>60325</xdr:rowOff>
    </xdr:from>
    <xdr:to>
      <xdr:col>16</xdr:col>
      <xdr:colOff>390525</xdr:colOff>
      <xdr:row>66</xdr:row>
      <xdr:rowOff>136525</xdr:rowOff>
    </xdr:to>
    <xdr:graphicFrame>
      <xdr:nvGraphicFramePr>
        <xdr:cNvPr id="10" name="Chart 9" descr="7b0a202020202263686172745265734964223a202234353536333835220a7d0a"/>
        <xdr:cNvGraphicFramePr/>
      </xdr:nvGraphicFramePr>
      <xdr:xfrm>
        <a:off x="5555615" y="10023475"/>
        <a:ext cx="8541385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574040</xdr:colOff>
      <xdr:row>181</xdr:row>
      <xdr:rowOff>152400</xdr:rowOff>
    </xdr:from>
    <xdr:to>
      <xdr:col>9</xdr:col>
      <xdr:colOff>361950</xdr:colOff>
      <xdr:row>195</xdr:row>
      <xdr:rowOff>95250</xdr:rowOff>
    </xdr:to>
    <xdr:graphicFrame>
      <xdr:nvGraphicFramePr>
        <xdr:cNvPr id="13" name="Chart 12" descr="7b0a202020202263686172745265734964223a20223230333532363935220a7d0a"/>
        <xdr:cNvGraphicFramePr/>
      </xdr:nvGraphicFramePr>
      <xdr:xfrm>
        <a:off x="2466975" y="34718625"/>
        <a:ext cx="2219325" cy="2619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240665</xdr:colOff>
      <xdr:row>68</xdr:row>
      <xdr:rowOff>164465</xdr:rowOff>
    </xdr:from>
    <xdr:to>
      <xdr:col>11</xdr:col>
      <xdr:colOff>619760</xdr:colOff>
      <xdr:row>81</xdr:row>
      <xdr:rowOff>127000</xdr:rowOff>
    </xdr:to>
    <xdr:graphicFrame>
      <xdr:nvGraphicFramePr>
        <xdr:cNvPr id="4" name="Chart 3" descr="7b0a202020202263686172745265734964223a20223230333532363935220a7d0a"/>
        <xdr:cNvGraphicFramePr/>
      </xdr:nvGraphicFramePr>
      <xdr:xfrm>
        <a:off x="2336165" y="13185140"/>
        <a:ext cx="4665345" cy="2458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155575</xdr:colOff>
      <xdr:row>0</xdr:row>
      <xdr:rowOff>120015</xdr:rowOff>
    </xdr:from>
    <xdr:to>
      <xdr:col>9</xdr:col>
      <xdr:colOff>257175</xdr:colOff>
      <xdr:row>12</xdr:row>
      <xdr:rowOff>187960</xdr:rowOff>
    </xdr:to>
    <xdr:graphicFrame>
      <xdr:nvGraphicFramePr>
        <xdr:cNvPr id="11" name="Chart 10" descr="7b0a202020202263686172745265734964223a202234363130333534220a7d0a"/>
        <xdr:cNvGraphicFramePr/>
      </xdr:nvGraphicFramePr>
      <xdr:xfrm>
        <a:off x="1870075" y="120015"/>
        <a:ext cx="2711450" cy="2372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649605</xdr:colOff>
      <xdr:row>26</xdr:row>
      <xdr:rowOff>82550</xdr:rowOff>
    </xdr:from>
    <xdr:to>
      <xdr:col>11</xdr:col>
      <xdr:colOff>1296035</xdr:colOff>
      <xdr:row>36</xdr:row>
      <xdr:rowOff>177800</xdr:rowOff>
    </xdr:to>
    <xdr:graphicFrame>
      <xdr:nvGraphicFramePr>
        <xdr:cNvPr id="16" name="Chart 15" descr="7b0a202020202263686172745265734964223a20223230323931393734220a7d0a"/>
        <xdr:cNvGraphicFramePr/>
      </xdr:nvGraphicFramePr>
      <xdr:xfrm>
        <a:off x="4973955" y="5073650"/>
        <a:ext cx="2703830" cy="2009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79375</xdr:colOff>
      <xdr:row>1</xdr:row>
      <xdr:rowOff>34925</xdr:rowOff>
    </xdr:from>
    <xdr:to>
      <xdr:col>12</xdr:col>
      <xdr:colOff>1028700</xdr:colOff>
      <xdr:row>15</xdr:row>
      <xdr:rowOff>92075</xdr:rowOff>
    </xdr:to>
    <xdr:graphicFrame>
      <xdr:nvGraphicFramePr>
        <xdr:cNvPr id="18" name="Chart 17" descr="7b0a202020202263686172745265734964223a20223230333532363935220a7d0a"/>
        <xdr:cNvGraphicFramePr/>
      </xdr:nvGraphicFramePr>
      <xdr:xfrm>
        <a:off x="5270500" y="225425"/>
        <a:ext cx="36544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560070</xdr:colOff>
      <xdr:row>0</xdr:row>
      <xdr:rowOff>31750</xdr:rowOff>
    </xdr:from>
    <xdr:to>
      <xdr:col>30</xdr:col>
      <xdr:colOff>32385</xdr:colOff>
      <xdr:row>41</xdr:row>
      <xdr:rowOff>80010</xdr:rowOff>
    </xdr:to>
    <xdr:sp>
      <xdr:nvSpPr>
        <xdr:cNvPr id="2" name="Flowchart: Process 1"/>
        <xdr:cNvSpPr/>
      </xdr:nvSpPr>
      <xdr:spPr>
        <a:xfrm>
          <a:off x="1169670" y="31750"/>
          <a:ext cx="17150715" cy="7858760"/>
        </a:xfrm>
        <a:prstGeom prst="flowChartProcess">
          <a:avLst/>
        </a:prstGeom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0">
          <a:srgbClr val="FFFFFF"/>
        </a:lnRef>
        <a:fillRef idx="1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100">
              <a:solidFill>
                <a:schemeClr val="bg1"/>
              </a:solidFill>
            </a:rPr>
            <a:t>jbjbkj</a:t>
          </a:r>
          <a:endParaRPr lang="en-IN" alt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579120</xdr:colOff>
      <xdr:row>0</xdr:row>
      <xdr:rowOff>47625</xdr:rowOff>
    </xdr:from>
    <xdr:to>
      <xdr:col>30</xdr:col>
      <xdr:colOff>34925</xdr:colOff>
      <xdr:row>4</xdr:row>
      <xdr:rowOff>151765</xdr:rowOff>
    </xdr:to>
    <xdr:pic>
      <xdr:nvPicPr>
        <xdr:cNvPr id="3" name="Picture 2" descr="Screenshot 2026-10-05 141522"/>
        <xdr:cNvPicPr>
          <a:picLocks noChangeAspect="1"/>
        </xdr:cNvPicPr>
      </xdr:nvPicPr>
      <xdr:blipFill>
        <a:blip r:embed="rId6"/>
        <a:srcRect l="1235" t="11521"/>
        <a:stretch>
          <a:fillRect/>
        </a:stretch>
      </xdr:blipFill>
      <xdr:spPr>
        <a:xfrm>
          <a:off x="1188720" y="47625"/>
          <a:ext cx="17134205" cy="866140"/>
        </a:xfrm>
        <a:prstGeom prst="rect">
          <a:avLst/>
        </a:prstGeom>
      </xdr:spPr>
    </xdr:pic>
    <xdr:clientData/>
  </xdr:twoCellAnchor>
  <xdr:twoCellAnchor>
    <xdr:from>
      <xdr:col>2</xdr:col>
      <xdr:colOff>54610</xdr:colOff>
      <xdr:row>5</xdr:row>
      <xdr:rowOff>55245</xdr:rowOff>
    </xdr:from>
    <xdr:to>
      <xdr:col>5</xdr:col>
      <xdr:colOff>551180</xdr:colOff>
      <xdr:row>11</xdr:row>
      <xdr:rowOff>37465</xdr:rowOff>
    </xdr:to>
    <xdr:sp>
      <xdr:nvSpPr>
        <xdr:cNvPr id="4" name="Text Box 3"/>
        <xdr:cNvSpPr txBox="1"/>
      </xdr:nvSpPr>
      <xdr:spPr>
        <a:xfrm>
          <a:off x="1273810" y="1007745"/>
          <a:ext cx="2325370" cy="112522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3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r"/>
          <a:endParaRPr lang="en-IN" altLang="en-US" sz="1600" b="1">
            <a:latin typeface="Arial Black" panose="020B0A04020102020204" charset="0"/>
            <a:cs typeface="Arial Black" panose="020B0A04020102020204" charset="0"/>
          </a:endParaRPr>
        </a:p>
        <a:p>
          <a:pPr algn="r"/>
          <a:r>
            <a:rPr lang="en-IN" altLang="en-US" sz="1600" b="1">
              <a:solidFill>
                <a:srgbClr val="002060"/>
              </a:solidFill>
              <a:latin typeface="Arial Black" panose="020B0A04020102020204" charset="0"/>
              <a:cs typeface="Arial Black" panose="020B0A04020102020204" charset="0"/>
            </a:rPr>
            <a:t>   Total Members</a:t>
          </a:r>
          <a:endParaRPr lang="en-IN" altLang="en-US" sz="1800" b="1">
            <a:solidFill>
              <a:srgbClr val="002060"/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l"/>
          <a:r>
            <a:rPr lang="en-IN" altLang="en-US" sz="1800" b="1">
              <a:solidFill>
                <a:srgbClr val="002060"/>
              </a:solidFill>
              <a:latin typeface="Arial Black" panose="020B0A04020102020204" charset="0"/>
              <a:cs typeface="Arial Black" panose="020B0A04020102020204" charset="0"/>
            </a:rPr>
            <a:t>           1000</a:t>
          </a:r>
          <a:endParaRPr lang="en-IN" altLang="en-US" sz="1800" b="1">
            <a:solidFill>
              <a:srgbClr val="002060"/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l"/>
          <a:endParaRPr lang="en-IN" altLang="en-US" sz="1800" b="1">
            <a:solidFill>
              <a:srgbClr val="002060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6</xdr:col>
      <xdr:colOff>45720</xdr:colOff>
      <xdr:row>5</xdr:row>
      <xdr:rowOff>52705</xdr:rowOff>
    </xdr:from>
    <xdr:to>
      <xdr:col>10</xdr:col>
      <xdr:colOff>18415</xdr:colOff>
      <xdr:row>11</xdr:row>
      <xdr:rowOff>55245</xdr:rowOff>
    </xdr:to>
    <xdr:sp>
      <xdr:nvSpPr>
        <xdr:cNvPr id="5" name="Text Box 4"/>
        <xdr:cNvSpPr txBox="1"/>
      </xdr:nvSpPr>
      <xdr:spPr>
        <a:xfrm>
          <a:off x="3703320" y="1005205"/>
          <a:ext cx="2411095" cy="11455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3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r"/>
          <a:endParaRPr lang="en-IN" altLang="en-US" sz="1600" b="1">
            <a:latin typeface="Arial Black" panose="020B0A04020102020204" charset="0"/>
            <a:cs typeface="Arial Black" panose="020B0A04020102020204" charset="0"/>
          </a:endParaRPr>
        </a:p>
        <a:p>
          <a:pPr algn="r"/>
          <a:r>
            <a:rPr lang="en-IN" altLang="en-US" sz="1600" b="1">
              <a:solidFill>
                <a:schemeClr val="accent6">
                  <a:lumMod val="50000"/>
                </a:schemeClr>
              </a:solidFill>
              <a:latin typeface="Arial Black" panose="020B0A04020102020204" charset="0"/>
              <a:cs typeface="Arial Black" panose="020B0A04020102020204" charset="0"/>
            </a:rPr>
            <a:t>Avg GYM Time</a:t>
          </a:r>
          <a:endParaRPr lang="en-IN" altLang="en-US" sz="1600" b="1">
            <a:solidFill>
              <a:schemeClr val="accent6">
                <a:lumMod val="50000"/>
              </a:schemeClr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IN" altLang="en-US" sz="1800" b="1">
              <a:solidFill>
                <a:schemeClr val="accent6">
                  <a:lumMod val="50000"/>
                </a:schemeClr>
              </a:solidFill>
              <a:latin typeface="Arial Black" panose="020B0A04020102020204" charset="0"/>
              <a:cs typeface="Arial Black" panose="020B0A04020102020204" charset="0"/>
            </a:rPr>
            <a:t>101.6</a:t>
          </a:r>
          <a:endParaRPr lang="en-IN" altLang="en-US" sz="1600" b="1">
            <a:solidFill>
              <a:schemeClr val="accent6">
                <a:lumMod val="50000"/>
              </a:schemeClr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r"/>
          <a:endParaRPr lang="en-IN" altLang="en-US" sz="1600" b="1">
            <a:solidFill>
              <a:schemeClr val="accent6">
                <a:lumMod val="50000"/>
              </a:schemeClr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r"/>
          <a:endParaRPr lang="en-IN" altLang="en-US" sz="1600" b="1">
            <a:solidFill>
              <a:schemeClr val="accent6">
                <a:lumMod val="50000"/>
              </a:schemeClr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10</xdr:col>
      <xdr:colOff>151130</xdr:colOff>
      <xdr:row>5</xdr:row>
      <xdr:rowOff>55245</xdr:rowOff>
    </xdr:from>
    <xdr:to>
      <xdr:col>14</xdr:col>
      <xdr:colOff>21590</xdr:colOff>
      <xdr:row>11</xdr:row>
      <xdr:rowOff>26670</xdr:rowOff>
    </xdr:to>
    <xdr:sp>
      <xdr:nvSpPr>
        <xdr:cNvPr id="6" name="Text Box 5"/>
        <xdr:cNvSpPr txBox="1"/>
      </xdr:nvSpPr>
      <xdr:spPr>
        <a:xfrm>
          <a:off x="6247130" y="1007745"/>
          <a:ext cx="2308860" cy="11144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r"/>
          <a:endParaRPr lang="en-IN" altLang="en-US" sz="1400" b="1">
            <a:latin typeface="Arial Black" panose="020B0A04020102020204" charset="0"/>
            <a:cs typeface="Arial Black" panose="020B0A04020102020204" charset="0"/>
          </a:endParaRPr>
        </a:p>
        <a:p>
          <a:pPr algn="r"/>
          <a:r>
            <a:rPr lang="en-IN" altLang="en-US" sz="1400" b="1">
              <a:solidFill>
                <a:srgbClr val="7030A0"/>
              </a:solidFill>
              <a:latin typeface="Arial Black" panose="020B0A04020102020204" charset="0"/>
              <a:cs typeface="Arial Black" panose="020B0A04020102020204" charset="0"/>
            </a:rPr>
            <a:t>Avg.Visit/ Week</a:t>
          </a:r>
          <a:endParaRPr lang="en-IN" altLang="en-US" sz="1400" b="1">
            <a:solidFill>
              <a:srgbClr val="7030A0"/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IN" altLang="en-US" sz="1600" b="1">
              <a:solidFill>
                <a:srgbClr val="7030A0"/>
              </a:solidFill>
              <a:latin typeface="Arial Black" panose="020B0A04020102020204" charset="0"/>
              <a:cs typeface="Arial Black" panose="020B0A04020102020204" charset="0"/>
            </a:rPr>
            <a:t>2.682</a:t>
          </a:r>
          <a:endParaRPr lang="en-IN" altLang="en-US" sz="1400" b="1">
            <a:solidFill>
              <a:srgbClr val="7030A0"/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r"/>
          <a:endParaRPr lang="en-IN" altLang="en-US" sz="1400" b="1">
            <a:solidFill>
              <a:srgbClr val="7030A0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14</xdr:col>
      <xdr:colOff>179070</xdr:colOff>
      <xdr:row>5</xdr:row>
      <xdr:rowOff>58420</xdr:rowOff>
    </xdr:from>
    <xdr:to>
      <xdr:col>18</xdr:col>
      <xdr:colOff>267335</xdr:colOff>
      <xdr:row>11</xdr:row>
      <xdr:rowOff>26670</xdr:rowOff>
    </xdr:to>
    <xdr:sp>
      <xdr:nvSpPr>
        <xdr:cNvPr id="7" name="Text Box 6"/>
        <xdr:cNvSpPr txBox="1"/>
      </xdr:nvSpPr>
      <xdr:spPr>
        <a:xfrm>
          <a:off x="8713470" y="1010920"/>
          <a:ext cx="2526665" cy="11112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3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r"/>
          <a:endParaRPr lang="en-IN" altLang="en-US" sz="1400" b="1">
            <a:latin typeface="Arial Black" panose="020B0A04020102020204" charset="0"/>
            <a:cs typeface="Arial Black" panose="020B0A04020102020204" charset="0"/>
          </a:endParaRPr>
        </a:p>
        <a:p>
          <a:pPr algn="r"/>
          <a:r>
            <a:rPr lang="en-IN" altLang="en-US" sz="1400" b="1">
              <a:latin typeface="Arial Black" panose="020B0A04020102020204" charset="0"/>
              <a:cs typeface="Arial Black" panose="020B0A04020102020204" charset="0"/>
            </a:rPr>
            <a:t>       </a:t>
          </a:r>
          <a:r>
            <a:rPr lang="en-IN" altLang="en-US" sz="1400" b="1">
              <a:solidFill>
                <a:schemeClr val="accent2"/>
              </a:solidFill>
              <a:latin typeface="Arial Black" panose="020B0A04020102020204" charset="0"/>
              <a:cs typeface="Arial Black" panose="020B0A04020102020204" charset="0"/>
            </a:rPr>
            <a:t>Premium Members</a:t>
          </a:r>
          <a:endParaRPr lang="en-IN" altLang="en-US" sz="1400" b="1">
            <a:solidFill>
              <a:schemeClr val="accent2"/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IN" altLang="en-US" sz="1600" b="1">
              <a:solidFill>
                <a:schemeClr val="accent2"/>
              </a:solidFill>
              <a:latin typeface="Arial Black" panose="020B0A04020102020204" charset="0"/>
              <a:cs typeface="Arial Black" panose="020B0A04020102020204" charset="0"/>
            </a:rPr>
            <a:t>493</a:t>
          </a:r>
          <a:endParaRPr lang="en-IN" altLang="en-US" sz="1600" b="1">
            <a:solidFill>
              <a:schemeClr val="accent2"/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r"/>
          <a:endParaRPr lang="en-IN" altLang="en-US" sz="1600" b="1">
            <a:solidFill>
              <a:schemeClr val="accent2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18</xdr:col>
      <xdr:colOff>424815</xdr:colOff>
      <xdr:row>5</xdr:row>
      <xdr:rowOff>48895</xdr:rowOff>
    </xdr:from>
    <xdr:to>
      <xdr:col>22</xdr:col>
      <xdr:colOff>529590</xdr:colOff>
      <xdr:row>11</xdr:row>
      <xdr:rowOff>17780</xdr:rowOff>
    </xdr:to>
    <xdr:sp>
      <xdr:nvSpPr>
        <xdr:cNvPr id="8" name="Text Box 7"/>
        <xdr:cNvSpPr txBox="1"/>
      </xdr:nvSpPr>
      <xdr:spPr>
        <a:xfrm>
          <a:off x="11397615" y="1001395"/>
          <a:ext cx="2543175" cy="1111885"/>
        </a:xfrm>
        <a:prstGeom prst="rect">
          <a:avLst/>
        </a:prstGeom>
        <a:solidFill>
          <a:srgbClr val="C3E7E7"/>
        </a:solidFill>
      </xdr:spPr>
      <xdr:style>
        <a:lnRef idx="3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r"/>
          <a:endParaRPr lang="en-IN" altLang="en-US" sz="1400" b="1">
            <a:latin typeface="Arial Black" panose="020B0A04020102020204" charset="0"/>
            <a:cs typeface="Arial Black" panose="020B0A04020102020204" charset="0"/>
          </a:endParaRPr>
        </a:p>
        <a:p>
          <a:pPr algn="r"/>
          <a:r>
            <a:rPr lang="en-IN" altLang="en-US" sz="1400" b="1">
              <a:solidFill>
                <a:srgbClr val="00B0F0"/>
              </a:solidFill>
              <a:latin typeface="Arial Black" panose="020B0A04020102020204" charset="0"/>
              <a:cs typeface="Arial Black" panose="020B0A04020102020204" charset="0"/>
            </a:rPr>
            <a:t>Standard Members</a:t>
          </a:r>
          <a:endParaRPr lang="en-IN" altLang="en-US" sz="1400" b="1">
            <a:solidFill>
              <a:srgbClr val="00B0F0"/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ctr"/>
          <a:r>
            <a:rPr lang="en-IN" altLang="en-US" sz="1600" b="1">
              <a:solidFill>
                <a:srgbClr val="00B0F0"/>
              </a:solidFill>
              <a:latin typeface="Arial Black" panose="020B0A04020102020204" charset="0"/>
              <a:cs typeface="Arial Black" panose="020B0A04020102020204" charset="0"/>
            </a:rPr>
            <a:t>507</a:t>
          </a:r>
          <a:endParaRPr lang="en-IN" altLang="en-US" sz="1600" b="1">
            <a:solidFill>
              <a:srgbClr val="00B0F0"/>
            </a:solidFill>
            <a:latin typeface="Arial Black" panose="020B0A04020102020204" charset="0"/>
            <a:cs typeface="Arial Black" panose="020B0A04020102020204" charset="0"/>
          </a:endParaRPr>
        </a:p>
        <a:p>
          <a:pPr algn="r"/>
          <a:endParaRPr lang="en-IN" altLang="en-US" sz="1600" b="1">
            <a:solidFill>
              <a:srgbClr val="00B0F0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</xdr:col>
      <xdr:colOff>35560</xdr:colOff>
      <xdr:row>12</xdr:row>
      <xdr:rowOff>5080</xdr:rowOff>
    </xdr:from>
    <xdr:to>
      <xdr:col>7</xdr:col>
      <xdr:colOff>354965</xdr:colOff>
      <xdr:row>25</xdr:row>
      <xdr:rowOff>109855</xdr:rowOff>
    </xdr:to>
    <xdr:graphicFrame>
      <xdr:nvGraphicFramePr>
        <xdr:cNvPr id="10" name="Chart 9" descr="7b0a202020202263686172745265734964223a202234363130333534220a7d0a"/>
        <xdr:cNvGraphicFramePr/>
      </xdr:nvGraphicFramePr>
      <xdr:xfrm>
        <a:off x="1254760" y="2291080"/>
        <a:ext cx="3367405" cy="2581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514985</xdr:colOff>
      <xdr:row>25</xdr:row>
      <xdr:rowOff>168910</xdr:rowOff>
    </xdr:from>
    <xdr:to>
      <xdr:col>15</xdr:col>
      <xdr:colOff>107315</xdr:colOff>
      <xdr:row>39</xdr:row>
      <xdr:rowOff>138430</xdr:rowOff>
    </xdr:to>
    <xdr:graphicFrame>
      <xdr:nvGraphicFramePr>
        <xdr:cNvPr id="11" name="Chart 10" descr="7b0a202020202263686172745265734964223a20223230333532363935220a7d0a"/>
        <xdr:cNvGraphicFramePr/>
      </xdr:nvGraphicFramePr>
      <xdr:xfrm>
        <a:off x="4782185" y="4931410"/>
        <a:ext cx="446913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523240</xdr:colOff>
      <xdr:row>12</xdr:row>
      <xdr:rowOff>15240</xdr:rowOff>
    </xdr:from>
    <xdr:to>
      <xdr:col>15</xdr:col>
      <xdr:colOff>128270</xdr:colOff>
      <xdr:row>25</xdr:row>
      <xdr:rowOff>66675</xdr:rowOff>
    </xdr:to>
    <xdr:graphicFrame>
      <xdr:nvGraphicFramePr>
        <xdr:cNvPr id="12" name="Chart 11" descr="7b0a202020202263686172745265734964223a202234363130333534220a7d0a"/>
        <xdr:cNvGraphicFramePr/>
      </xdr:nvGraphicFramePr>
      <xdr:xfrm>
        <a:off x="4790440" y="2301240"/>
        <a:ext cx="4481830" cy="2527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53975</xdr:colOff>
      <xdr:row>26</xdr:row>
      <xdr:rowOff>8255</xdr:rowOff>
    </xdr:from>
    <xdr:to>
      <xdr:col>7</xdr:col>
      <xdr:colOff>384810</xdr:colOff>
      <xdr:row>39</xdr:row>
      <xdr:rowOff>130175</xdr:rowOff>
    </xdr:to>
    <xdr:graphicFrame>
      <xdr:nvGraphicFramePr>
        <xdr:cNvPr id="13" name="Chart 12" descr="7b0a202020202263686172745265734964223a20223230323931393734220a7d0a"/>
        <xdr:cNvGraphicFramePr/>
      </xdr:nvGraphicFramePr>
      <xdr:xfrm>
        <a:off x="1273175" y="4961255"/>
        <a:ext cx="3378835" cy="2598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267335</xdr:colOff>
      <xdr:row>12</xdr:row>
      <xdr:rowOff>18415</xdr:rowOff>
    </xdr:from>
    <xdr:to>
      <xdr:col>22</xdr:col>
      <xdr:colOff>410845</xdr:colOff>
      <xdr:row>25</xdr:row>
      <xdr:rowOff>20320</xdr:rowOff>
    </xdr:to>
    <xdr:graphicFrame>
      <xdr:nvGraphicFramePr>
        <xdr:cNvPr id="14" name="Chart 13" descr="7b0a202020202263686172745265734964223a20223230333532363935220a7d0a"/>
        <xdr:cNvGraphicFramePr/>
      </xdr:nvGraphicFramePr>
      <xdr:xfrm>
        <a:off x="9411335" y="2304415"/>
        <a:ext cx="4410710" cy="2478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97790</xdr:colOff>
      <xdr:row>5</xdr:row>
      <xdr:rowOff>162560</xdr:rowOff>
    </xdr:from>
    <xdr:to>
      <xdr:col>2</xdr:col>
      <xdr:colOff>601345</xdr:colOff>
      <xdr:row>8</xdr:row>
      <xdr:rowOff>141605</xdr:rowOff>
    </xdr:to>
    <xdr:pic>
      <xdr:nvPicPr>
        <xdr:cNvPr id="9" name="Picture 8" descr="Screenshot 2026-10-05 15155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16990" y="1115060"/>
          <a:ext cx="503555" cy="550545"/>
        </a:xfrm>
        <a:prstGeom prst="rect">
          <a:avLst/>
        </a:prstGeom>
      </xdr:spPr>
    </xdr:pic>
    <xdr:clientData/>
  </xdr:twoCellAnchor>
  <xdr:twoCellAnchor editAs="oneCell">
    <xdr:from>
      <xdr:col>6</xdr:col>
      <xdr:colOff>113030</xdr:colOff>
      <xdr:row>5</xdr:row>
      <xdr:rowOff>132080</xdr:rowOff>
    </xdr:from>
    <xdr:to>
      <xdr:col>7</xdr:col>
      <xdr:colOff>37465</xdr:colOff>
      <xdr:row>8</xdr:row>
      <xdr:rowOff>93345</xdr:rowOff>
    </xdr:to>
    <xdr:pic>
      <xdr:nvPicPr>
        <xdr:cNvPr id="15" name="Picture 14" descr="Screenshot 2026-10-05 15160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770630" y="1084580"/>
          <a:ext cx="534035" cy="532765"/>
        </a:xfrm>
        <a:prstGeom prst="rect">
          <a:avLst/>
        </a:prstGeom>
      </xdr:spPr>
    </xdr:pic>
    <xdr:clientData/>
  </xdr:twoCellAnchor>
  <xdr:twoCellAnchor editAs="oneCell">
    <xdr:from>
      <xdr:col>10</xdr:col>
      <xdr:colOff>197485</xdr:colOff>
      <xdr:row>5</xdr:row>
      <xdr:rowOff>153035</xdr:rowOff>
    </xdr:from>
    <xdr:to>
      <xdr:col>11</xdr:col>
      <xdr:colOff>144780</xdr:colOff>
      <xdr:row>8</xdr:row>
      <xdr:rowOff>65405</xdr:rowOff>
    </xdr:to>
    <xdr:pic>
      <xdr:nvPicPr>
        <xdr:cNvPr id="16" name="Picture 15" descr="Screenshot 2026-10-05 15160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293485" y="1105535"/>
          <a:ext cx="556895" cy="483870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254000</xdr:colOff>
      <xdr:row>5</xdr:row>
      <xdr:rowOff>147320</xdr:rowOff>
    </xdr:from>
    <xdr:to>
      <xdr:col>15</xdr:col>
      <xdr:colOff>168910</xdr:colOff>
      <xdr:row>8</xdr:row>
      <xdr:rowOff>51435</xdr:rowOff>
    </xdr:to>
    <xdr:pic>
      <xdr:nvPicPr>
        <xdr:cNvPr id="17" name="Picture 16" descr="Screenshot 2026-10-05 15164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788400" y="1099820"/>
          <a:ext cx="524510" cy="475615"/>
        </a:xfrm>
        <a:prstGeom prst="rect">
          <a:avLst/>
        </a:prstGeom>
      </xdr:spPr>
    </xdr:pic>
    <xdr:clientData/>
  </xdr:twoCellAnchor>
  <xdr:twoCellAnchor editAs="oneCell">
    <xdr:from>
      <xdr:col>18</xdr:col>
      <xdr:colOff>484505</xdr:colOff>
      <xdr:row>5</xdr:row>
      <xdr:rowOff>147320</xdr:rowOff>
    </xdr:from>
    <xdr:to>
      <xdr:col>19</xdr:col>
      <xdr:colOff>381000</xdr:colOff>
      <xdr:row>8</xdr:row>
      <xdr:rowOff>27940</xdr:rowOff>
    </xdr:to>
    <xdr:pic>
      <xdr:nvPicPr>
        <xdr:cNvPr id="18" name="Picture 17" descr="Screenshot 2026-10-05 15163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457305" y="1099820"/>
          <a:ext cx="506095" cy="452120"/>
        </a:xfrm>
        <a:prstGeom prst="rect">
          <a:avLst/>
        </a:prstGeom>
      </xdr:spPr>
    </xdr:pic>
    <xdr:clientData/>
  </xdr:twoCellAnchor>
  <xdr:twoCellAnchor>
    <xdr:from>
      <xdr:col>15</xdr:col>
      <xdr:colOff>257175</xdr:colOff>
      <xdr:row>26</xdr:row>
      <xdr:rowOff>58420</xdr:rowOff>
    </xdr:from>
    <xdr:to>
      <xdr:col>24</xdr:col>
      <xdr:colOff>88265</xdr:colOff>
      <xdr:row>39</xdr:row>
      <xdr:rowOff>179070</xdr:rowOff>
    </xdr:to>
    <xdr:sp>
      <xdr:nvSpPr>
        <xdr:cNvPr id="19" name="Text Box 18"/>
        <xdr:cNvSpPr txBox="1"/>
      </xdr:nvSpPr>
      <xdr:spPr>
        <a:xfrm>
          <a:off x="9401175" y="5011420"/>
          <a:ext cx="5317490" cy="2597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en-US" sz="1100"/>
        </a:p>
        <a:p>
          <a:pPr algn="l"/>
          <a:r>
            <a:rPr lang="en-US" sz="1100"/>
            <a:t>🔑</a:t>
          </a:r>
          <a:r>
            <a:rPr lang="en-US" sz="1400" b="1">
              <a:latin typeface="Arial Black" panose="020B0A04020102020204" charset="0"/>
              <a:cs typeface="Arial Black" panose="020B0A04020102020204" charset="0"/>
            </a:rPr>
            <a:t> Key Insights</a:t>
          </a:r>
          <a:endParaRPr lang="en-US" sz="1400" b="1">
            <a:latin typeface="Arial Black" panose="020B0A04020102020204" charset="0"/>
            <a:cs typeface="Arial Black" panose="020B0A04020102020204" charset="0"/>
          </a:endParaRPr>
        </a:p>
        <a:p>
          <a:pPr algn="l"/>
          <a:endParaRPr lang="en-US" sz="1400" b="1"/>
        </a:p>
        <a:p>
          <a:pPr algn="l"/>
          <a:r>
            <a:rPr lang="en-IN" altLang="en-US" sz="1400" b="1"/>
            <a:t> </a:t>
          </a:r>
          <a:r>
            <a:rPr lang="en-IN" altLang="en-US" sz="1400" b="1">
              <a:latin typeface="Amiri Quran" panose="00000500000000000000" charset="0"/>
              <a:cs typeface="Amiri Quran" panose="00000500000000000000" charset="0"/>
            </a:rPr>
            <a:t> </a:t>
          </a:r>
          <a:r>
            <a:rPr lang="en-US" sz="1400" b="1">
              <a:latin typeface="Amiri Quran" panose="00000500000000000000" charset="0"/>
              <a:cs typeface="Amiri Quran" panose="00000500000000000000" charset="0"/>
            </a:rPr>
            <a:t>Premium vs Standard membership distribution is analyzed.</a:t>
          </a:r>
          <a:endParaRPr lang="en-US" sz="1400" b="1">
            <a:latin typeface="Amiri Quran" panose="00000500000000000000" charset="0"/>
            <a:cs typeface="Amiri Quran" panose="00000500000000000000" charset="0"/>
          </a:endParaRPr>
        </a:p>
        <a:p>
          <a:pPr algn="l"/>
          <a:r>
            <a:rPr lang="en-IN" altLang="en-US" sz="1400" b="1">
              <a:latin typeface="Amiri Quran" panose="00000500000000000000" charset="0"/>
              <a:cs typeface="Amiri Quran" panose="00000500000000000000" charset="0"/>
            </a:rPr>
            <a:t>  </a:t>
          </a:r>
          <a:r>
            <a:rPr lang="en-US" sz="1400" b="1">
              <a:latin typeface="Amiri Quran" panose="00000500000000000000" charset="0"/>
              <a:cs typeface="Amiri Quran" panose="00000500000000000000" charset="0"/>
            </a:rPr>
            <a:t>The most common age group is identified.</a:t>
          </a:r>
          <a:endParaRPr lang="en-US" sz="1400" b="1">
            <a:latin typeface="Amiri Quran" panose="00000500000000000000" charset="0"/>
            <a:cs typeface="Amiri Quran" panose="00000500000000000000" charset="0"/>
          </a:endParaRPr>
        </a:p>
        <a:p>
          <a:pPr algn="l"/>
          <a:r>
            <a:rPr lang="en-IN" altLang="en-US" sz="1400" b="1">
              <a:latin typeface="Amiri Quran" panose="00000500000000000000" charset="0"/>
              <a:cs typeface="Amiri Quran" panose="00000500000000000000" charset="0"/>
            </a:rPr>
            <a:t>  </a:t>
          </a:r>
          <a:r>
            <a:rPr lang="en-US" sz="1400" b="1">
              <a:latin typeface="Amiri Quran" panose="00000500000000000000" charset="0"/>
              <a:cs typeface="Amiri Quran" panose="00000500000000000000" charset="0"/>
            </a:rPr>
            <a:t>Average weekly visits are compared by subscription type.</a:t>
          </a:r>
          <a:endParaRPr lang="en-US" sz="1400" b="1">
            <a:latin typeface="Amiri Quran" panose="00000500000000000000" charset="0"/>
            <a:cs typeface="Amiri Quran" panose="00000500000000000000" charset="0"/>
          </a:endParaRPr>
        </a:p>
        <a:p>
          <a:pPr algn="l"/>
          <a:r>
            <a:rPr lang="en-IN" altLang="en-US" sz="1400" b="1">
              <a:latin typeface="Amiri Quran" panose="00000500000000000000" charset="0"/>
              <a:cs typeface="Amiri Quran" panose="00000500000000000000" charset="0"/>
            </a:rPr>
            <a:t>  </a:t>
          </a:r>
          <a:r>
            <a:rPr lang="en-US" sz="1400" b="1">
              <a:latin typeface="Amiri Quran" panose="00000500000000000000" charset="0"/>
              <a:cs typeface="Amiri Quran" panose="00000500000000000000" charset="0"/>
            </a:rPr>
            <a:t>The most popular group lesson is identified.</a:t>
          </a:r>
          <a:endParaRPr lang="en-US" sz="1400" b="1">
            <a:latin typeface="Amiri Quran" panose="00000500000000000000" charset="0"/>
            <a:cs typeface="Amiri Quran" panose="00000500000000000000" charset="0"/>
          </a:endParaRPr>
        </a:p>
        <a:p>
          <a:pPr algn="l"/>
          <a:r>
            <a:rPr lang="en-IN" altLang="en-US" sz="1400" b="1">
              <a:latin typeface="Amiri Quran" panose="00000500000000000000" charset="0"/>
              <a:cs typeface="Amiri Quran" panose="00000500000000000000" charset="0"/>
            </a:rPr>
            <a:t>  </a:t>
          </a:r>
          <a:r>
            <a:rPr lang="en-US" sz="1400" b="1">
              <a:latin typeface="Amiri Quran" panose="00000500000000000000" charset="0"/>
              <a:cs typeface="Amiri Quran" panose="00000500000000000000" charset="0"/>
            </a:rPr>
            <a:t>Average gym time is compared by subscription type.</a:t>
          </a:r>
          <a:endParaRPr lang="en-US" sz="1400" b="1">
            <a:latin typeface="Amiri Quran" panose="00000500000000000000" charset="0"/>
            <a:cs typeface="Amiri Quran" panose="00000500000000000000" charset="0"/>
          </a:endParaRPr>
        </a:p>
        <a:p>
          <a:pPr algn="l"/>
          <a:r>
            <a:rPr lang="en-IN" altLang="en-US" sz="1400" b="1">
              <a:latin typeface="Amiri Quran" panose="00000500000000000000" charset="0"/>
              <a:cs typeface="Amiri Quran" panose="00000500000000000000" charset="0"/>
            </a:rPr>
            <a:t>  </a:t>
          </a:r>
          <a:r>
            <a:rPr lang="en-US" sz="1400" b="1">
              <a:latin typeface="Amiri Quran" panose="00000500000000000000" charset="0"/>
              <a:cs typeface="Amiri Quran" panose="00000500000000000000" charset="0"/>
            </a:rPr>
            <a:t>The most commonly visited day and top personal trainer are identified.</a:t>
          </a:r>
          <a:endParaRPr lang="en-US" sz="1400" b="1">
            <a:latin typeface="Amiri Quran" panose="00000500000000000000" charset="0"/>
            <a:cs typeface="Amiri Quran" panose="00000500000000000000" charset="0"/>
          </a:endParaRPr>
        </a:p>
      </xdr:txBody>
    </xdr:sp>
    <xdr:clientData/>
  </xdr:twoCellAnchor>
  <xdr:twoCellAnchor>
    <xdr:from>
      <xdr:col>2</xdr:col>
      <xdr:colOff>77470</xdr:colOff>
      <xdr:row>26</xdr:row>
      <xdr:rowOff>87630</xdr:rowOff>
    </xdr:from>
    <xdr:to>
      <xdr:col>7</xdr:col>
      <xdr:colOff>333375</xdr:colOff>
      <xdr:row>28</xdr:row>
      <xdr:rowOff>77470</xdr:rowOff>
    </xdr:to>
    <xdr:sp>
      <xdr:nvSpPr>
        <xdr:cNvPr id="21" name="Text Box 20"/>
        <xdr:cNvSpPr txBox="1"/>
      </xdr:nvSpPr>
      <xdr:spPr>
        <a:xfrm>
          <a:off x="1296670" y="5040630"/>
          <a:ext cx="3303905" cy="370840"/>
        </a:xfrm>
        <a:prstGeom prst="rect">
          <a:avLst/>
        </a:prstGeom>
        <a:solidFill>
          <a:schemeClr val="bg1"/>
        </a:solidFill>
        <a:effectLst>
          <a:softEdge rad="50800"/>
        </a:effectLst>
      </xdr:spPr>
      <xdr:style>
        <a:lnRef idx="0">
          <a:srgbClr val="FFFFFF"/>
        </a:lnRef>
        <a:fillRef idx="1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1200">
              <a:solidFill>
                <a:schemeClr val="tx1"/>
              </a:solidFill>
              <a:latin typeface="Arial Black" panose="020B0A04020102020204" charset="0"/>
              <a:cs typeface="Arial Black" panose="020B0A04020102020204" charset="0"/>
            </a:rPr>
            <a:t>PERSONAL  TRAINER COUNT</a:t>
          </a:r>
          <a:endParaRPr lang="en-IN" altLang="en-US" sz="1200">
            <a:solidFill>
              <a:schemeClr val="tx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 editAs="oneCell">
    <xdr:from>
      <xdr:col>23</xdr:col>
      <xdr:colOff>51435</xdr:colOff>
      <xdr:row>5</xdr:row>
      <xdr:rowOff>84455</xdr:rowOff>
    </xdr:from>
    <xdr:to>
      <xdr:col>26</xdr:col>
      <xdr:colOff>118745</xdr:colOff>
      <xdr:row>15</xdr:row>
      <xdr:rowOff>80010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abonoment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bonomen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72235" y="1036955"/>
              <a:ext cx="1896110" cy="1900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361315</xdr:colOff>
      <xdr:row>5</xdr:row>
      <xdr:rowOff>148590</xdr:rowOff>
    </xdr:from>
    <xdr:to>
      <xdr:col>29</xdr:col>
      <xdr:colOff>392430</xdr:colOff>
      <xdr:row>15</xdr:row>
      <xdr:rowOff>80645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age 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10915" y="1101090"/>
              <a:ext cx="1859915" cy="1837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18415</xdr:colOff>
      <xdr:row>16</xdr:row>
      <xdr:rowOff>147955</xdr:rowOff>
    </xdr:from>
    <xdr:to>
      <xdr:col>26</xdr:col>
      <xdr:colOff>151130</xdr:colOff>
      <xdr:row>25</xdr:row>
      <xdr:rowOff>160655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39215" y="3195955"/>
              <a:ext cx="1961515" cy="172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426085</xdr:colOff>
      <xdr:row>17</xdr:row>
      <xdr:rowOff>6985</xdr:rowOff>
    </xdr:from>
    <xdr:to>
      <xdr:col>29</xdr:col>
      <xdr:colOff>410845</xdr:colOff>
      <xdr:row>26</xdr:row>
      <xdr:rowOff>12065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personal_trainin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sonal_train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75685" y="3245485"/>
              <a:ext cx="1813560" cy="1719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274320</xdr:colOff>
      <xdr:row>26</xdr:row>
      <xdr:rowOff>86360</xdr:rowOff>
    </xdr:from>
    <xdr:to>
      <xdr:col>29</xdr:col>
      <xdr:colOff>280035</xdr:colOff>
      <xdr:row>40</xdr:row>
      <xdr:rowOff>52070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days_per_week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s_per_wee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14320" y="5039360"/>
              <a:ext cx="2444115" cy="2632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0.0173934345908868</cdr:y>
    </cdr:from>
    <cdr:to>
      <cdr:x>1</cdr:x>
      <cdr:y>0.146496815286624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0" y="45085"/>
          <a:ext cx="3345180" cy="334645"/>
        </a:xfrm>
        <a:prstGeom xmlns:a="http://schemas.openxmlformats.org/drawingml/2006/main" prst="rect">
          <a:avLst/>
        </a:prstGeom>
        <a:solidFill>
          <a:schemeClr val="bg1"/>
        </a:solidFill>
        <a:effectLst>
          <a:softEdge rad="50800"/>
        </a:effectLst>
      </cdr:spPr>
      <cdr:style>
        <a:lnRef xmlns:a="http://schemas.openxmlformats.org/drawingml/2006/main" idx="0">
          <a:srgbClr val="FFFFFF"/>
        </a:lnRef>
        <a:fillRef xmlns:a="http://schemas.openxmlformats.org/drawingml/2006/main" idx="1">
          <a:prstClr val="black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 horzOverflow="clip" wrap="square" rtlCol="0" anchor="t"/>
        <a:p>
          <a:pPr algn="ctr"/>
          <a:r>
            <a:rPr lang="en-IN" altLang="en-US" sz="1200" b="1">
              <a:solidFill>
                <a:sysClr val="windowText" lastClr="000000"/>
              </a:solidFill>
              <a:latin typeface="Arial Black" panose="020B0A04020102020204" charset="0"/>
              <a:cs typeface="Arial Black" panose="020B0A04020102020204" charset="0"/>
            </a:rPr>
            <a:t>SUBSCRIPTION TYPE WISE COUNT</a:t>
          </a:r>
          <a:endParaRPr lang="en-IN" altLang="en-US" sz="1200" b="1">
            <a:solidFill>
              <a:sysClr val="windowText" lastClr="000000"/>
            </a:solidFill>
            <a:latin typeface="Arial Black" panose="020B0A04020102020204" charset="0"/>
            <a:cs typeface="Arial Black" panose="020B0A0402010202020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0.0097267915891861</cdr:x>
      <cdr:y>0.0170498579178507</cdr:y>
    </cdr:from>
    <cdr:to>
      <cdr:x>0.988985838935775</cdr:x>
      <cdr:y>0.153448721260656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43180" y="41910"/>
          <a:ext cx="4347210" cy="335280"/>
        </a:xfrm>
        <a:prstGeom xmlns:a="http://schemas.openxmlformats.org/drawingml/2006/main" prst="rect">
          <a:avLst/>
        </a:prstGeom>
        <a:solidFill>
          <a:schemeClr val="bg1"/>
        </a:solidFill>
        <a:effectLst>
          <a:softEdge rad="50800"/>
        </a:effectLst>
      </cdr:spPr>
      <cdr:style>
        <a:lnRef xmlns:a="http://schemas.openxmlformats.org/drawingml/2006/main" idx="0">
          <a:srgbClr val="FFFFFF"/>
        </a:lnRef>
        <a:fillRef xmlns:a="http://schemas.openxmlformats.org/drawingml/2006/main" idx="1">
          <a:prstClr val="black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 horzOverflow="clip" wrap="square" rtlCol="0" anchor="t"/>
        <a:p>
          <a:pPr algn="ctr"/>
          <a:r>
            <a:rPr lang="en-IN" altLang="en-US" sz="1200" b="1">
              <a:solidFill>
                <a:schemeClr val="tx1"/>
              </a:solidFill>
              <a:latin typeface="Arial Black" panose="020B0A04020102020204" charset="0"/>
              <a:cs typeface="Arial Black" panose="020B0A04020102020204" charset="0"/>
            </a:rPr>
            <a:t>DAY WISE VISITED</a:t>
          </a:r>
          <a:endParaRPr lang="en-IN" altLang="en-US" sz="1200" b="1">
            <a:solidFill>
              <a:schemeClr val="tx1"/>
            </a:solidFill>
            <a:latin typeface="Arial Black" panose="020B0A04020102020204" charset="0"/>
            <a:cs typeface="Arial Black" panose="020B0A0402010202020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0.999715909090909</cdr:x>
      <cdr:y>0.168490710104352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0" y="0"/>
          <a:ext cx="4469130" cy="420370"/>
        </a:xfrm>
        <a:prstGeom xmlns:a="http://schemas.openxmlformats.org/drawingml/2006/main" prst="rect">
          <a:avLst/>
        </a:prstGeom>
        <a:solidFill>
          <a:schemeClr val="bg1"/>
        </a:solidFill>
        <a:effectLst>
          <a:softEdge rad="50800"/>
        </a:effectLst>
      </cdr:spPr>
      <cdr:style>
        <a:lnRef xmlns:a="http://schemas.openxmlformats.org/drawingml/2006/main" idx="0">
          <a:srgbClr val="FFFFFF"/>
        </a:lnRef>
        <a:fillRef xmlns:a="http://schemas.openxmlformats.org/drawingml/2006/main" idx="1">
          <a:prstClr val="black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 horzOverflow="clip" wrap="square" rtlCol="0" anchor="t"/>
        <a:p>
          <a:pPr algn="ctr"/>
          <a:r>
            <a:rPr lang="en-IN" altLang="en-US" sz="1200" b="1">
              <a:solidFill>
                <a:schemeClr val="tx1"/>
              </a:solidFill>
              <a:latin typeface="Arial Black" panose="020B0A04020102020204" charset="0"/>
              <a:cs typeface="Arial Black" panose="020B0A04020102020204" charset="0"/>
            </a:rPr>
            <a:t>AGE GROUP WISE COUNT</a:t>
          </a:r>
          <a:endParaRPr lang="en-IN" altLang="en-US" sz="1200" b="1">
            <a:solidFill>
              <a:schemeClr val="tx1"/>
            </a:solidFill>
            <a:latin typeface="Arial Black" panose="020B0A04020102020204" charset="0"/>
            <a:cs typeface="Arial Black" panose="020B0A0402010202020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0.0187035613630541</cdr:y>
    </cdr:from>
    <cdr:to>
      <cdr:x>0.999856815578465</cdr:x>
      <cdr:y>0.177043300025621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0" y="46355"/>
          <a:ext cx="4434205" cy="392430"/>
        </a:xfrm>
        <a:prstGeom xmlns:a="http://schemas.openxmlformats.org/drawingml/2006/main" prst="rect">
          <a:avLst/>
        </a:prstGeom>
        <a:solidFill>
          <a:schemeClr val="bg1"/>
        </a:solidFill>
        <a:effectLst>
          <a:softEdge rad="50800"/>
        </a:effectLst>
      </cdr:spPr>
      <cdr:style>
        <a:lnRef xmlns:a="http://schemas.openxmlformats.org/drawingml/2006/main" idx="0">
          <a:srgbClr val="FFFFFF"/>
        </a:lnRef>
        <a:fillRef xmlns:a="http://schemas.openxmlformats.org/drawingml/2006/main" idx="1">
          <a:prstClr val="black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 horzOverflow="clip" wrap="square" rtlCol="0" anchor="t"/>
        <a:p>
          <a:pPr algn="ctr"/>
          <a:r>
            <a:rPr lang="en-IN" altLang="en-US" sz="1400" b="1">
              <a:solidFill>
                <a:schemeClr val="tx1"/>
              </a:solidFill>
              <a:latin typeface="Arial Black" panose="020B0A04020102020204" charset="0"/>
              <a:cs typeface="Arial Black" panose="020B0A04020102020204" charset="0"/>
            </a:rPr>
            <a:t>GENDER WISE COUNT</a:t>
          </a:r>
          <a:endParaRPr lang="en-IN" altLang="en-US" sz="1400" b="1">
            <a:solidFill>
              <a:schemeClr val="tx1"/>
            </a:solidFill>
            <a:latin typeface="Arial Black" panose="020B0A04020102020204" charset="0"/>
            <a:cs typeface="Arial Black" panose="020B0A0402010202020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6" minRefreshableVersion="3" refreshedDate="46300.5235945602" refreshedBy="SANTHOSH S" recordCount="1000">
  <cacheSource type="worksheet">
    <worksheetSource name="Table2"/>
  </cacheSource>
  <cacheFields count="23">
    <cacheField name="id" numFmtId="0"/>
    <cacheField name="first_name" numFmtId="0"/>
    <cacheField name="gender" numFmtId="0">
      <sharedItems containsBlank="1" count="3">
        <s v="Female"/>
        <s v="Male"/>
        <m u="1"/>
      </sharedItems>
    </cacheField>
    <cacheField name="birthday" numFmtId="180"/>
    <cacheField name="age group" numFmtId="180"/>
    <cacheField name="Age" numFmtId="0"/>
    <cacheField name="abonoment_type" numFmtId="0">
      <sharedItems containsBlank="1" count="3">
        <s v="Premium"/>
        <s v="Standard"/>
        <m u="1"/>
      </sharedItems>
    </cacheField>
    <cacheField name="visit_per_week" numFmtId="0"/>
    <cacheField name="days_per_week" numFmtId="0"/>
    <cacheField name="Sun" numFmtId="0"/>
    <cacheField name="Mon" numFmtId="0"/>
    <cacheField name="Tue" numFmtId="0"/>
    <cacheField name="Wed" numFmtId="0"/>
    <cacheField name="Thu" numFmtId="0"/>
    <cacheField name="Fri" numFmtId="0"/>
    <cacheField name="Sat" numFmtId="0"/>
    <cacheField name="attend_group_lesson" numFmtId="0"/>
    <cacheField name="fav_group_lesson" numFmtId="0"/>
    <cacheField name="avg_time_check_in" numFmtId="35"/>
    <cacheField name="avg_time_check_out" numFmtId="35"/>
    <cacheField name="avg_time_in_gym" numFmtId="0"/>
    <cacheField name="personal_training" numFmtId="0"/>
    <cacheField name="name_personal_trainer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6" minRefreshableVersion="3" refreshedDate="46300.5253662037" refreshedBy="SANTHOSH S" recordCount="1001">
  <cacheSource type="worksheet">
    <worksheetSource ref="A1:X1048576" sheet="Gym Membership Dataset"/>
  </cacheSource>
  <cacheFields count="23">
    <cacheField name="id" numFmtId="0"/>
    <cacheField name="first_name" numFmtId="0"/>
    <cacheField name="gender" numFmtId="0"/>
    <cacheField name="birthday" numFmtId="0"/>
    <cacheField name="age group" numFmtId="180">
      <sharedItems containsBlank="1" count="5">
        <s v="20-30"/>
        <s v="41-50"/>
        <s v="below 20"/>
        <s v="31-41"/>
        <m/>
      </sharedItems>
    </cacheField>
    <cacheField name="Age" numFmtId="0"/>
    <cacheField name="abonoment_type" numFmtId="0">
      <sharedItems containsBlank="1" count="3">
        <s v="Premium"/>
        <s v="Standard"/>
        <m/>
      </sharedItems>
    </cacheField>
    <cacheField name="visit_per_week" numFmtId="0">
      <sharedItems containsString="0" containsBlank="1" containsNumber="1" containsInteger="1" minValue="1" maxValue="5" count="6">
        <n v="4"/>
        <n v="3"/>
        <n v="1"/>
        <n v="2"/>
        <n v="5"/>
        <m/>
      </sharedItems>
    </cacheField>
    <cacheField name="days_per_week" numFmtId="0">
      <sharedItems containsBlank="1" count="118">
        <s v="Mon, Sat, Tue, Wed"/>
        <s v="Fri, Sat, Sun"/>
        <s v="Sun"/>
        <s v="Fri, Sat, Tue"/>
        <s v="Thu, Tue"/>
        <s v="Tue"/>
        <s v="Mon, Sat, Sun"/>
        <s v="Sat, Sun"/>
        <s v="Mon, Tue, Wed"/>
        <s v="Mon"/>
        <s v="Thu"/>
        <s v="Mon, Sat, Tue"/>
        <s v="Sun, Wed"/>
        <s v="Mon, Sun, Wed"/>
        <s v="Sat"/>
        <s v="Mon, Sat, Sun, Wed"/>
        <s v="Sun, Thu, Wed"/>
        <s v="Sat, Wed"/>
        <s v="Sat, Thu"/>
        <s v="Fri, Mon, Sun"/>
        <s v="Fri, Mon, Sat"/>
        <s v="Fri"/>
        <s v="Mon, Thu, Tue"/>
        <s v="Fri, Mon, Sat, Thu, Wed"/>
        <s v="Fri, Mon, Wed"/>
        <s v="Fri, Mon, Sat, Sun, Wed"/>
        <s v="Fri, Mon, Thu"/>
        <s v="Fri, Sat"/>
        <s v="Fri, Sat, Thu, Tue, Wed"/>
        <s v="Mon, Sun, Thu"/>
        <s v="Fri, Mon, Sun, Tue, Wed"/>
        <s v="Mon, Sat"/>
        <s v="Sat, Thu, Wed"/>
        <s v="Fri, Wed"/>
        <s v="Fri, Mon, Thu, Tue"/>
        <s v="Fri, Sun, Thu, Tue, Wed"/>
        <s v="Mon, Thu, Wed"/>
        <s v="Sun, Tue"/>
        <s v="Fri, Sun, Wed"/>
        <s v="Fri, Tue"/>
        <s v="Fri, Mon, Sun, Wed"/>
        <s v="Fri, Thu, Wed"/>
        <s v="Mon, Sat, Wed"/>
        <s v="Sat, Sun, Thu, Tue, Wed"/>
        <s v="Mon, Sat, Thu"/>
        <s v="Fri, Sat, Thu"/>
        <s v="Fri, Thu, Tue"/>
        <s v="Mon, Wed"/>
        <s v="Sat, Sun, Tue, Wed"/>
        <s v="Fri, Mon, Sat, Sun, Thu"/>
        <s v="Fri, Mon, Sat, Tue, Wed"/>
        <s v="Wed"/>
        <s v="Thu, Wed"/>
        <s v="Mon, Tue"/>
        <s v="Fri, Mon, Sat, Sun, Tue"/>
        <s v="Mon, Sun"/>
        <s v="Fri, Sun"/>
        <s v="Fri, Mon"/>
        <s v="Fri, Mon, Tue, Wed"/>
        <s v="Mon, Sun, Tue"/>
        <s v="Mon, Sat, Thu, Wed"/>
        <s v="Fri, Mon, Tue"/>
        <s v="Thu, Tue, Wed"/>
        <s v="Fri, Sun, Tue"/>
        <s v="Fri, Tue, Wed"/>
        <s v="Sun, Tue, Wed"/>
        <s v="Mon, Thu"/>
        <s v="Fri, Sun, Thu"/>
        <s v="Tue, Wed"/>
        <s v="Mon, Sat, Sun, Thu, Wed"/>
        <s v="Fri, Mon, Sun, Thu, Tue"/>
        <s v="Mon, Sun, Thu, Tue, Wed"/>
        <s v="Sat, Sun, Thu"/>
        <s v="Sun, Thu"/>
        <s v="Fri, Sat, Thu, Tue"/>
        <s v="Sat, Thu, Tue"/>
        <s v="Sun, Thu, Tue"/>
        <s v="Fri, Sat, Wed"/>
        <s v="Sat, Sun, Wed"/>
        <s v="Fri, Mon, Sat, Tue"/>
        <s v="Fri, Mon, Sat, Thu, Tue"/>
        <s v="Fri, Mon, Thu, Tue, Wed"/>
        <s v="Sun, Thu, Tue, Wed"/>
        <s v="Mon, Sun, Thu, Tue"/>
        <s v="Fri, Sat, Sun, Thu, Tue"/>
        <s v="Fri, Mon, Sun, Thu, Wed"/>
        <s v="Fri, Mon, Sat, Sun"/>
        <s v="Fri, Mon, Sun, Thu"/>
        <s v="Mon, Thu, Tue, Wed"/>
        <s v="Mon, Sat, Thu, Tue, Wed"/>
        <s v="Mon, Sat, Sun, Tue, Wed"/>
        <s v="Fri, Thu"/>
        <s v="Fri, Sun, Thu, Wed"/>
        <s v="Mon, Sun, Tue, Wed"/>
        <s v="Sat, Tue, Wed"/>
        <s v="Fri, Mon, Sat, Thu"/>
        <s v="Sat, Tue"/>
        <s v="Sat, Sun, Tue"/>
        <s v="Fri, Mon, Thu, Wed"/>
        <s v="Fri, Sat, Sun, Thu, Wed"/>
        <s v="Sat, Thu, Tue, Wed"/>
        <s v="Sat, Sun, Thu, Wed"/>
        <s v="Fri, Thu, Tue, Wed"/>
        <s v="Fri, Sat, Tue, Wed"/>
        <s v="Sat, Sun, Thu, Tue"/>
        <s v="Fri, Sat, Thu, Wed"/>
        <s v="Fri, Mon, Sun, Tue"/>
        <s v="Fri, Mon, Sat, Wed"/>
        <s v="Fri, Sat, Sun, Tue, Wed"/>
        <s v="Mon, Sat, Sun, Thu, Tue"/>
        <s v="Fri, Sat, Sun, Tue"/>
        <s v="Mon, Sun, Thu, Wed"/>
        <s v="Fri, Sat, Sun, Thu"/>
        <s v="Fri, Sun, Thu, Tue"/>
        <s v="Mon, Sat, Thu, Tue"/>
        <s v="Fri, Sun, Tue, Wed"/>
        <s v="Mon, Sat, Sun, Tue"/>
        <m/>
      </sharedItems>
    </cacheField>
    <cacheField name="Sun" numFmtId="0">
      <sharedItems containsString="0" containsBlank="1" containsNumber="1" containsInteger="1" minValue="0" maxValue="1" count="3">
        <n v="0"/>
        <n v="1"/>
        <m/>
      </sharedItems>
    </cacheField>
    <cacheField name="Mon" numFmtId="0">
      <sharedItems containsString="0" containsBlank="1" containsNumber="1" containsInteger="1" minValue="0" maxValue="1" count="3">
        <n v="1"/>
        <n v="0"/>
        <m/>
      </sharedItems>
    </cacheField>
    <cacheField name="Tue" numFmtId="0">
      <sharedItems containsString="0" containsBlank="1" containsNumber="1" containsInteger="1" minValue="0" maxValue="1" count="3">
        <n v="1"/>
        <n v="0"/>
        <m/>
      </sharedItems>
    </cacheField>
    <cacheField name="Wed" numFmtId="0">
      <sharedItems containsString="0" containsBlank="1" containsNumber="1" containsInteger="1" minValue="0" maxValue="1" count="3">
        <n v="1"/>
        <n v="0"/>
        <m/>
      </sharedItems>
    </cacheField>
    <cacheField name="Thu" numFmtId="0">
      <sharedItems containsString="0" containsBlank="1" containsNumber="1" containsInteger="1" minValue="0" maxValue="1" count="3">
        <n v="0"/>
        <n v="1"/>
        <m/>
      </sharedItems>
    </cacheField>
    <cacheField name="Fri" numFmtId="0">
      <sharedItems containsString="0" containsBlank="1" containsNumber="1" containsInteger="1" minValue="0" maxValue="1" count="3">
        <n v="0"/>
        <n v="1"/>
        <m/>
      </sharedItems>
    </cacheField>
    <cacheField name="Sat" numFmtId="0">
      <sharedItems containsString="0" containsBlank="1" containsNumber="1" containsInteger="1" minValue="0" maxValue="1" count="3">
        <n v="1"/>
        <n v="0"/>
        <m/>
      </sharedItems>
    </cacheField>
    <cacheField name="attend_group_lesson" numFmtId="0">
      <sharedItems containsBlank="1" count="3">
        <b v="1"/>
        <b v="0"/>
        <m/>
      </sharedItems>
    </cacheField>
    <cacheField name="fav_group_lesson" numFmtId="0">
      <sharedItems containsBlank="1" count="259">
        <s v="Kickboxen"/>
        <m/>
        <s v="XCore, Spinning, LesMiles"/>
        <s v="Running, BodyBalance"/>
        <s v="LesMiles, XCore"/>
        <s v="Yoga, BodyPump, Running"/>
        <s v="BodyPump"/>
        <s v="Pilates, LesMiles, Kickboxen"/>
        <s v="Spinning, LesMiles"/>
        <s v="Pilates"/>
        <s v="BodyPump, BodyBalance"/>
        <s v="Yoga, Pilates, Spinning"/>
        <s v="HIT, Running, Spinning"/>
        <s v="BodyBalance"/>
        <s v="Zumba, HIT, Yoga"/>
        <s v="BodyBalance, Running"/>
        <s v="Spinning"/>
        <s v="LesMiles, Zumba, Yoga"/>
        <s v="XCore, BodyPump, LesMiles"/>
        <s v="XCore"/>
        <s v="LesMiles"/>
        <s v="Spinning, Pilates"/>
        <s v="Yoga, Zumba, Running"/>
        <s v="Yoga, LesMiles"/>
        <s v="BodyPump, HIT"/>
        <s v="BodyPump, XCore"/>
        <s v="BodyBalance, Kickboxen, Yoga"/>
        <s v="Pilates, BodyPump, Running"/>
        <s v="Spinning, XCore, BodyPump"/>
        <s v="BodyBalance, Spinning, XCore"/>
        <s v="Kickboxen, Spinning, BodyPump"/>
        <s v="XCore, LesMiles, HIT"/>
        <s v="Running, HIT"/>
        <s v="Spinning, Zumba"/>
        <s v="Zumba"/>
        <s v="BodyPump, Kickboxen, Running"/>
        <s v="Zumba, LesMiles"/>
        <s v="XCore, LesMiles"/>
        <s v="Yoga, Zumba, BodyPump"/>
        <s v="Yoga"/>
        <s v="HIT, Yoga, BodyBalance"/>
        <s v="BodyPump, LesMiles"/>
        <s v="Kickboxen, XCore, HIT"/>
        <s v="Running"/>
        <s v="BodyBalance, XCore"/>
        <s v="HIT"/>
        <s v="BodyPump, Running, XCore"/>
        <s v="Pilates, Kickboxen, HIT"/>
        <s v="Pilates, Yoga"/>
        <s v="Pilates, BodyBalance"/>
        <s v="HIT, XCore, BodyPump"/>
        <s v="BodyPump, Spinning"/>
        <s v="Kickboxen, BodyPump"/>
        <s v="Spinning, XCore, BodyBalance"/>
        <s v="LesMiles, Yoga"/>
        <s v="Running, Yoga, Kickboxen"/>
        <s v="XCore, HIT, Kickboxen"/>
        <s v="BodyPump, Pilates, BodyBalance"/>
        <s v="Pilates, XCore"/>
        <s v="Running, Kickboxen, Pilates"/>
        <s v="Kickboxen, LesMiles, HIT"/>
        <s v="BodyBalance, Yoga"/>
        <s v="XCore, Running, HIT"/>
        <s v="Running, Spinning, Kickboxen"/>
        <s v="Kickboxen, Spinning"/>
        <s v="Kickboxen, Yoga, BodyPump"/>
        <s v="Running, BodyBalance, BodyPump"/>
        <s v="Pilates, HIT"/>
        <s v="Yoga, LesMiles, HIT"/>
        <s v="Spinning, Zumba, BodyBalance"/>
        <s v="BodyPump, Yoga, XCore"/>
        <s v="LesMiles, Kickboxen"/>
        <s v="Zumba, BodyBalance, Kickboxen"/>
        <s v="Running, Zumba, Pilates"/>
        <s v="Running, Kickboxen, Zumba"/>
        <s v="Yoga, Running"/>
        <s v="XCore, HIT, BodyBalance"/>
        <s v="Spinning, BodyPump, Running"/>
        <s v="Yoga, Zumba, BodyBalance"/>
        <s v="XCore, Spinning"/>
        <s v="BodyPump, BodyBalance, XCore"/>
        <s v="Pilates, XCore, Running"/>
        <s v="Zumba, BodyBalance"/>
        <s v="Kickboxen, LesMiles"/>
        <s v="Kickboxen, HIT"/>
        <s v="BodyBalance, Yoga, LesMiles"/>
        <s v="Zumba, BodyPump"/>
        <s v="Yoga, BodyPump, BodyBalance"/>
        <s v="Yoga, Zumba, Spinning"/>
        <s v="XCore, Yoga"/>
        <s v="Yoga, LesMiles, BodyBalance"/>
        <s v="Zumba, Yoga, Pilates"/>
        <s v="Yoga, XCore, Spinning"/>
        <s v="Pilates, HIT, Running"/>
        <s v="Zumba, Kickboxen"/>
        <s v="LesMiles, BodyBalance"/>
        <s v="BodyPump, Running, LesMiles"/>
        <s v="Yoga, BodyBalance, Running"/>
        <s v="Yoga, Pilates, Running"/>
        <s v="Kickboxen, Spinning, LesMiles"/>
        <s v="BodyPump, Pilates, HIT"/>
        <s v="Spinning, BodyPump"/>
        <s v="Running, Spinning, BodyPump"/>
        <s v="BodyPump, Pilates"/>
        <s v="HIT, LesMiles, Pilates"/>
        <s v="Running, Kickboxen, XCore"/>
        <s v="Kickboxen, XCore"/>
        <s v="Running, BodyBalance, Spinning"/>
        <s v="HIT, Kickboxen, Zumba"/>
        <s v="HIT, Pilates"/>
        <s v="Running, Pilates, XCore"/>
        <s v="BodyBalance, Zumba"/>
        <s v="BodyBalance, BodyPump"/>
        <s v="BodyBalance, Zumba, HIT"/>
        <s v="Pilates, Spinning, Zumba"/>
        <s v="XCore, Zumba, BodyPump"/>
        <s v="Pilates, HIT, Spinning"/>
        <s v="Kickboxen, Zumba"/>
        <s v="XCore, Zumba, Running"/>
        <s v="BodyBalance, Yoga, XCore"/>
        <s v="HIT, Running, Yoga"/>
        <s v="Spinning, Yoga, Kickboxen"/>
        <s v="Running, Zumba"/>
        <s v="Running, Pilates"/>
        <s v="BodyBalance, Spinning, HIT"/>
        <s v="LesMiles, HIT"/>
        <s v="Kickboxen, Zumba, Yoga"/>
        <s v="LesMiles, BodyPump, Spinning"/>
        <s v="XCore, Spinning, Yoga"/>
        <s v="Kickboxen, XCore, Zumba"/>
        <s v="LesMiles, Zumba, HIT"/>
        <s v="Pilates, Kickboxen"/>
        <s v="LesMiles, Pilates"/>
        <s v="LesMiles, Running, HIT"/>
        <s v="BodyPump, Running"/>
        <s v="LesMiles, BodyPump"/>
        <s v="XCore, Pilates, Spinning"/>
        <s v="LesMiles, Spinning, BodyBalance"/>
        <s v="Running, BodyPump"/>
        <s v="Spinning, LesMiles, Yoga"/>
        <s v="HIT, Yoga, BodyPump"/>
        <s v="Running, Spinning, BodyBalance"/>
        <s v="Spinning, HIT, BodyPump"/>
        <s v="Yoga, BodyPump"/>
        <s v="Yoga, Zumba, HIT"/>
        <s v="Pilates, Kickboxen, Zumba"/>
        <s v="XCore, Pilates, Yoga"/>
        <s v="BodyBalance, Kickboxen"/>
        <s v="Running, LesMiles, Yoga"/>
        <s v="BodyBalance, LesMiles, Kickboxen"/>
        <s v="XCore, BodyPump, HIT"/>
        <s v="Zumba, Yoga"/>
        <s v="Pilates, Zumba"/>
        <s v="BodyBalance, Spinning"/>
        <s v="Yoga, Kickboxen, Running"/>
        <s v="BodyPump, Yoga"/>
        <s v="BodyBalance, Spinning, BodyPump"/>
        <s v="XCore, Zumba, Kickboxen"/>
        <s v="Pilates, Spinning, HIT"/>
        <s v="HIT, BodyBalance, BodyPump"/>
        <s v="LesMiles, BodyPump, Zumba"/>
        <s v="LesMiles, Running"/>
        <s v="Yoga, Spinning, BodyBalance"/>
        <s v="BodyPump, XCore, Yoga"/>
        <s v="XCore, BodyPump, Yoga"/>
        <s v="Kickboxen, Running, Pilates"/>
        <s v="Kickboxen, Yoga, Running"/>
        <s v="BodyPump, Kickboxen"/>
        <s v="BodyPump, HIT, Zumba"/>
        <s v="XCore, Pilates"/>
        <s v="Pilates, BodyPump"/>
        <s v="BodyPump, Spinning, BodyBalance"/>
        <s v="Spinning, HIT"/>
        <s v="Kickboxen, Spinning, BodyBalance"/>
        <s v="BodyPump, Kickboxen, LesMiles"/>
        <s v="LesMiles, Zumba, Pilates"/>
        <s v="BodyPump, Yoga, Kickboxen"/>
        <s v="Kickboxen, Pilates, Yoga"/>
        <s v="Yoga, LesMiles, BodyPump"/>
        <s v="Kickboxen, BodyPump, Zumba"/>
        <s v="BodyPump, HIT, Pilates"/>
        <s v="XCore, Running, BodyBalance"/>
        <s v="BodyPump, LesMiles, XCore"/>
        <s v="Zumba, Spinning"/>
        <s v="Kickboxen, Zumba, Pilates"/>
        <s v="Yoga, BodyPump, Spinning"/>
        <s v="Running, XCore, Zumba"/>
        <s v="Kickboxen, BodyPump, Yoga"/>
        <s v="BodyBalance, HIT"/>
        <s v="Yoga, HIT, Spinning"/>
        <s v="Yoga, BodyBalance"/>
        <s v="Kickboxen, Pilates"/>
        <s v="BodyPump, LesMiles, Kickboxen"/>
        <s v="Pilates, Spinning"/>
        <s v="Spinning, HIT, LesMiles"/>
        <s v="HIT, BodyPump"/>
        <s v="Spinning, BodyPump, LesMiles"/>
        <s v="Yoga, Zumba"/>
        <s v="HIT, Pilates, BodyBalance"/>
        <s v="LesMiles, BodyPump, Running"/>
        <s v="HIT, Zumba"/>
        <s v="Pilates, HIT, Yoga"/>
        <s v="XCore, Pilates, Kickboxen"/>
        <s v="HIT, Yoga, Kickboxen"/>
        <s v="XCore, LesMiles, Running"/>
        <s v="HIT, XCore, LesMiles"/>
        <s v="BodyBalance, Kickboxen, XCore"/>
        <s v="XCore, Kickboxen, BodyBalance"/>
        <s v="Zumba, Spinning, BodyBalance"/>
        <s v="HIT, Running"/>
        <s v="Zumba, HIT, Kickboxen"/>
        <s v="Yoga, Pilates"/>
        <s v="Spinning, BodyPump, Zumba"/>
        <s v="BodyBalance, Pilates"/>
        <s v="Kickboxen, XCore, Pilates"/>
        <s v="XCore, BodyBalance"/>
        <s v="LesMiles, Pilates, Spinning"/>
        <s v="XCore, Kickboxen, Yoga"/>
        <s v="Kickboxen, Zumba, XCore"/>
        <s v="Spinning, XCore"/>
        <s v="HIT, Spinning, XCore"/>
        <s v="HIT, XCore, BodyBalance"/>
        <s v="BodyBalance, Kickboxen, Pilates"/>
        <s v="Running, XCore"/>
        <s v="Zumba, HIT"/>
        <s v="Running, BodyPump, Spinning"/>
        <s v="HIT, Zumba, XCore"/>
        <s v="Pilates, XCore, Spinning"/>
        <s v="LesMiles, Running, BodyBalance"/>
        <s v="HIT, BodyPump, XCore"/>
        <s v="HIT, Zumba, Yoga"/>
        <s v="HIT, XCore"/>
        <s v="BodyBalance, LesMiles, Zumba"/>
        <s v="Running, XCore, LesMiles"/>
        <s v="HIT, LesMiles, XCore"/>
        <s v="HIT, Running, Pilates"/>
        <s v="Spinning, Zumba, BodyPump"/>
        <s v="Zumba, XCore"/>
        <s v="BodyBalance, LesMiles"/>
        <s v="Pilates, Spinning, Yoga"/>
        <s v="XCore, BodyPump, BodyBalance"/>
        <s v="Kickboxen, XCore, Yoga"/>
        <s v="BodyBalance, XCore, Kickboxen"/>
        <s v="Pilates, Zumba, LesMiles"/>
        <s v="Yoga, Kickboxen, Spinning"/>
        <s v="BodyPump, Zumba, Yoga"/>
        <s v="BodyBalance, Spinning, Running"/>
        <s v="Spinning, HIT, Kickboxen"/>
        <s v="HIT, Yoga"/>
        <s v="HIT, Pilates, Yoga"/>
        <s v="Kickboxen, HIT, Running"/>
        <s v="Yoga, LesMiles, Spinning"/>
        <s v="HIT, BodyBalance, LesMiles"/>
        <s v="Yoga, XCore"/>
        <s v="XCore, Pilates, BodyPump"/>
        <s v="Pilates, BodyBalance, Yoga"/>
        <s v="LesMiles, Pilates, Running"/>
        <s v="Pilates, BodyPump, XCore"/>
        <s v="LesMiles, Zumba, XCore"/>
      </sharedItems>
    </cacheField>
    <cacheField name="avg_time_check_in" numFmtId="0"/>
    <cacheField name="avg_time_check_out" numFmtId="0"/>
    <cacheField name="avg_time_in_gym" numFmtId="0"/>
    <cacheField name="personal_training" numFmtId="0">
      <sharedItems containsBlank="1" count="3">
        <b v="0"/>
        <b v="1"/>
        <m/>
      </sharedItems>
    </cacheField>
    <cacheField name="name_personal_trainer" numFmtId="0">
      <sharedItems containsBlank="1" count="5">
        <m/>
        <s v="Chantal"/>
        <s v="Mike"/>
        <s v="Jeffrey"/>
        <s v="Hanna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"/>
    <s v="Fey"/>
    <x v="0"/>
    <d v="1997-04-18T00:00:00"/>
    <s v="20-30"/>
    <n v="27"/>
    <x v="0"/>
    <n v="4"/>
    <s v="Mon, Sat, Tue, Wed"/>
    <n v="0"/>
    <n v="1"/>
    <n v="1"/>
    <n v="1"/>
    <n v="0"/>
    <n v="0"/>
    <n v="1"/>
    <b v="1"/>
    <s v="Kickboxen"/>
    <d v="1899-12-30T19:31:00"/>
    <d v="1899-12-30T21:42:00"/>
    <n v="131"/>
    <b v="0"/>
    <m/>
  </r>
  <r>
    <n v="2"/>
    <s v="Doralin"/>
    <x v="0"/>
    <d v="1977-09-18T00:00:00"/>
    <s v="41-50"/>
    <n v="47"/>
    <x v="1"/>
    <n v="3"/>
    <s v="Fri, Sat, Sun"/>
    <n v="1"/>
    <n v="0"/>
    <n v="0"/>
    <n v="0"/>
    <n v="0"/>
    <n v="1"/>
    <n v="1"/>
    <b v="0"/>
    <m/>
    <d v="1899-12-30T19:31:00"/>
    <d v="1899-12-30T21:43:00"/>
    <n v="132"/>
    <b v="1"/>
    <s v="Chantal"/>
  </r>
  <r>
    <n v="3"/>
    <s v="Linc"/>
    <x v="1"/>
    <d v="1983-03-30T00:00:00"/>
    <s v="41-50"/>
    <n v="41"/>
    <x v="0"/>
    <n v="1"/>
    <s v="Sun"/>
    <n v="1"/>
    <n v="0"/>
    <n v="0"/>
    <n v="0"/>
    <n v="0"/>
    <n v="0"/>
    <n v="0"/>
    <b v="1"/>
    <s v="XCore, Spinning, LesMiles"/>
    <d v="1899-12-30T08:29:00"/>
    <d v="1899-12-30T09:55:00"/>
    <n v="86"/>
    <b v="1"/>
    <s v="Mike"/>
  </r>
  <r>
    <n v="4"/>
    <s v="Darren"/>
    <x v="1"/>
    <d v="1980-04-12T00:00:00"/>
    <s v="41-50"/>
    <n v="44"/>
    <x v="0"/>
    <n v="3"/>
    <s v="Fri, Sat, Tue"/>
    <n v="0"/>
    <n v="0"/>
    <n v="1"/>
    <n v="0"/>
    <n v="0"/>
    <n v="1"/>
    <n v="1"/>
    <b v="0"/>
    <m/>
    <d v="1899-12-30T09:54:00"/>
    <d v="1899-12-30T12:15:00"/>
    <n v="141"/>
    <b v="1"/>
    <s v="Mike"/>
  </r>
  <r>
    <n v="5"/>
    <s v="Petr"/>
    <x v="1"/>
    <d v="1980-09-10T00:00:00"/>
    <s v="41-50"/>
    <n v="44"/>
    <x v="1"/>
    <n v="2"/>
    <s v="Thu, Tue"/>
    <n v="0"/>
    <n v="0"/>
    <n v="1"/>
    <n v="0"/>
    <n v="1"/>
    <n v="0"/>
    <n v="0"/>
    <b v="1"/>
    <s v="Running, BodyBalance"/>
    <d v="1899-12-30T08:29:00"/>
    <d v="1899-12-30T10:39:00"/>
    <n v="130"/>
    <b v="1"/>
    <s v="Mike"/>
  </r>
  <r>
    <n v="6"/>
    <s v="Alvera"/>
    <x v="0"/>
    <d v="2009-06-29T00:00:00"/>
    <s v="below 20"/>
    <n v="15"/>
    <x v="1"/>
    <n v="1"/>
    <s v="Tue"/>
    <n v="0"/>
    <n v="0"/>
    <n v="1"/>
    <n v="0"/>
    <n v="0"/>
    <n v="0"/>
    <n v="0"/>
    <b v="0"/>
    <m/>
    <d v="1899-12-30T17:19:00"/>
    <d v="1899-12-30T18:19:00"/>
    <n v="60"/>
    <b v="0"/>
    <m/>
  </r>
  <r>
    <n v="7"/>
    <s v="Anson"/>
    <x v="1"/>
    <d v="1994-08-07T00:00:00"/>
    <s v="20-30"/>
    <n v="30"/>
    <x v="0"/>
    <n v="3"/>
    <s v="Mon, Sat, Sun"/>
    <n v="1"/>
    <n v="1"/>
    <n v="0"/>
    <n v="0"/>
    <n v="0"/>
    <n v="0"/>
    <n v="1"/>
    <b v="1"/>
    <s v="LesMiles, XCore"/>
    <d v="1899-12-30T19:46:00"/>
    <d v="1899-12-30T22:41:00"/>
    <n v="175"/>
    <b v="0"/>
    <m/>
  </r>
  <r>
    <n v="8"/>
    <s v="Uriah"/>
    <x v="1"/>
    <d v="2003-11-13T00:00:00"/>
    <s v="20-30"/>
    <n v="20"/>
    <x v="1"/>
    <n v="2"/>
    <s v="Sat, Sun"/>
    <n v="1"/>
    <n v="0"/>
    <n v="0"/>
    <n v="0"/>
    <n v="0"/>
    <n v="0"/>
    <n v="1"/>
    <b v="1"/>
    <s v="Yoga, BodyPump, Running"/>
    <d v="1899-12-30T17:45:00"/>
    <d v="1899-12-30T18:53:00"/>
    <n v="68"/>
    <b v="0"/>
    <m/>
  </r>
  <r>
    <n v="9"/>
    <s v="Borden"/>
    <x v="1"/>
    <d v="1978-07-28T00:00:00"/>
    <s v="41-50"/>
    <n v="46"/>
    <x v="0"/>
    <n v="3"/>
    <s v="Mon, Tue, Wed"/>
    <n v="0"/>
    <n v="1"/>
    <n v="1"/>
    <n v="1"/>
    <n v="0"/>
    <n v="0"/>
    <n v="0"/>
    <b v="1"/>
    <s v="BodyPump"/>
    <d v="1899-12-30T09:45:00"/>
    <d v="1899-12-30T12:33:00"/>
    <n v="168"/>
    <b v="1"/>
    <s v="Mike"/>
  </r>
  <r>
    <n v="10"/>
    <s v="Abbye"/>
    <x v="0"/>
    <d v="2000-05-06T00:00:00"/>
    <s v="20-30"/>
    <n v="24"/>
    <x v="0"/>
    <n v="1"/>
    <s v="Mon"/>
    <n v="0"/>
    <n v="1"/>
    <n v="0"/>
    <n v="0"/>
    <n v="0"/>
    <n v="0"/>
    <n v="0"/>
    <b v="0"/>
    <m/>
    <d v="1899-12-30T13:05:00"/>
    <d v="1899-12-30T13:51:00"/>
    <n v="46"/>
    <b v="1"/>
    <s v="Jeffrey"/>
  </r>
  <r>
    <n v="11"/>
    <s v="Conrade"/>
    <x v="1"/>
    <d v="1983-07-11T00:00:00"/>
    <s v="41-50"/>
    <n v="41"/>
    <x v="1"/>
    <n v="1"/>
    <s v="Thu"/>
    <n v="0"/>
    <n v="0"/>
    <n v="0"/>
    <n v="0"/>
    <n v="1"/>
    <n v="0"/>
    <n v="0"/>
    <b v="0"/>
    <m/>
    <d v="1899-12-30T13:50:00"/>
    <d v="1899-12-30T16:45:00"/>
    <n v="175"/>
    <b v="1"/>
    <s v="Hanna"/>
  </r>
  <r>
    <n v="12"/>
    <s v="Ely"/>
    <x v="1"/>
    <d v="1997-09-19T00:00:00"/>
    <s v="20-30"/>
    <n v="27"/>
    <x v="0"/>
    <n v="3"/>
    <s v="Mon, Sat, Tue"/>
    <n v="0"/>
    <n v="1"/>
    <n v="1"/>
    <n v="0"/>
    <n v="0"/>
    <n v="0"/>
    <n v="1"/>
    <b v="1"/>
    <s v="Pilates, LesMiles, Kickboxen"/>
    <d v="1899-12-30T10:12:00"/>
    <d v="1899-12-30T11:43:00"/>
    <n v="91"/>
    <b v="1"/>
    <s v="Mike"/>
  </r>
  <r>
    <n v="13"/>
    <s v="Celine"/>
    <x v="0"/>
    <d v="1994-04-22T00:00:00"/>
    <s v="20-30"/>
    <n v="30"/>
    <x v="1"/>
    <n v="2"/>
    <s v="Sun, Wed"/>
    <n v="1"/>
    <n v="0"/>
    <n v="0"/>
    <n v="1"/>
    <n v="0"/>
    <n v="0"/>
    <n v="0"/>
    <b v="1"/>
    <s v="XCore, Spinning, LesMiles"/>
    <d v="1899-12-30T17:04:00"/>
    <d v="1899-12-30T18:48:00"/>
    <n v="104"/>
    <b v="0"/>
    <m/>
  </r>
  <r>
    <n v="14"/>
    <s v="Alie"/>
    <x v="0"/>
    <d v="1989-03-21T00:00:00"/>
    <s v="31-41"/>
    <n v="35"/>
    <x v="0"/>
    <n v="3"/>
    <s v="Mon, Sun, Wed"/>
    <n v="1"/>
    <n v="1"/>
    <n v="0"/>
    <n v="1"/>
    <n v="0"/>
    <n v="0"/>
    <n v="0"/>
    <b v="0"/>
    <m/>
    <d v="1899-12-30T19:50:00"/>
    <d v="1899-12-30T21:50:00"/>
    <n v="120"/>
    <b v="0"/>
    <m/>
  </r>
  <r>
    <n v="15"/>
    <s v="Charmine"/>
    <x v="0"/>
    <d v="1989-10-01T00:00:00"/>
    <s v="31-41"/>
    <n v="35"/>
    <x v="0"/>
    <n v="1"/>
    <s v="Sat"/>
    <n v="0"/>
    <n v="0"/>
    <n v="0"/>
    <n v="0"/>
    <n v="0"/>
    <n v="0"/>
    <n v="1"/>
    <b v="0"/>
    <m/>
    <d v="1899-12-30T20:12:00"/>
    <d v="1899-12-30T21:42:00"/>
    <n v="90"/>
    <b v="1"/>
    <s v="Mike"/>
  </r>
  <r>
    <n v="16"/>
    <s v="Katya"/>
    <x v="0"/>
    <d v="1987-12-20T00:00:00"/>
    <s v="31-41"/>
    <n v="36"/>
    <x v="1"/>
    <n v="4"/>
    <s v="Mon, Sat, Sun, Wed"/>
    <n v="1"/>
    <n v="1"/>
    <n v="0"/>
    <n v="1"/>
    <n v="0"/>
    <n v="0"/>
    <n v="1"/>
    <b v="1"/>
    <s v="Spinning, LesMiles"/>
    <d v="1899-12-30T17:28:00"/>
    <d v="1899-12-30T19:49:00"/>
    <n v="141"/>
    <b v="0"/>
    <m/>
  </r>
  <r>
    <n v="17"/>
    <s v="Chaddie"/>
    <x v="1"/>
    <d v="1986-12-17T00:00:00"/>
    <s v="31-41"/>
    <n v="37"/>
    <x v="0"/>
    <n v="3"/>
    <s v="Mon, Sat, Sun"/>
    <n v="1"/>
    <n v="1"/>
    <n v="0"/>
    <n v="0"/>
    <n v="0"/>
    <n v="0"/>
    <n v="1"/>
    <b v="0"/>
    <m/>
    <d v="1899-12-30T09:25:00"/>
    <d v="1899-12-30T10:46:00"/>
    <n v="81"/>
    <b v="1"/>
    <s v="Jeffrey"/>
  </r>
  <r>
    <n v="18"/>
    <s v="Trixy"/>
    <x v="0"/>
    <d v="2011-04-30T00:00:00"/>
    <s v="below 20"/>
    <n v="13"/>
    <x v="1"/>
    <n v="3"/>
    <s v="Sun, Thu, Wed"/>
    <n v="1"/>
    <n v="0"/>
    <n v="0"/>
    <n v="1"/>
    <n v="1"/>
    <n v="0"/>
    <n v="0"/>
    <b v="0"/>
    <m/>
    <d v="1899-12-30T16:54:00"/>
    <d v="1899-12-30T19:00:00"/>
    <n v="126"/>
    <b v="1"/>
    <s v="Mike"/>
  </r>
  <r>
    <n v="19"/>
    <s v="Janene"/>
    <x v="0"/>
    <d v="1986-05-29T00:00:00"/>
    <s v="31-41"/>
    <n v="38"/>
    <x v="1"/>
    <n v="1"/>
    <s v="Tue"/>
    <n v="0"/>
    <n v="0"/>
    <n v="1"/>
    <n v="0"/>
    <n v="0"/>
    <n v="0"/>
    <n v="0"/>
    <b v="1"/>
    <s v="Pilates"/>
    <d v="1899-12-30T10:01:00"/>
    <d v="1899-12-30T11:35:00"/>
    <n v="94"/>
    <b v="1"/>
    <s v="Hanna"/>
  </r>
  <r>
    <n v="20"/>
    <s v="Abe"/>
    <x v="1"/>
    <d v="1991-09-13T00:00:00"/>
    <s v="31-41"/>
    <n v="33"/>
    <x v="0"/>
    <n v="2"/>
    <s v="Sat, Wed"/>
    <n v="0"/>
    <n v="0"/>
    <n v="0"/>
    <n v="1"/>
    <n v="0"/>
    <n v="0"/>
    <n v="1"/>
    <b v="1"/>
    <s v="BodyPump, BodyBalance"/>
    <d v="1899-12-30T13:55:00"/>
    <d v="1899-12-30T16:09:00"/>
    <n v="134"/>
    <b v="0"/>
    <m/>
  </r>
  <r>
    <n v="21"/>
    <s v="Biddie"/>
    <x v="0"/>
    <d v="1997-12-31T00:00:00"/>
    <s v="20-30"/>
    <n v="26"/>
    <x v="0"/>
    <n v="2"/>
    <s v="Sat, Thu"/>
    <n v="0"/>
    <n v="0"/>
    <n v="0"/>
    <n v="0"/>
    <n v="1"/>
    <n v="0"/>
    <n v="1"/>
    <b v="0"/>
    <m/>
    <d v="1899-12-30T08:19:00"/>
    <d v="1899-12-30T09:01:00"/>
    <n v="42"/>
    <b v="1"/>
    <s v="Hanna"/>
  </r>
  <r>
    <n v="22"/>
    <s v="Jamey"/>
    <x v="1"/>
    <d v="1997-10-29T00:00:00"/>
    <s v="20-30"/>
    <n v="26"/>
    <x v="0"/>
    <n v="3"/>
    <s v="Fri, Mon, Sun"/>
    <n v="1"/>
    <n v="1"/>
    <n v="0"/>
    <n v="0"/>
    <n v="0"/>
    <n v="1"/>
    <n v="0"/>
    <b v="1"/>
    <s v="Yoga, Pilates, Spinning"/>
    <d v="1899-12-30T15:06:00"/>
    <d v="1899-12-30T16:50:00"/>
    <n v="104"/>
    <b v="0"/>
    <m/>
  </r>
  <r>
    <n v="23"/>
    <s v="Kimberlee"/>
    <x v="0"/>
    <d v="2010-10-22T00:00:00"/>
    <s v="below 20"/>
    <n v="13"/>
    <x v="1"/>
    <n v="2"/>
    <s v="Thu, Tue"/>
    <n v="0"/>
    <n v="0"/>
    <n v="1"/>
    <n v="0"/>
    <n v="1"/>
    <n v="0"/>
    <n v="0"/>
    <b v="1"/>
    <s v="HIT, Running, Spinning"/>
    <d v="1899-12-30T20:56:00"/>
    <d v="1899-12-30T22:46:00"/>
    <n v="110"/>
    <b v="1"/>
    <s v="Mike"/>
  </r>
  <r>
    <n v="24"/>
    <s v="Mar"/>
    <x v="1"/>
    <d v="2010-01-24T00:00:00"/>
    <s v="below 20"/>
    <n v="14"/>
    <x v="0"/>
    <n v="3"/>
    <s v="Fri, Mon, Sat"/>
    <n v="0"/>
    <n v="1"/>
    <n v="0"/>
    <n v="0"/>
    <n v="0"/>
    <n v="1"/>
    <n v="1"/>
    <b v="0"/>
    <m/>
    <d v="1899-12-30T14:34:00"/>
    <d v="1899-12-30T15:55:00"/>
    <n v="81"/>
    <b v="1"/>
    <s v="Jeffrey"/>
  </r>
  <r>
    <n v="25"/>
    <s v="Bernardina"/>
    <x v="0"/>
    <d v="2008-10-04T00:00:00"/>
    <s v="below 20"/>
    <n v="15"/>
    <x v="0"/>
    <n v="1"/>
    <s v="Fri"/>
    <n v="0"/>
    <n v="0"/>
    <n v="0"/>
    <n v="0"/>
    <n v="0"/>
    <n v="1"/>
    <n v="0"/>
    <b v="0"/>
    <m/>
    <d v="1899-12-30T08:42:00"/>
    <d v="1899-12-30T11:06:00"/>
    <n v="144"/>
    <b v="0"/>
    <m/>
  </r>
  <r>
    <n v="26"/>
    <s v="Hew"/>
    <x v="1"/>
    <d v="1989-06-17T00:00:00"/>
    <s v="31-41"/>
    <n v="35"/>
    <x v="1"/>
    <n v="1"/>
    <s v="Fri"/>
    <n v="0"/>
    <n v="0"/>
    <n v="0"/>
    <n v="0"/>
    <n v="0"/>
    <n v="1"/>
    <n v="0"/>
    <b v="1"/>
    <s v="BodyBalance"/>
    <d v="1899-12-30T13:12:00"/>
    <d v="1899-12-30T15:13:00"/>
    <n v="121"/>
    <b v="1"/>
    <s v="Chantal"/>
  </r>
  <r>
    <n v="27"/>
    <s v="Kenon"/>
    <x v="1"/>
    <d v="2005-03-31T00:00:00"/>
    <s v="below 20"/>
    <n v="19"/>
    <x v="0"/>
    <n v="3"/>
    <s v="Mon, Thu, Tue"/>
    <n v="0"/>
    <n v="1"/>
    <n v="1"/>
    <n v="0"/>
    <n v="1"/>
    <n v="0"/>
    <n v="0"/>
    <b v="1"/>
    <s v="Zumba, HIT, Yoga"/>
    <d v="1899-12-30T15:01:00"/>
    <d v="1899-12-30T15:54:00"/>
    <n v="53"/>
    <b v="0"/>
    <m/>
  </r>
  <r>
    <n v="28"/>
    <s v="Wat"/>
    <x v="1"/>
    <d v="1992-04-10T00:00:00"/>
    <s v="31-41"/>
    <n v="32"/>
    <x v="1"/>
    <n v="5"/>
    <s v="Fri, Mon, Sat, Thu, Wed"/>
    <n v="0"/>
    <n v="1"/>
    <n v="0"/>
    <n v="1"/>
    <n v="1"/>
    <n v="1"/>
    <n v="1"/>
    <b v="1"/>
    <s v="BodyBalance, Running"/>
    <d v="1899-12-30T19:41:00"/>
    <d v="1899-12-30T21:46:00"/>
    <n v="125"/>
    <b v="1"/>
    <s v="Chantal"/>
  </r>
  <r>
    <n v="29"/>
    <s v="Kandy"/>
    <x v="0"/>
    <d v="1997-01-21T00:00:00"/>
    <s v="20-30"/>
    <n v="27"/>
    <x v="0"/>
    <n v="1"/>
    <s v="Tue"/>
    <n v="0"/>
    <n v="0"/>
    <n v="1"/>
    <n v="0"/>
    <n v="0"/>
    <n v="0"/>
    <n v="0"/>
    <b v="0"/>
    <m/>
    <d v="1899-12-30T11:25:00"/>
    <d v="1899-12-30T12:28:00"/>
    <n v="63"/>
    <b v="0"/>
    <m/>
  </r>
  <r>
    <n v="30"/>
    <s v="Nissa"/>
    <x v="0"/>
    <d v="2002-11-04T00:00:00"/>
    <s v="20-30"/>
    <n v="21"/>
    <x v="0"/>
    <n v="3"/>
    <s v="Fri, Mon, Wed"/>
    <n v="0"/>
    <n v="1"/>
    <n v="0"/>
    <n v="1"/>
    <n v="0"/>
    <n v="1"/>
    <n v="0"/>
    <b v="1"/>
    <s v="Spinning"/>
    <d v="1899-12-30T20:15:00"/>
    <d v="1899-12-30T20:47:00"/>
    <n v="32"/>
    <b v="0"/>
    <m/>
  </r>
  <r>
    <n v="31"/>
    <s v="Keith"/>
    <x v="1"/>
    <d v="1988-03-04T00:00:00"/>
    <s v="31-41"/>
    <n v="36"/>
    <x v="0"/>
    <n v="3"/>
    <s v="Fri, Sat, Sun"/>
    <n v="1"/>
    <n v="0"/>
    <n v="0"/>
    <n v="0"/>
    <n v="0"/>
    <n v="1"/>
    <n v="1"/>
    <b v="0"/>
    <m/>
    <d v="1899-12-30T10:01:00"/>
    <d v="1899-12-30T11:18:00"/>
    <n v="77"/>
    <b v="1"/>
    <s v="Jeffrey"/>
  </r>
  <r>
    <n v="32"/>
    <s v="Nataniel"/>
    <x v="1"/>
    <d v="2000-03-02T00:00:00"/>
    <s v="20-30"/>
    <n v="24"/>
    <x v="1"/>
    <n v="5"/>
    <s v="Fri, Mon, Sat, Sun, Wed"/>
    <n v="1"/>
    <n v="1"/>
    <n v="0"/>
    <n v="1"/>
    <n v="0"/>
    <n v="1"/>
    <n v="1"/>
    <b v="0"/>
    <m/>
    <d v="1899-12-30T20:53:00"/>
    <d v="1899-12-30T22:50:00"/>
    <n v="117"/>
    <b v="0"/>
    <m/>
  </r>
  <r>
    <n v="33"/>
    <s v="Hestia"/>
    <x v="0"/>
    <d v="1982-02-26T00:00:00"/>
    <s v="41-50"/>
    <n v="42"/>
    <x v="0"/>
    <n v="3"/>
    <s v="Fri, Mon, Thu"/>
    <n v="0"/>
    <n v="1"/>
    <n v="0"/>
    <n v="0"/>
    <n v="1"/>
    <n v="1"/>
    <n v="0"/>
    <b v="1"/>
    <s v="LesMiles, Zumba, Yoga"/>
    <d v="1899-12-30T10:23:00"/>
    <d v="1899-12-30T11:18:00"/>
    <n v="55"/>
    <b v="1"/>
    <s v="Chantal"/>
  </r>
  <r>
    <n v="34"/>
    <s v="Trudi"/>
    <x v="0"/>
    <d v="1976-12-07T00:00:00"/>
    <s v="41-50"/>
    <n v="47"/>
    <x v="0"/>
    <n v="2"/>
    <s v="Fri, Sat"/>
    <n v="0"/>
    <n v="0"/>
    <n v="0"/>
    <n v="0"/>
    <n v="0"/>
    <n v="1"/>
    <n v="1"/>
    <b v="1"/>
    <s v="XCore, BodyPump, LesMiles"/>
    <d v="1899-12-30T14:42:00"/>
    <d v="1899-12-30T16:57:00"/>
    <n v="135"/>
    <b v="1"/>
    <s v="Hanna"/>
  </r>
  <r>
    <n v="35"/>
    <s v="Alf"/>
    <x v="1"/>
    <d v="2004-03-06T00:00:00"/>
    <s v="20-30"/>
    <n v="20"/>
    <x v="0"/>
    <n v="5"/>
    <s v="Fri, Sat, Thu, Tue, Wed"/>
    <n v="0"/>
    <n v="0"/>
    <n v="1"/>
    <n v="1"/>
    <n v="1"/>
    <n v="1"/>
    <n v="1"/>
    <b v="0"/>
    <m/>
    <d v="1899-12-30T18:15:00"/>
    <d v="1899-12-30T20:02:00"/>
    <n v="107"/>
    <b v="1"/>
    <s v="Mike"/>
  </r>
  <r>
    <n v="36"/>
    <s v="Morie"/>
    <x v="1"/>
    <d v="1990-03-09T00:00:00"/>
    <s v="31-41"/>
    <n v="34"/>
    <x v="1"/>
    <n v="3"/>
    <s v="Mon, Sun, Thu"/>
    <n v="1"/>
    <n v="1"/>
    <n v="0"/>
    <n v="0"/>
    <n v="1"/>
    <n v="0"/>
    <n v="0"/>
    <b v="1"/>
    <s v="XCore"/>
    <d v="1899-12-30T13:39:00"/>
    <d v="1899-12-30T16:17:00"/>
    <n v="158"/>
    <b v="0"/>
    <m/>
  </r>
  <r>
    <n v="37"/>
    <s v="Shelby"/>
    <x v="0"/>
    <d v="1981-03-18T00:00:00"/>
    <s v="41-50"/>
    <n v="43"/>
    <x v="1"/>
    <n v="5"/>
    <s v="Fri, Mon, Sun, Tue, Wed"/>
    <n v="1"/>
    <n v="1"/>
    <n v="1"/>
    <n v="1"/>
    <n v="0"/>
    <n v="1"/>
    <n v="0"/>
    <b v="0"/>
    <m/>
    <d v="1899-12-30T09:02:00"/>
    <d v="1899-12-30T10:31:00"/>
    <n v="89"/>
    <b v="0"/>
    <m/>
  </r>
  <r>
    <n v="38"/>
    <s v="Sibella"/>
    <x v="0"/>
    <d v="1983-11-01T00:00:00"/>
    <s v="31-41"/>
    <n v="40"/>
    <x v="0"/>
    <n v="2"/>
    <s v="Mon, Sat"/>
    <n v="0"/>
    <n v="1"/>
    <n v="0"/>
    <n v="0"/>
    <n v="0"/>
    <n v="0"/>
    <n v="1"/>
    <b v="0"/>
    <m/>
    <d v="1899-12-30T08:39:00"/>
    <d v="1899-12-30T09:27:00"/>
    <n v="48"/>
    <b v="0"/>
    <m/>
  </r>
  <r>
    <n v="39"/>
    <s v="Hercules"/>
    <x v="1"/>
    <d v="1980-07-05T00:00:00"/>
    <s v="41-50"/>
    <n v="44"/>
    <x v="0"/>
    <n v="1"/>
    <s v="Fri"/>
    <n v="0"/>
    <n v="0"/>
    <n v="0"/>
    <n v="0"/>
    <n v="0"/>
    <n v="1"/>
    <n v="0"/>
    <b v="0"/>
    <m/>
    <d v="1899-12-30T20:43:00"/>
    <d v="1899-12-30T21:45:00"/>
    <n v="62"/>
    <b v="0"/>
    <m/>
  </r>
  <r>
    <n v="40"/>
    <s v="Kara"/>
    <x v="0"/>
    <d v="2006-01-19T00:00:00"/>
    <s v="below 20"/>
    <n v="18"/>
    <x v="0"/>
    <n v="2"/>
    <s v="Sat, Thu"/>
    <n v="0"/>
    <n v="0"/>
    <n v="0"/>
    <n v="0"/>
    <n v="1"/>
    <n v="0"/>
    <n v="1"/>
    <b v="1"/>
    <s v="LesMiles"/>
    <d v="1899-12-30T10:26:00"/>
    <d v="1899-12-30T11:58:00"/>
    <n v="92"/>
    <b v="0"/>
    <m/>
  </r>
  <r>
    <n v="41"/>
    <s v="Samantha"/>
    <x v="0"/>
    <d v="2008-06-11T00:00:00"/>
    <s v="below 20"/>
    <n v="16"/>
    <x v="0"/>
    <n v="3"/>
    <s v="Sat, Thu, Wed"/>
    <n v="0"/>
    <n v="0"/>
    <n v="0"/>
    <n v="1"/>
    <n v="1"/>
    <n v="0"/>
    <n v="1"/>
    <b v="0"/>
    <m/>
    <d v="1899-12-30T16:04:00"/>
    <d v="1899-12-30T17:19:00"/>
    <n v="75"/>
    <b v="1"/>
    <s v="Hanna"/>
  </r>
  <r>
    <n v="42"/>
    <s v="Bambie"/>
    <x v="0"/>
    <d v="1989-07-08T00:00:00"/>
    <s v="31-41"/>
    <n v="35"/>
    <x v="1"/>
    <n v="1"/>
    <s v="Sat"/>
    <n v="0"/>
    <n v="0"/>
    <n v="0"/>
    <n v="0"/>
    <n v="0"/>
    <n v="0"/>
    <n v="1"/>
    <b v="0"/>
    <m/>
    <d v="1899-12-30T09:38:00"/>
    <d v="1899-12-30T12:01:00"/>
    <n v="143"/>
    <b v="0"/>
    <m/>
  </r>
  <r>
    <n v="43"/>
    <s v="Nicol"/>
    <x v="0"/>
    <d v="1995-06-26T00:00:00"/>
    <s v="20-30"/>
    <n v="29"/>
    <x v="0"/>
    <n v="1"/>
    <s v="Sat"/>
    <n v="0"/>
    <n v="0"/>
    <n v="0"/>
    <n v="0"/>
    <n v="0"/>
    <n v="0"/>
    <n v="1"/>
    <b v="1"/>
    <s v="BodyBalance"/>
    <d v="1899-12-30T10:25:00"/>
    <d v="1899-12-30T11:08:00"/>
    <n v="43"/>
    <b v="1"/>
    <s v="Chantal"/>
  </r>
  <r>
    <n v="44"/>
    <s v="Elizabet"/>
    <x v="0"/>
    <d v="1996-04-05T00:00:00"/>
    <s v="20-30"/>
    <n v="28"/>
    <x v="1"/>
    <n v="1"/>
    <s v="Sun"/>
    <n v="1"/>
    <n v="0"/>
    <n v="0"/>
    <n v="0"/>
    <n v="0"/>
    <n v="0"/>
    <n v="0"/>
    <b v="0"/>
    <m/>
    <d v="1899-12-30T11:49:00"/>
    <d v="1899-12-30T12:21:00"/>
    <n v="32"/>
    <b v="1"/>
    <s v="Hanna"/>
  </r>
  <r>
    <n v="45"/>
    <s v="Sigismond"/>
    <x v="1"/>
    <d v="1976-01-19T00:00:00"/>
    <s v="41-50"/>
    <n v="48"/>
    <x v="0"/>
    <n v="2"/>
    <s v="Fri, Wed"/>
    <n v="0"/>
    <n v="0"/>
    <n v="0"/>
    <n v="1"/>
    <n v="0"/>
    <n v="1"/>
    <n v="0"/>
    <b v="0"/>
    <m/>
    <d v="1899-12-30T09:57:00"/>
    <d v="1899-12-30T11:11:00"/>
    <n v="74"/>
    <b v="1"/>
    <s v="Hanna"/>
  </r>
  <r>
    <n v="46"/>
    <s v="Aridatha"/>
    <x v="0"/>
    <d v="1981-05-22T00:00:00"/>
    <s v="41-50"/>
    <n v="43"/>
    <x v="1"/>
    <n v="4"/>
    <s v="Fri, Mon, Thu, Tue"/>
    <n v="0"/>
    <n v="1"/>
    <n v="1"/>
    <n v="0"/>
    <n v="1"/>
    <n v="1"/>
    <n v="0"/>
    <b v="1"/>
    <s v="Spinning, Pilates"/>
    <d v="1899-12-30T18:41:00"/>
    <d v="1899-12-30T19:50:00"/>
    <n v="69"/>
    <b v="1"/>
    <s v="Hanna"/>
  </r>
  <r>
    <n v="47"/>
    <s v="Sigfrid"/>
    <x v="1"/>
    <d v="1989-03-04T00:00:00"/>
    <s v="31-41"/>
    <n v="35"/>
    <x v="1"/>
    <n v="3"/>
    <s v="Fri, Mon, Sun"/>
    <n v="1"/>
    <n v="1"/>
    <n v="0"/>
    <n v="0"/>
    <n v="0"/>
    <n v="1"/>
    <n v="0"/>
    <b v="0"/>
    <m/>
    <d v="1899-12-30T15:02:00"/>
    <d v="1899-12-30T16:02:00"/>
    <n v="60"/>
    <b v="0"/>
    <m/>
  </r>
  <r>
    <n v="48"/>
    <s v="Dick"/>
    <x v="1"/>
    <d v="1997-11-15T00:00:00"/>
    <s v="20-30"/>
    <n v="26"/>
    <x v="0"/>
    <n v="5"/>
    <s v="Fri, Sun, Thu, Tue, Wed"/>
    <n v="1"/>
    <n v="0"/>
    <n v="1"/>
    <n v="1"/>
    <n v="1"/>
    <n v="1"/>
    <n v="0"/>
    <b v="1"/>
    <s v="Yoga, Zumba, Running"/>
    <d v="1899-12-30T16:29:00"/>
    <d v="1899-12-30T17:16:00"/>
    <n v="47"/>
    <b v="1"/>
    <s v="Jeffrey"/>
  </r>
  <r>
    <n v="49"/>
    <s v="Anette"/>
    <x v="0"/>
    <d v="1975-10-23T00:00:00"/>
    <s v="41-50"/>
    <n v="48"/>
    <x v="0"/>
    <n v="3"/>
    <s v="Mon, Thu, Wed"/>
    <n v="0"/>
    <n v="1"/>
    <n v="0"/>
    <n v="1"/>
    <n v="1"/>
    <n v="0"/>
    <n v="0"/>
    <b v="1"/>
    <s v="Yoga, LesMiles"/>
    <d v="1899-12-30T11:56:00"/>
    <d v="1899-12-30T13:52:00"/>
    <n v="116"/>
    <b v="1"/>
    <s v="Chantal"/>
  </r>
  <r>
    <n v="50"/>
    <s v="Nora"/>
    <x v="0"/>
    <d v="1979-12-29T00:00:00"/>
    <s v="41-50"/>
    <n v="44"/>
    <x v="0"/>
    <n v="2"/>
    <s v="Sun, Tue"/>
    <n v="1"/>
    <n v="0"/>
    <n v="1"/>
    <n v="0"/>
    <n v="0"/>
    <n v="0"/>
    <n v="0"/>
    <b v="1"/>
    <s v="BodyPump, HIT"/>
    <d v="1899-12-30T08:54:00"/>
    <d v="1899-12-30T11:09:00"/>
    <n v="135"/>
    <b v="0"/>
    <m/>
  </r>
  <r>
    <n v="51"/>
    <s v="Maximilianus"/>
    <x v="1"/>
    <d v="1979-07-17T00:00:00"/>
    <s v="41-50"/>
    <n v="45"/>
    <x v="1"/>
    <n v="3"/>
    <s v="Fri, Sun, Wed"/>
    <n v="1"/>
    <n v="0"/>
    <n v="0"/>
    <n v="1"/>
    <n v="0"/>
    <n v="1"/>
    <n v="0"/>
    <b v="0"/>
    <m/>
    <d v="1899-12-30T09:43:00"/>
    <d v="1899-12-30T11:13:00"/>
    <n v="90"/>
    <b v="0"/>
    <m/>
  </r>
  <r>
    <n v="52"/>
    <s v="Nathanil"/>
    <x v="1"/>
    <d v="1996-04-21T00:00:00"/>
    <s v="20-30"/>
    <n v="28"/>
    <x v="0"/>
    <n v="2"/>
    <s v="Fri, Tue"/>
    <n v="0"/>
    <n v="0"/>
    <n v="1"/>
    <n v="0"/>
    <n v="0"/>
    <n v="1"/>
    <n v="0"/>
    <b v="1"/>
    <s v="BodyPump, XCore"/>
    <d v="1899-12-30T20:58:00"/>
    <d v="1899-12-30T21:45:00"/>
    <n v="47"/>
    <b v="0"/>
    <m/>
  </r>
  <r>
    <n v="53"/>
    <s v="Jada"/>
    <x v="0"/>
    <d v="2004-07-17T00:00:00"/>
    <s v="20-30"/>
    <n v="20"/>
    <x v="0"/>
    <n v="2"/>
    <s v="Mon, Sat"/>
    <n v="0"/>
    <n v="1"/>
    <n v="0"/>
    <n v="0"/>
    <n v="0"/>
    <n v="0"/>
    <n v="1"/>
    <b v="1"/>
    <s v="BodyBalance, Kickboxen, Yoga"/>
    <d v="1899-12-30T09:26:00"/>
    <d v="1899-12-30T10:46:00"/>
    <n v="80"/>
    <b v="0"/>
    <m/>
  </r>
  <r>
    <n v="54"/>
    <s v="Maud"/>
    <x v="0"/>
    <d v="1980-11-27T00:00:00"/>
    <s v="41-50"/>
    <n v="43"/>
    <x v="1"/>
    <n v="4"/>
    <s v="Fri, Mon, Sun, Wed"/>
    <n v="1"/>
    <n v="1"/>
    <n v="0"/>
    <n v="1"/>
    <n v="0"/>
    <n v="1"/>
    <n v="0"/>
    <b v="1"/>
    <s v="Pilates, BodyPump, Running"/>
    <d v="1899-12-30T20:36:00"/>
    <d v="1899-12-30T22:21:00"/>
    <n v="105"/>
    <b v="1"/>
    <s v="Mike"/>
  </r>
  <r>
    <n v="55"/>
    <s v="Chadd"/>
    <x v="1"/>
    <d v="2000-01-04T00:00:00"/>
    <s v="20-30"/>
    <n v="24"/>
    <x v="1"/>
    <n v="2"/>
    <s v="Fri, Tue"/>
    <n v="0"/>
    <n v="0"/>
    <n v="1"/>
    <n v="0"/>
    <n v="0"/>
    <n v="1"/>
    <n v="0"/>
    <b v="1"/>
    <s v="Spinning, XCore, BodyPump"/>
    <d v="1899-12-30T15:49:00"/>
    <d v="1899-12-30T17:09:00"/>
    <n v="80"/>
    <b v="1"/>
    <s v="Chantal"/>
  </r>
  <r>
    <n v="56"/>
    <s v="Paten"/>
    <x v="1"/>
    <d v="2002-07-26T00:00:00"/>
    <s v="20-30"/>
    <n v="22"/>
    <x v="1"/>
    <n v="3"/>
    <s v="Fri, Thu, Wed"/>
    <n v="0"/>
    <n v="0"/>
    <n v="0"/>
    <n v="1"/>
    <n v="1"/>
    <n v="1"/>
    <n v="0"/>
    <b v="0"/>
    <m/>
    <d v="1899-12-30T17:13:00"/>
    <d v="1899-12-30T19:09:00"/>
    <n v="116"/>
    <b v="0"/>
    <m/>
  </r>
  <r>
    <n v="57"/>
    <s v="Isahella"/>
    <x v="0"/>
    <d v="2001-06-12T00:00:00"/>
    <s v="20-30"/>
    <n v="23"/>
    <x v="1"/>
    <n v="3"/>
    <s v="Mon, Sat, Wed"/>
    <n v="0"/>
    <n v="1"/>
    <n v="0"/>
    <n v="1"/>
    <n v="0"/>
    <n v="0"/>
    <n v="1"/>
    <b v="0"/>
    <m/>
    <d v="1899-12-30T08:36:00"/>
    <d v="1899-12-30T10:20:00"/>
    <n v="104"/>
    <b v="0"/>
    <m/>
  </r>
  <r>
    <n v="58"/>
    <s v="Benton"/>
    <x v="1"/>
    <d v="1977-12-30T00:00:00"/>
    <s v="41-50"/>
    <n v="46"/>
    <x v="0"/>
    <n v="5"/>
    <s v="Sat, Sun, Thu, Tue, Wed"/>
    <n v="1"/>
    <n v="0"/>
    <n v="1"/>
    <n v="1"/>
    <n v="1"/>
    <n v="0"/>
    <n v="1"/>
    <b v="1"/>
    <s v="BodyBalance, Spinning, XCore"/>
    <d v="1899-12-30T12:19:00"/>
    <d v="1899-12-30T15:07:00"/>
    <n v="168"/>
    <b v="1"/>
    <s v="Chantal"/>
  </r>
  <r>
    <n v="59"/>
    <s v="Gus"/>
    <x v="1"/>
    <d v="2007-07-11T00:00:00"/>
    <s v="below 20"/>
    <n v="17"/>
    <x v="0"/>
    <n v="2"/>
    <s v="Sun, Tue"/>
    <n v="1"/>
    <n v="0"/>
    <n v="1"/>
    <n v="0"/>
    <n v="0"/>
    <n v="0"/>
    <n v="0"/>
    <b v="1"/>
    <s v="Kickboxen, Spinning, BodyPump"/>
    <d v="1899-12-30T10:40:00"/>
    <d v="1899-12-30T11:30:00"/>
    <n v="50"/>
    <b v="0"/>
    <m/>
  </r>
  <r>
    <n v="60"/>
    <s v="Lesley"/>
    <x v="0"/>
    <d v="1988-08-20T00:00:00"/>
    <s v="31-41"/>
    <n v="36"/>
    <x v="1"/>
    <n v="2"/>
    <s v="Thu, Tue"/>
    <n v="0"/>
    <n v="0"/>
    <n v="1"/>
    <n v="0"/>
    <n v="1"/>
    <n v="0"/>
    <n v="0"/>
    <b v="1"/>
    <s v="XCore, LesMiles, HIT"/>
    <d v="1899-12-30T19:38:00"/>
    <d v="1899-12-30T21:46:00"/>
    <n v="128"/>
    <b v="1"/>
    <s v="Chantal"/>
  </r>
  <r>
    <n v="61"/>
    <s v="Eulalie"/>
    <x v="0"/>
    <d v="1977-05-08T00:00:00"/>
    <s v="41-50"/>
    <n v="47"/>
    <x v="0"/>
    <n v="3"/>
    <s v="Mon, Sat, Thu"/>
    <n v="0"/>
    <n v="1"/>
    <n v="0"/>
    <n v="0"/>
    <n v="1"/>
    <n v="0"/>
    <n v="1"/>
    <b v="0"/>
    <m/>
    <d v="1899-12-30T18:30:00"/>
    <d v="1899-12-30T19:56:00"/>
    <n v="86"/>
    <b v="1"/>
    <s v="Chantal"/>
  </r>
  <r>
    <n v="62"/>
    <s v="Talia"/>
    <x v="0"/>
    <d v="1995-05-13T00:00:00"/>
    <s v="20-30"/>
    <n v="29"/>
    <x v="1"/>
    <n v="3"/>
    <s v="Fri, Sat, Thu"/>
    <n v="0"/>
    <n v="0"/>
    <n v="0"/>
    <n v="0"/>
    <n v="1"/>
    <n v="1"/>
    <n v="1"/>
    <b v="0"/>
    <m/>
    <d v="1899-12-30T10:28:00"/>
    <d v="1899-12-30T13:26:00"/>
    <n v="178"/>
    <b v="1"/>
    <s v="Chantal"/>
  </r>
  <r>
    <n v="63"/>
    <s v="Chaddy"/>
    <x v="1"/>
    <d v="1994-03-10T00:00:00"/>
    <s v="20-30"/>
    <n v="30"/>
    <x v="1"/>
    <n v="3"/>
    <s v="Fri, Sat, Sun"/>
    <n v="1"/>
    <n v="0"/>
    <n v="0"/>
    <n v="0"/>
    <n v="0"/>
    <n v="1"/>
    <n v="1"/>
    <b v="0"/>
    <m/>
    <d v="1899-12-30T17:22:00"/>
    <d v="1899-12-30T19:20:00"/>
    <n v="118"/>
    <b v="0"/>
    <m/>
  </r>
  <r>
    <n v="64"/>
    <s v="Bridget"/>
    <x v="0"/>
    <d v="2002-05-16T00:00:00"/>
    <s v="20-30"/>
    <n v="22"/>
    <x v="0"/>
    <n v="3"/>
    <s v="Fri, Thu, Tue"/>
    <n v="0"/>
    <n v="0"/>
    <n v="1"/>
    <n v="0"/>
    <n v="1"/>
    <n v="1"/>
    <n v="0"/>
    <b v="0"/>
    <m/>
    <d v="1899-12-30T10:41:00"/>
    <d v="1899-12-30T12:03:00"/>
    <n v="82"/>
    <b v="1"/>
    <s v="Hanna"/>
  </r>
  <r>
    <n v="65"/>
    <s v="Dierdre"/>
    <x v="0"/>
    <d v="1982-11-21T00:00:00"/>
    <s v="41-50"/>
    <n v="41"/>
    <x v="1"/>
    <n v="2"/>
    <s v="Mon, Wed"/>
    <n v="0"/>
    <n v="1"/>
    <n v="0"/>
    <n v="1"/>
    <n v="0"/>
    <n v="0"/>
    <n v="0"/>
    <b v="0"/>
    <m/>
    <d v="1899-12-30T13:55:00"/>
    <d v="1899-12-30T16:15:00"/>
    <n v="140"/>
    <b v="0"/>
    <m/>
  </r>
  <r>
    <n v="66"/>
    <s v="Constancia"/>
    <x v="0"/>
    <d v="1979-03-27T00:00:00"/>
    <s v="41-50"/>
    <n v="45"/>
    <x v="0"/>
    <n v="4"/>
    <s v="Sat, Sun, Tue, Wed"/>
    <n v="1"/>
    <n v="0"/>
    <n v="1"/>
    <n v="1"/>
    <n v="0"/>
    <n v="0"/>
    <n v="1"/>
    <b v="0"/>
    <m/>
    <d v="1899-12-30T13:06:00"/>
    <d v="1899-12-30T13:47:00"/>
    <n v="41"/>
    <b v="0"/>
    <m/>
  </r>
  <r>
    <n v="67"/>
    <s v="Arlie"/>
    <x v="0"/>
    <d v="2002-04-26T00:00:00"/>
    <s v="20-30"/>
    <n v="22"/>
    <x v="0"/>
    <n v="1"/>
    <s v="Sun"/>
    <n v="1"/>
    <n v="0"/>
    <n v="0"/>
    <n v="0"/>
    <n v="0"/>
    <n v="0"/>
    <n v="0"/>
    <b v="1"/>
    <s v="Running, HIT"/>
    <d v="1899-12-30T08:18:00"/>
    <d v="1899-12-30T08:55:00"/>
    <n v="37"/>
    <b v="0"/>
    <m/>
  </r>
  <r>
    <n v="68"/>
    <s v="Shelden"/>
    <x v="1"/>
    <d v="2004-07-16T00:00:00"/>
    <s v="20-30"/>
    <n v="20"/>
    <x v="1"/>
    <n v="5"/>
    <s v="Sat, Sun, Thu, Tue, Wed"/>
    <n v="1"/>
    <n v="0"/>
    <n v="1"/>
    <n v="1"/>
    <n v="1"/>
    <n v="0"/>
    <n v="1"/>
    <b v="1"/>
    <s v="Spinning, Zumba"/>
    <d v="1899-12-30T13:04:00"/>
    <d v="1899-12-30T13:43:00"/>
    <n v="39"/>
    <b v="1"/>
    <s v="Mike"/>
  </r>
  <r>
    <n v="69"/>
    <s v="Carver"/>
    <x v="1"/>
    <d v="1990-12-12T00:00:00"/>
    <s v="31-41"/>
    <n v="33"/>
    <x v="0"/>
    <n v="1"/>
    <s v="Mon"/>
    <n v="0"/>
    <n v="1"/>
    <n v="0"/>
    <n v="0"/>
    <n v="0"/>
    <n v="0"/>
    <n v="0"/>
    <b v="1"/>
    <s v="Zumba"/>
    <d v="1899-12-30T09:04:00"/>
    <d v="1899-12-30T10:20:00"/>
    <n v="76"/>
    <b v="0"/>
    <m/>
  </r>
  <r>
    <n v="70"/>
    <s v="Franky"/>
    <x v="0"/>
    <d v="1988-08-01T00:00:00"/>
    <s v="31-41"/>
    <n v="36"/>
    <x v="0"/>
    <n v="3"/>
    <s v="Fri, Sat, Tue"/>
    <n v="0"/>
    <n v="0"/>
    <n v="1"/>
    <n v="0"/>
    <n v="0"/>
    <n v="1"/>
    <n v="1"/>
    <b v="0"/>
    <m/>
    <d v="1899-12-30T11:11:00"/>
    <d v="1899-12-30T14:01:00"/>
    <n v="170"/>
    <b v="0"/>
    <m/>
  </r>
  <r>
    <n v="71"/>
    <s v="Vincenz"/>
    <x v="1"/>
    <d v="1994-09-21T00:00:00"/>
    <s v="20-30"/>
    <n v="30"/>
    <x v="0"/>
    <n v="5"/>
    <s v="Fri, Mon, Sat, Sun, Thu"/>
    <n v="1"/>
    <n v="1"/>
    <n v="0"/>
    <n v="0"/>
    <n v="1"/>
    <n v="1"/>
    <n v="1"/>
    <b v="1"/>
    <s v="BodyPump, Kickboxen, Running"/>
    <d v="1899-12-30T13:04:00"/>
    <d v="1899-12-30T14:45:00"/>
    <n v="101"/>
    <b v="1"/>
    <s v="Hanna"/>
  </r>
  <r>
    <n v="72"/>
    <s v="Adham"/>
    <x v="1"/>
    <d v="2007-03-13T00:00:00"/>
    <s v="below 20"/>
    <n v="17"/>
    <x v="0"/>
    <n v="1"/>
    <s v="Sun"/>
    <n v="1"/>
    <n v="0"/>
    <n v="0"/>
    <n v="0"/>
    <n v="0"/>
    <n v="0"/>
    <n v="0"/>
    <b v="0"/>
    <m/>
    <d v="1899-12-30T10:30:00"/>
    <d v="1899-12-30T12:58:00"/>
    <n v="148"/>
    <b v="1"/>
    <s v="Mike"/>
  </r>
  <r>
    <n v="73"/>
    <s v="Guillaume"/>
    <x v="1"/>
    <d v="1988-12-31T00:00:00"/>
    <s v="31-41"/>
    <n v="35"/>
    <x v="0"/>
    <n v="2"/>
    <s v="Fri, Tue"/>
    <n v="0"/>
    <n v="0"/>
    <n v="1"/>
    <n v="0"/>
    <n v="0"/>
    <n v="1"/>
    <n v="0"/>
    <b v="0"/>
    <m/>
    <d v="1899-12-30T17:06:00"/>
    <d v="1899-12-30T18:10:00"/>
    <n v="64"/>
    <b v="1"/>
    <s v="Chantal"/>
  </r>
  <r>
    <n v="74"/>
    <s v="Bone"/>
    <x v="1"/>
    <d v="1995-12-16T00:00:00"/>
    <s v="20-30"/>
    <n v="28"/>
    <x v="1"/>
    <n v="2"/>
    <s v="Mon, Wed"/>
    <n v="0"/>
    <n v="1"/>
    <n v="0"/>
    <n v="1"/>
    <n v="0"/>
    <n v="0"/>
    <n v="0"/>
    <b v="0"/>
    <m/>
    <d v="1899-12-30T20:17:00"/>
    <d v="1899-12-30T20:59:00"/>
    <n v="42"/>
    <b v="0"/>
    <m/>
  </r>
  <r>
    <n v="75"/>
    <s v="Florry"/>
    <x v="0"/>
    <d v="1996-11-30T00:00:00"/>
    <s v="20-30"/>
    <n v="27"/>
    <x v="1"/>
    <n v="5"/>
    <s v="Fri, Mon, Sat, Tue, Wed"/>
    <n v="0"/>
    <n v="1"/>
    <n v="1"/>
    <n v="1"/>
    <n v="0"/>
    <n v="1"/>
    <n v="1"/>
    <b v="0"/>
    <m/>
    <d v="1899-12-30T09:57:00"/>
    <d v="1899-12-30T11:17:00"/>
    <n v="80"/>
    <b v="0"/>
    <m/>
  </r>
  <r>
    <n v="76"/>
    <s v="Thaddeus"/>
    <x v="1"/>
    <d v="2004-06-09T00:00:00"/>
    <s v="20-30"/>
    <n v="20"/>
    <x v="0"/>
    <n v="1"/>
    <s v="Wed"/>
    <n v="0"/>
    <n v="0"/>
    <n v="0"/>
    <n v="1"/>
    <n v="0"/>
    <n v="0"/>
    <n v="0"/>
    <b v="0"/>
    <m/>
    <d v="1899-12-30T15:33:00"/>
    <d v="1899-12-30T16:19:00"/>
    <n v="46"/>
    <b v="1"/>
    <s v="Mike"/>
  </r>
  <r>
    <n v="77"/>
    <s v="Alexine"/>
    <x v="0"/>
    <d v="2007-04-19T00:00:00"/>
    <s v="below 20"/>
    <n v="17"/>
    <x v="0"/>
    <n v="2"/>
    <s v="Thu, Wed"/>
    <n v="0"/>
    <n v="0"/>
    <n v="0"/>
    <n v="1"/>
    <n v="1"/>
    <n v="0"/>
    <n v="0"/>
    <b v="0"/>
    <m/>
    <d v="1899-12-30T15:54:00"/>
    <d v="1899-12-30T16:46:00"/>
    <n v="52"/>
    <b v="1"/>
    <s v="Hanna"/>
  </r>
  <r>
    <n v="78"/>
    <s v="Boigie"/>
    <x v="1"/>
    <d v="1990-10-24T00:00:00"/>
    <s v="31-41"/>
    <n v="33"/>
    <x v="0"/>
    <n v="2"/>
    <s v="Mon, Tue"/>
    <n v="0"/>
    <n v="1"/>
    <n v="1"/>
    <n v="0"/>
    <n v="0"/>
    <n v="0"/>
    <n v="0"/>
    <b v="1"/>
    <s v="Zumba, LesMiles"/>
    <d v="1899-12-30T16:16:00"/>
    <d v="1899-12-30T17:42:00"/>
    <n v="86"/>
    <b v="1"/>
    <s v="Mike"/>
  </r>
  <r>
    <n v="79"/>
    <s v="Morgan"/>
    <x v="0"/>
    <d v="1981-04-24T00:00:00"/>
    <s v="41-50"/>
    <n v="43"/>
    <x v="1"/>
    <n v="5"/>
    <s v="Fri, Mon, Sat, Sun, Tue"/>
    <n v="1"/>
    <n v="1"/>
    <n v="1"/>
    <n v="0"/>
    <n v="0"/>
    <n v="1"/>
    <n v="1"/>
    <b v="1"/>
    <s v="XCore, LesMiles"/>
    <d v="1899-12-30T12:44:00"/>
    <d v="1899-12-30T15:05:00"/>
    <n v="141"/>
    <b v="0"/>
    <m/>
  </r>
  <r>
    <n v="80"/>
    <s v="Merrily"/>
    <x v="0"/>
    <d v="1988-09-23T00:00:00"/>
    <s v="31-41"/>
    <n v="36"/>
    <x v="1"/>
    <n v="2"/>
    <s v="Mon, Sun"/>
    <n v="1"/>
    <n v="1"/>
    <n v="0"/>
    <n v="0"/>
    <n v="0"/>
    <n v="0"/>
    <n v="0"/>
    <b v="1"/>
    <s v="Yoga, Zumba, BodyPump"/>
    <d v="1899-12-30T18:19:00"/>
    <d v="1899-12-30T19:42:00"/>
    <n v="83"/>
    <b v="1"/>
    <s v="Jeffrey"/>
  </r>
  <r>
    <n v="81"/>
    <s v="Orv"/>
    <x v="1"/>
    <d v="1978-10-15T00:00:00"/>
    <s v="41-50"/>
    <n v="45"/>
    <x v="1"/>
    <n v="2"/>
    <s v="Mon, Tue"/>
    <n v="0"/>
    <n v="1"/>
    <n v="1"/>
    <n v="0"/>
    <n v="0"/>
    <n v="0"/>
    <n v="0"/>
    <b v="0"/>
    <m/>
    <d v="1899-12-30T12:35:00"/>
    <d v="1899-12-30T14:41:00"/>
    <n v="126"/>
    <b v="1"/>
    <s v="Mike"/>
  </r>
  <r>
    <n v="82"/>
    <s v="Sayres"/>
    <x v="1"/>
    <d v="1981-11-06T00:00:00"/>
    <s v="41-50"/>
    <n v="42"/>
    <x v="1"/>
    <n v="3"/>
    <s v="Mon, Sat, Thu"/>
    <n v="0"/>
    <n v="1"/>
    <n v="0"/>
    <n v="0"/>
    <n v="1"/>
    <n v="0"/>
    <n v="1"/>
    <b v="1"/>
    <s v="Running, BodyBalance"/>
    <d v="1899-12-30T18:55:00"/>
    <d v="1899-12-30T20:49:00"/>
    <n v="114"/>
    <b v="0"/>
    <m/>
  </r>
  <r>
    <n v="83"/>
    <s v="Estevan"/>
    <x v="1"/>
    <d v="1995-04-02T00:00:00"/>
    <s v="20-30"/>
    <n v="29"/>
    <x v="0"/>
    <n v="1"/>
    <s v="Thu"/>
    <n v="0"/>
    <n v="0"/>
    <n v="0"/>
    <n v="0"/>
    <n v="1"/>
    <n v="0"/>
    <n v="0"/>
    <b v="0"/>
    <m/>
    <d v="1899-12-30T08:33:00"/>
    <d v="1899-12-30T09:42:00"/>
    <n v="69"/>
    <b v="0"/>
    <m/>
  </r>
  <r>
    <n v="84"/>
    <s v="Rusty"/>
    <x v="1"/>
    <d v="2006-07-30T00:00:00"/>
    <s v="below 20"/>
    <n v="18"/>
    <x v="1"/>
    <n v="3"/>
    <s v="Fri, Mon, Thu"/>
    <n v="0"/>
    <n v="1"/>
    <n v="0"/>
    <n v="0"/>
    <n v="1"/>
    <n v="1"/>
    <n v="0"/>
    <b v="1"/>
    <s v="Yoga"/>
    <d v="1899-12-30T09:15:00"/>
    <d v="1899-12-30T10:07:00"/>
    <n v="52"/>
    <b v="0"/>
    <m/>
  </r>
  <r>
    <n v="85"/>
    <s v="Crin"/>
    <x v="0"/>
    <d v="1992-04-27T00:00:00"/>
    <s v="31-41"/>
    <n v="32"/>
    <x v="0"/>
    <n v="2"/>
    <s v="Fri, Sun"/>
    <n v="1"/>
    <n v="0"/>
    <n v="0"/>
    <n v="0"/>
    <n v="0"/>
    <n v="1"/>
    <n v="0"/>
    <b v="1"/>
    <s v="HIT, Yoga, BodyBalance"/>
    <d v="1899-12-30T19:07:00"/>
    <d v="1899-12-30T21:39:00"/>
    <n v="152"/>
    <b v="0"/>
    <m/>
  </r>
  <r>
    <n v="86"/>
    <s v="Kailey"/>
    <x v="0"/>
    <d v="1997-02-09T00:00:00"/>
    <s v="20-30"/>
    <n v="27"/>
    <x v="1"/>
    <n v="3"/>
    <s v="Mon, Sat, Sun"/>
    <n v="1"/>
    <n v="1"/>
    <n v="0"/>
    <n v="0"/>
    <n v="0"/>
    <n v="0"/>
    <n v="1"/>
    <b v="1"/>
    <s v="BodyPump, LesMiles"/>
    <d v="1899-12-30T20:29:00"/>
    <d v="1899-12-30T23:20:00"/>
    <n v="171"/>
    <b v="1"/>
    <s v="Chantal"/>
  </r>
  <r>
    <n v="87"/>
    <s v="Thorsten"/>
    <x v="1"/>
    <d v="1977-06-27T00:00:00"/>
    <s v="41-50"/>
    <n v="47"/>
    <x v="0"/>
    <n v="3"/>
    <s v="Mon, Sat, Thu"/>
    <n v="0"/>
    <n v="1"/>
    <n v="0"/>
    <n v="0"/>
    <n v="1"/>
    <n v="0"/>
    <n v="1"/>
    <b v="1"/>
    <s v="Kickboxen, XCore, HIT"/>
    <d v="1899-12-30T12:51:00"/>
    <d v="1899-12-30T15:37:00"/>
    <n v="166"/>
    <b v="1"/>
    <s v="Chantal"/>
  </r>
  <r>
    <n v="88"/>
    <s v="Karolina"/>
    <x v="0"/>
    <d v="2008-10-05T00:00:00"/>
    <s v="below 20"/>
    <n v="15"/>
    <x v="0"/>
    <n v="2"/>
    <s v="Fri, Mon"/>
    <n v="0"/>
    <n v="1"/>
    <n v="0"/>
    <n v="0"/>
    <n v="0"/>
    <n v="1"/>
    <n v="0"/>
    <b v="0"/>
    <m/>
    <d v="1899-12-30T11:29:00"/>
    <d v="1899-12-30T12:20:00"/>
    <n v="51"/>
    <b v="0"/>
    <m/>
  </r>
  <r>
    <n v="89"/>
    <s v="Shirlee"/>
    <x v="0"/>
    <d v="1984-12-21T00:00:00"/>
    <s v="31-41"/>
    <n v="39"/>
    <x v="1"/>
    <n v="4"/>
    <s v="Fri, Mon, Tue, Wed"/>
    <n v="0"/>
    <n v="1"/>
    <n v="1"/>
    <n v="1"/>
    <n v="0"/>
    <n v="1"/>
    <n v="0"/>
    <b v="1"/>
    <s v="Yoga"/>
    <d v="1899-12-30T10:34:00"/>
    <d v="1899-12-30T11:09:00"/>
    <n v="35"/>
    <b v="0"/>
    <m/>
  </r>
  <r>
    <n v="90"/>
    <s v="Henrie"/>
    <x v="0"/>
    <d v="1978-08-24T00:00:00"/>
    <s v="41-50"/>
    <n v="46"/>
    <x v="1"/>
    <n v="1"/>
    <s v="Tue"/>
    <n v="0"/>
    <n v="0"/>
    <n v="1"/>
    <n v="0"/>
    <n v="0"/>
    <n v="0"/>
    <n v="0"/>
    <b v="0"/>
    <m/>
    <d v="1899-12-30T11:13:00"/>
    <d v="1899-12-30T12:15:00"/>
    <n v="62"/>
    <b v="0"/>
    <m/>
  </r>
  <r>
    <n v="91"/>
    <s v="Perri"/>
    <x v="0"/>
    <d v="2003-03-08T00:00:00"/>
    <s v="20-30"/>
    <n v="21"/>
    <x v="0"/>
    <n v="3"/>
    <s v="Mon, Sun, Tue"/>
    <n v="1"/>
    <n v="1"/>
    <n v="1"/>
    <n v="0"/>
    <n v="0"/>
    <n v="0"/>
    <n v="0"/>
    <b v="0"/>
    <m/>
    <d v="1899-12-30T13:04:00"/>
    <d v="1899-12-30T14:34:00"/>
    <n v="90"/>
    <b v="0"/>
    <m/>
  </r>
  <r>
    <n v="92"/>
    <s v="Elvis"/>
    <x v="1"/>
    <d v="1993-08-17T00:00:00"/>
    <s v="31-41"/>
    <n v="31"/>
    <x v="1"/>
    <n v="1"/>
    <s v="Sun"/>
    <n v="1"/>
    <n v="0"/>
    <n v="0"/>
    <n v="0"/>
    <n v="0"/>
    <n v="0"/>
    <n v="0"/>
    <b v="1"/>
    <s v="Running"/>
    <d v="1899-12-30T14:37:00"/>
    <d v="1899-12-30T16:35:00"/>
    <n v="118"/>
    <b v="1"/>
    <s v="Chantal"/>
  </r>
  <r>
    <n v="93"/>
    <s v="Nicolle"/>
    <x v="0"/>
    <d v="1984-06-06T00:00:00"/>
    <s v="31-41"/>
    <n v="40"/>
    <x v="1"/>
    <n v="4"/>
    <s v="Mon, Sat, Thu, Wed"/>
    <n v="0"/>
    <n v="1"/>
    <n v="0"/>
    <n v="1"/>
    <n v="1"/>
    <n v="0"/>
    <n v="1"/>
    <b v="1"/>
    <s v="BodyPump, LesMiles"/>
    <d v="1899-12-30T09:55:00"/>
    <d v="1899-12-30T11:28:00"/>
    <n v="93"/>
    <b v="0"/>
    <m/>
  </r>
  <r>
    <n v="94"/>
    <s v="Karlyn"/>
    <x v="0"/>
    <d v="1983-06-03T00:00:00"/>
    <s v="41-50"/>
    <n v="41"/>
    <x v="1"/>
    <n v="2"/>
    <s v="Fri, Wed"/>
    <n v="0"/>
    <n v="0"/>
    <n v="0"/>
    <n v="1"/>
    <n v="0"/>
    <n v="1"/>
    <n v="0"/>
    <b v="1"/>
    <s v="BodyPump"/>
    <d v="1899-12-30T16:43:00"/>
    <d v="1899-12-30T18:16:00"/>
    <n v="93"/>
    <b v="1"/>
    <s v="Chantal"/>
  </r>
  <r>
    <n v="95"/>
    <s v="Jen"/>
    <x v="0"/>
    <d v="2012-05-10T00:00:00"/>
    <s v="below 20"/>
    <n v="12"/>
    <x v="1"/>
    <n v="3"/>
    <s v="Fri, Mon, Tue"/>
    <n v="0"/>
    <n v="1"/>
    <n v="1"/>
    <n v="0"/>
    <n v="0"/>
    <n v="1"/>
    <n v="0"/>
    <b v="1"/>
    <s v="BodyBalance, XCore"/>
    <d v="1899-12-30T10:10:00"/>
    <d v="1899-12-30T11:35:00"/>
    <n v="85"/>
    <b v="0"/>
    <m/>
  </r>
  <r>
    <n v="96"/>
    <s v="Hunt"/>
    <x v="1"/>
    <d v="1984-04-10T00:00:00"/>
    <s v="31-41"/>
    <n v="40"/>
    <x v="1"/>
    <n v="1"/>
    <s v="Mon"/>
    <n v="0"/>
    <n v="1"/>
    <n v="0"/>
    <n v="0"/>
    <n v="0"/>
    <n v="0"/>
    <n v="0"/>
    <b v="0"/>
    <m/>
    <d v="1899-12-30T10:28:00"/>
    <d v="1899-12-30T12:55:00"/>
    <n v="147"/>
    <b v="0"/>
    <m/>
  </r>
  <r>
    <n v="97"/>
    <s v="Barnebas"/>
    <x v="1"/>
    <d v="1995-03-24T00:00:00"/>
    <s v="20-30"/>
    <n v="29"/>
    <x v="0"/>
    <n v="3"/>
    <s v="Sat, Thu, Wed"/>
    <n v="0"/>
    <n v="0"/>
    <n v="0"/>
    <n v="1"/>
    <n v="1"/>
    <n v="0"/>
    <n v="1"/>
    <b v="0"/>
    <m/>
    <d v="1899-12-30T14:16:00"/>
    <d v="1899-12-30T17:13:00"/>
    <n v="177"/>
    <b v="0"/>
    <m/>
  </r>
  <r>
    <n v="98"/>
    <s v="Emanuel"/>
    <x v="1"/>
    <d v="2005-09-18T00:00:00"/>
    <s v="below 20"/>
    <n v="19"/>
    <x v="0"/>
    <n v="2"/>
    <s v="Mon, Wed"/>
    <n v="0"/>
    <n v="1"/>
    <n v="0"/>
    <n v="1"/>
    <n v="0"/>
    <n v="0"/>
    <n v="0"/>
    <b v="0"/>
    <m/>
    <d v="1899-12-30T16:57:00"/>
    <d v="1899-12-30T17:48:00"/>
    <n v="51"/>
    <b v="1"/>
    <s v="Jeffrey"/>
  </r>
  <r>
    <n v="99"/>
    <s v="Blondelle"/>
    <x v="0"/>
    <d v="1990-03-23T00:00:00"/>
    <s v="31-41"/>
    <n v="34"/>
    <x v="0"/>
    <n v="2"/>
    <s v="Thu, Wed"/>
    <n v="0"/>
    <n v="0"/>
    <n v="0"/>
    <n v="1"/>
    <n v="1"/>
    <n v="0"/>
    <n v="0"/>
    <b v="0"/>
    <m/>
    <d v="1899-12-30T09:35:00"/>
    <d v="1899-12-30T10:57:00"/>
    <n v="82"/>
    <b v="1"/>
    <s v="Hanna"/>
  </r>
  <r>
    <n v="100"/>
    <s v="Cherise"/>
    <x v="0"/>
    <d v="2003-02-08T00:00:00"/>
    <s v="20-30"/>
    <n v="21"/>
    <x v="0"/>
    <n v="3"/>
    <s v="Mon, Sat, Sun"/>
    <n v="1"/>
    <n v="1"/>
    <n v="0"/>
    <n v="0"/>
    <n v="0"/>
    <n v="0"/>
    <n v="1"/>
    <b v="0"/>
    <m/>
    <d v="1899-12-30T08:34:00"/>
    <d v="1899-12-30T10:09:00"/>
    <n v="95"/>
    <b v="0"/>
    <m/>
  </r>
  <r>
    <n v="101"/>
    <s v="Giselbert"/>
    <x v="1"/>
    <d v="1980-05-18T00:00:00"/>
    <s v="41-50"/>
    <n v="44"/>
    <x v="1"/>
    <n v="3"/>
    <s v="Fri, Mon, Sun"/>
    <n v="1"/>
    <n v="1"/>
    <n v="0"/>
    <n v="0"/>
    <n v="0"/>
    <n v="1"/>
    <n v="0"/>
    <b v="1"/>
    <s v="HIT"/>
    <d v="1899-12-30T10:11:00"/>
    <d v="1899-12-30T13:01:00"/>
    <n v="170"/>
    <b v="1"/>
    <s v="Jeffrey"/>
  </r>
  <r>
    <n v="102"/>
    <s v="Shayna"/>
    <x v="0"/>
    <d v="2000-02-15T00:00:00"/>
    <s v="20-30"/>
    <n v="24"/>
    <x v="1"/>
    <n v="3"/>
    <s v="Mon, Sat, Wed"/>
    <n v="0"/>
    <n v="1"/>
    <n v="0"/>
    <n v="1"/>
    <n v="0"/>
    <n v="0"/>
    <n v="1"/>
    <b v="1"/>
    <s v="BodyPump, Running, XCore"/>
    <d v="1899-12-30T17:42:00"/>
    <d v="1899-12-30T20:23:00"/>
    <n v="161"/>
    <b v="1"/>
    <s v="Mike"/>
  </r>
  <r>
    <n v="103"/>
    <s v="Falito"/>
    <x v="1"/>
    <d v="1990-11-06T00:00:00"/>
    <s v="31-41"/>
    <n v="33"/>
    <x v="1"/>
    <n v="5"/>
    <s v="Fri, Sat, Thu, Tue, Wed"/>
    <n v="0"/>
    <n v="0"/>
    <n v="1"/>
    <n v="1"/>
    <n v="1"/>
    <n v="1"/>
    <n v="1"/>
    <b v="1"/>
    <s v="Pilates, Kickboxen, HIT"/>
    <d v="1899-12-30T10:29:00"/>
    <d v="1899-12-30T12:41:00"/>
    <n v="132"/>
    <b v="1"/>
    <s v="Chantal"/>
  </r>
  <r>
    <n v="104"/>
    <s v="Rodi"/>
    <x v="0"/>
    <d v="1976-12-20T00:00:00"/>
    <s v="41-50"/>
    <n v="47"/>
    <x v="0"/>
    <n v="2"/>
    <s v="Fri, Sun"/>
    <n v="1"/>
    <n v="0"/>
    <n v="0"/>
    <n v="0"/>
    <n v="0"/>
    <n v="1"/>
    <n v="0"/>
    <b v="0"/>
    <m/>
    <d v="1899-12-30T13:19:00"/>
    <d v="1899-12-30T15:41:00"/>
    <n v="142"/>
    <b v="1"/>
    <s v="Mike"/>
  </r>
  <r>
    <n v="105"/>
    <s v="Dianemarie"/>
    <x v="0"/>
    <d v="1986-03-15T00:00:00"/>
    <s v="31-41"/>
    <n v="38"/>
    <x v="0"/>
    <n v="1"/>
    <s v="Wed"/>
    <n v="0"/>
    <n v="0"/>
    <n v="0"/>
    <n v="1"/>
    <n v="0"/>
    <n v="0"/>
    <n v="0"/>
    <b v="1"/>
    <s v="BodyPump, LesMiles"/>
    <d v="1899-12-30T09:51:00"/>
    <d v="1899-12-30T10:35:00"/>
    <n v="44"/>
    <b v="1"/>
    <s v="Mike"/>
  </r>
  <r>
    <n v="106"/>
    <s v="Tomkin"/>
    <x v="1"/>
    <d v="2012-08-28T00:00:00"/>
    <s v="below 20"/>
    <n v="12"/>
    <x v="0"/>
    <n v="3"/>
    <s v="Fri, Sat, Tue"/>
    <n v="0"/>
    <n v="0"/>
    <n v="1"/>
    <n v="0"/>
    <n v="0"/>
    <n v="1"/>
    <n v="1"/>
    <b v="1"/>
    <s v="Pilates, Yoga"/>
    <d v="1899-12-30T19:57:00"/>
    <d v="1899-12-30T20:49:00"/>
    <n v="52"/>
    <b v="0"/>
    <m/>
  </r>
  <r>
    <n v="107"/>
    <s v="Shawnee"/>
    <x v="0"/>
    <d v="2003-07-22T00:00:00"/>
    <s v="20-30"/>
    <n v="21"/>
    <x v="1"/>
    <n v="2"/>
    <s v="Mon, Sat"/>
    <n v="0"/>
    <n v="1"/>
    <n v="0"/>
    <n v="0"/>
    <n v="0"/>
    <n v="0"/>
    <n v="1"/>
    <b v="0"/>
    <m/>
    <d v="1899-12-30T20:13:00"/>
    <d v="1899-12-30T22:42:00"/>
    <n v="149"/>
    <b v="0"/>
    <m/>
  </r>
  <r>
    <n v="108"/>
    <s v="Vivia"/>
    <x v="0"/>
    <d v="2002-03-05T00:00:00"/>
    <s v="20-30"/>
    <n v="22"/>
    <x v="1"/>
    <n v="3"/>
    <s v="Thu, Tue, Wed"/>
    <n v="0"/>
    <n v="0"/>
    <n v="1"/>
    <n v="1"/>
    <n v="1"/>
    <n v="0"/>
    <n v="0"/>
    <b v="1"/>
    <s v="Running, HIT"/>
    <d v="1899-12-30T19:52:00"/>
    <d v="1899-12-30T21:17:00"/>
    <n v="85"/>
    <b v="1"/>
    <s v="Chantal"/>
  </r>
  <r>
    <n v="109"/>
    <s v="Amara"/>
    <x v="0"/>
    <d v="1991-03-27T00:00:00"/>
    <s v="31-41"/>
    <n v="33"/>
    <x v="0"/>
    <n v="1"/>
    <s v="Fri"/>
    <n v="0"/>
    <n v="0"/>
    <n v="0"/>
    <n v="0"/>
    <n v="0"/>
    <n v="1"/>
    <n v="0"/>
    <b v="0"/>
    <m/>
    <d v="1899-12-30T14:02:00"/>
    <d v="1899-12-30T14:57:00"/>
    <n v="55"/>
    <b v="0"/>
    <m/>
  </r>
  <r>
    <n v="110"/>
    <s v="Aile"/>
    <x v="0"/>
    <d v="2004-03-01T00:00:00"/>
    <s v="20-30"/>
    <n v="20"/>
    <x v="0"/>
    <n v="2"/>
    <s v="Sat, Thu"/>
    <n v="0"/>
    <n v="0"/>
    <n v="0"/>
    <n v="0"/>
    <n v="1"/>
    <n v="0"/>
    <n v="1"/>
    <b v="1"/>
    <s v="Pilates"/>
    <d v="1899-12-30T17:52:00"/>
    <d v="1899-12-30T20:39:00"/>
    <n v="167"/>
    <b v="0"/>
    <m/>
  </r>
  <r>
    <n v="111"/>
    <s v="Irena"/>
    <x v="0"/>
    <d v="1994-02-01T00:00:00"/>
    <s v="20-30"/>
    <n v="30"/>
    <x v="1"/>
    <n v="3"/>
    <s v="Fri, Sun, Tue"/>
    <n v="1"/>
    <n v="0"/>
    <n v="1"/>
    <n v="0"/>
    <n v="0"/>
    <n v="1"/>
    <n v="0"/>
    <b v="1"/>
    <s v="HIT"/>
    <d v="1899-12-30T17:43:00"/>
    <d v="1899-12-30T18:25:00"/>
    <n v="42"/>
    <b v="0"/>
    <m/>
  </r>
  <r>
    <n v="112"/>
    <s v="Waylin"/>
    <x v="1"/>
    <d v="2009-03-06T00:00:00"/>
    <s v="below 20"/>
    <n v="15"/>
    <x v="1"/>
    <n v="3"/>
    <s v="Fri, Tue, Wed"/>
    <n v="0"/>
    <n v="0"/>
    <n v="1"/>
    <n v="1"/>
    <n v="0"/>
    <n v="1"/>
    <n v="0"/>
    <b v="1"/>
    <s v="Pilates, BodyBalance"/>
    <d v="1899-12-30T16:33:00"/>
    <d v="1899-12-30T17:59:00"/>
    <n v="86"/>
    <b v="0"/>
    <m/>
  </r>
  <r>
    <n v="113"/>
    <s v="Yvonne"/>
    <x v="0"/>
    <d v="1977-07-31T00:00:00"/>
    <s v="41-50"/>
    <n v="47"/>
    <x v="0"/>
    <n v="1"/>
    <s v="Sun"/>
    <n v="1"/>
    <n v="0"/>
    <n v="0"/>
    <n v="0"/>
    <n v="0"/>
    <n v="0"/>
    <n v="0"/>
    <b v="0"/>
    <m/>
    <d v="1899-12-30T16:23:00"/>
    <d v="1899-12-30T17:36:00"/>
    <n v="73"/>
    <b v="1"/>
    <s v="Chantal"/>
  </r>
  <r>
    <n v="114"/>
    <s v="Catherine"/>
    <x v="0"/>
    <d v="1994-06-18T00:00:00"/>
    <s v="20-30"/>
    <n v="30"/>
    <x v="0"/>
    <n v="3"/>
    <s v="Sun, Tue, Wed"/>
    <n v="1"/>
    <n v="0"/>
    <n v="1"/>
    <n v="1"/>
    <n v="0"/>
    <n v="0"/>
    <n v="0"/>
    <b v="0"/>
    <m/>
    <d v="1899-12-30T13:51:00"/>
    <d v="1899-12-30T14:54:00"/>
    <n v="63"/>
    <b v="1"/>
    <s v="Jeffrey"/>
  </r>
  <r>
    <n v="115"/>
    <s v="Mae"/>
    <x v="0"/>
    <d v="2010-09-16T00:00:00"/>
    <s v="below 20"/>
    <n v="14"/>
    <x v="0"/>
    <n v="3"/>
    <s v="Mon, Thu, Wed"/>
    <n v="0"/>
    <n v="1"/>
    <n v="0"/>
    <n v="1"/>
    <n v="1"/>
    <n v="0"/>
    <n v="0"/>
    <b v="0"/>
    <m/>
    <d v="1899-12-30T14:36:00"/>
    <d v="1899-12-30T16:03:00"/>
    <n v="87"/>
    <b v="1"/>
    <s v="Jeffrey"/>
  </r>
  <r>
    <n v="116"/>
    <s v="Esra"/>
    <x v="1"/>
    <d v="1991-03-17T00:00:00"/>
    <s v="31-41"/>
    <n v="33"/>
    <x v="0"/>
    <n v="4"/>
    <s v="Sat, Sun, Tue, Wed"/>
    <n v="1"/>
    <n v="0"/>
    <n v="1"/>
    <n v="1"/>
    <n v="0"/>
    <n v="0"/>
    <n v="1"/>
    <b v="0"/>
    <m/>
    <d v="1899-12-30T19:08:00"/>
    <d v="1899-12-30T21:24:00"/>
    <n v="136"/>
    <b v="0"/>
    <m/>
  </r>
  <r>
    <n v="117"/>
    <s v="Woodie"/>
    <x v="1"/>
    <d v="1975-04-04T00:00:00"/>
    <s v="41-50"/>
    <n v="49"/>
    <x v="1"/>
    <n v="1"/>
    <s v="Sat"/>
    <n v="0"/>
    <n v="0"/>
    <n v="0"/>
    <n v="0"/>
    <n v="0"/>
    <n v="0"/>
    <n v="1"/>
    <b v="1"/>
    <s v="Pilates"/>
    <d v="1899-12-30T18:02:00"/>
    <d v="1899-12-30T19:37:00"/>
    <n v="95"/>
    <b v="0"/>
    <m/>
  </r>
  <r>
    <n v="118"/>
    <s v="Esra"/>
    <x v="1"/>
    <d v="1983-12-28T00:00:00"/>
    <s v="31-41"/>
    <n v="40"/>
    <x v="1"/>
    <n v="5"/>
    <s v="Fri, Mon, Sat, Tue, Wed"/>
    <n v="0"/>
    <n v="1"/>
    <n v="1"/>
    <n v="1"/>
    <n v="0"/>
    <n v="1"/>
    <n v="1"/>
    <b v="0"/>
    <m/>
    <d v="1899-12-30T08:23:00"/>
    <d v="1899-12-30T10:02:00"/>
    <n v="99"/>
    <b v="0"/>
    <m/>
  </r>
  <r>
    <n v="119"/>
    <s v="Bank"/>
    <x v="1"/>
    <d v="1978-07-07T00:00:00"/>
    <s v="41-50"/>
    <n v="46"/>
    <x v="0"/>
    <n v="3"/>
    <s v="Mon, Thu, Wed"/>
    <n v="0"/>
    <n v="1"/>
    <n v="0"/>
    <n v="1"/>
    <n v="1"/>
    <n v="0"/>
    <n v="0"/>
    <b v="1"/>
    <s v="HIT, XCore, BodyPump"/>
    <d v="1899-12-30T13:30:00"/>
    <d v="1899-12-30T16:26:00"/>
    <n v="176"/>
    <b v="1"/>
    <s v="Jeffrey"/>
  </r>
  <r>
    <n v="120"/>
    <s v="Selle"/>
    <x v="0"/>
    <d v="1984-05-06T00:00:00"/>
    <s v="31-41"/>
    <n v="40"/>
    <x v="1"/>
    <n v="3"/>
    <s v="Mon, Sat, Sun"/>
    <n v="1"/>
    <n v="1"/>
    <n v="0"/>
    <n v="0"/>
    <n v="0"/>
    <n v="0"/>
    <n v="1"/>
    <b v="0"/>
    <m/>
    <d v="1899-12-30T14:55:00"/>
    <d v="1899-12-30T17:45:00"/>
    <n v="170"/>
    <b v="1"/>
    <s v="Chantal"/>
  </r>
  <r>
    <n v="121"/>
    <s v="Robinetta"/>
    <x v="0"/>
    <d v="2002-03-30T00:00:00"/>
    <s v="20-30"/>
    <n v="22"/>
    <x v="0"/>
    <n v="2"/>
    <s v="Mon, Thu"/>
    <n v="0"/>
    <n v="1"/>
    <n v="0"/>
    <n v="0"/>
    <n v="1"/>
    <n v="0"/>
    <n v="0"/>
    <b v="1"/>
    <s v="BodyPump, Spinning"/>
    <d v="1899-12-30T19:19:00"/>
    <d v="1899-12-30T21:51:00"/>
    <n v="152"/>
    <b v="0"/>
    <m/>
  </r>
  <r>
    <n v="122"/>
    <s v="Corrie"/>
    <x v="0"/>
    <d v="1981-07-02T00:00:00"/>
    <s v="41-50"/>
    <n v="43"/>
    <x v="0"/>
    <n v="1"/>
    <s v="Tue"/>
    <n v="0"/>
    <n v="0"/>
    <n v="1"/>
    <n v="0"/>
    <n v="0"/>
    <n v="0"/>
    <n v="0"/>
    <b v="1"/>
    <s v="Kickboxen, BodyPump"/>
    <d v="1899-12-30T20:09:00"/>
    <d v="1899-12-30T22:15:00"/>
    <n v="126"/>
    <b v="0"/>
    <m/>
  </r>
  <r>
    <n v="123"/>
    <s v="Carmencita"/>
    <x v="0"/>
    <d v="1990-10-28T00:00:00"/>
    <s v="31-41"/>
    <n v="33"/>
    <x v="1"/>
    <n v="3"/>
    <s v="Fri, Sat, Sun"/>
    <n v="1"/>
    <n v="0"/>
    <n v="0"/>
    <n v="0"/>
    <n v="0"/>
    <n v="1"/>
    <n v="1"/>
    <b v="0"/>
    <m/>
    <d v="1899-12-30T09:46:00"/>
    <d v="1899-12-30T10:26:00"/>
    <n v="40"/>
    <b v="0"/>
    <m/>
  </r>
  <r>
    <n v="124"/>
    <s v="Fifi"/>
    <x v="0"/>
    <d v="2010-07-29T00:00:00"/>
    <s v="below 20"/>
    <n v="14"/>
    <x v="0"/>
    <n v="3"/>
    <s v="Mon, Sun, Tue"/>
    <n v="1"/>
    <n v="1"/>
    <n v="1"/>
    <n v="0"/>
    <n v="0"/>
    <n v="0"/>
    <n v="0"/>
    <b v="0"/>
    <m/>
    <d v="1899-12-30T14:40:00"/>
    <d v="1899-12-30T15:29:00"/>
    <n v="49"/>
    <b v="1"/>
    <s v="Hanna"/>
  </r>
  <r>
    <n v="125"/>
    <s v="Jae"/>
    <x v="1"/>
    <d v="2010-04-20T00:00:00"/>
    <s v="below 20"/>
    <n v="14"/>
    <x v="1"/>
    <n v="3"/>
    <s v="Fri, Sun, Thu"/>
    <n v="1"/>
    <n v="0"/>
    <n v="0"/>
    <n v="0"/>
    <n v="1"/>
    <n v="1"/>
    <n v="0"/>
    <b v="0"/>
    <m/>
    <d v="1899-12-30T14:09:00"/>
    <d v="1899-12-30T17:06:00"/>
    <n v="177"/>
    <b v="1"/>
    <s v="Jeffrey"/>
  </r>
  <r>
    <n v="126"/>
    <s v="Iago"/>
    <x v="1"/>
    <d v="2009-10-16T00:00:00"/>
    <s v="below 20"/>
    <n v="14"/>
    <x v="1"/>
    <n v="3"/>
    <s v="Mon, Sun, Tue"/>
    <n v="1"/>
    <n v="1"/>
    <n v="1"/>
    <n v="0"/>
    <n v="0"/>
    <n v="0"/>
    <n v="0"/>
    <b v="0"/>
    <m/>
    <d v="1899-12-30T08:40:00"/>
    <d v="1899-12-30T09:56:00"/>
    <n v="76"/>
    <b v="1"/>
    <s v="Chantal"/>
  </r>
  <r>
    <n v="127"/>
    <s v="Minnie"/>
    <x v="0"/>
    <d v="2004-12-16T00:00:00"/>
    <s v="below 20"/>
    <n v="19"/>
    <x v="1"/>
    <n v="3"/>
    <s v="Thu, Tue, Wed"/>
    <n v="0"/>
    <n v="0"/>
    <n v="1"/>
    <n v="1"/>
    <n v="1"/>
    <n v="0"/>
    <n v="0"/>
    <b v="0"/>
    <m/>
    <d v="1899-12-30T10:58:00"/>
    <d v="1899-12-30T12:39:00"/>
    <n v="101"/>
    <b v="1"/>
    <s v="Hanna"/>
  </r>
  <r>
    <n v="128"/>
    <s v="Lian"/>
    <x v="0"/>
    <d v="1992-02-27T00:00:00"/>
    <s v="31-41"/>
    <n v="32"/>
    <x v="0"/>
    <n v="3"/>
    <s v="Sun, Tue, Wed"/>
    <n v="1"/>
    <n v="0"/>
    <n v="1"/>
    <n v="1"/>
    <n v="0"/>
    <n v="0"/>
    <n v="0"/>
    <b v="0"/>
    <m/>
    <d v="1899-12-30T14:23:00"/>
    <d v="1899-12-30T16:57:00"/>
    <n v="154"/>
    <b v="0"/>
    <m/>
  </r>
  <r>
    <n v="129"/>
    <s v="Bradney"/>
    <x v="1"/>
    <d v="1977-03-30T00:00:00"/>
    <s v="41-50"/>
    <n v="47"/>
    <x v="0"/>
    <n v="1"/>
    <s v="Wed"/>
    <n v="0"/>
    <n v="0"/>
    <n v="0"/>
    <n v="1"/>
    <n v="0"/>
    <n v="0"/>
    <n v="0"/>
    <b v="1"/>
    <s v="Running"/>
    <d v="1899-12-30T12:24:00"/>
    <d v="1899-12-30T13:13:00"/>
    <n v="49"/>
    <b v="1"/>
    <s v="Hanna"/>
  </r>
  <r>
    <n v="130"/>
    <s v="Cody"/>
    <x v="1"/>
    <d v="1981-05-27T00:00:00"/>
    <s v="41-50"/>
    <n v="43"/>
    <x v="0"/>
    <n v="2"/>
    <s v="Tue, Wed"/>
    <n v="0"/>
    <n v="0"/>
    <n v="1"/>
    <n v="1"/>
    <n v="0"/>
    <n v="0"/>
    <n v="0"/>
    <b v="0"/>
    <m/>
    <d v="1899-12-30T19:40:00"/>
    <d v="1899-12-30T21:00:00"/>
    <n v="80"/>
    <b v="1"/>
    <s v="Chantal"/>
  </r>
  <r>
    <n v="131"/>
    <s v="Garrott"/>
    <x v="1"/>
    <d v="1989-11-17T00:00:00"/>
    <s v="31-41"/>
    <n v="34"/>
    <x v="1"/>
    <n v="3"/>
    <s v="Sun, Thu, Wed"/>
    <n v="1"/>
    <n v="0"/>
    <n v="0"/>
    <n v="1"/>
    <n v="1"/>
    <n v="0"/>
    <n v="0"/>
    <b v="0"/>
    <m/>
    <d v="1899-12-30T15:41:00"/>
    <d v="1899-12-30T17:27:00"/>
    <n v="106"/>
    <b v="1"/>
    <s v="Hanna"/>
  </r>
  <r>
    <n v="132"/>
    <s v="Finley"/>
    <x v="1"/>
    <d v="2003-03-19T00:00:00"/>
    <s v="20-30"/>
    <n v="21"/>
    <x v="0"/>
    <n v="1"/>
    <s v="Tue"/>
    <n v="0"/>
    <n v="0"/>
    <n v="1"/>
    <n v="0"/>
    <n v="0"/>
    <n v="0"/>
    <n v="0"/>
    <b v="0"/>
    <m/>
    <d v="1899-12-30T18:11:00"/>
    <d v="1899-12-30T19:44:00"/>
    <n v="93"/>
    <b v="1"/>
    <s v="Hanna"/>
  </r>
  <r>
    <n v="133"/>
    <s v="Gearalt"/>
    <x v="1"/>
    <d v="1997-04-26T00:00:00"/>
    <s v="20-30"/>
    <n v="27"/>
    <x v="0"/>
    <n v="2"/>
    <s v="Sat, Sun"/>
    <n v="1"/>
    <n v="0"/>
    <n v="0"/>
    <n v="0"/>
    <n v="0"/>
    <n v="0"/>
    <n v="1"/>
    <b v="1"/>
    <s v="Zumba"/>
    <d v="1899-12-30T11:35:00"/>
    <d v="1899-12-30T14:31:00"/>
    <n v="176"/>
    <b v="0"/>
    <m/>
  </r>
  <r>
    <n v="134"/>
    <s v="Pooh"/>
    <x v="0"/>
    <d v="1993-08-20T00:00:00"/>
    <s v="31-41"/>
    <n v="31"/>
    <x v="0"/>
    <n v="5"/>
    <s v="Mon, Sat, Sun, Thu, Wed"/>
    <n v="1"/>
    <n v="1"/>
    <n v="0"/>
    <n v="1"/>
    <n v="1"/>
    <n v="0"/>
    <n v="1"/>
    <b v="1"/>
    <s v="Spinning, LesMiles"/>
    <d v="1899-12-30T09:31:00"/>
    <d v="1899-12-30T12:24:00"/>
    <n v="173"/>
    <b v="1"/>
    <s v="Mike"/>
  </r>
  <r>
    <n v="135"/>
    <s v="Kris"/>
    <x v="0"/>
    <d v="2003-05-19T00:00:00"/>
    <s v="20-30"/>
    <n v="21"/>
    <x v="1"/>
    <n v="2"/>
    <s v="Sun, Tue"/>
    <n v="1"/>
    <n v="0"/>
    <n v="1"/>
    <n v="0"/>
    <n v="0"/>
    <n v="0"/>
    <n v="0"/>
    <b v="0"/>
    <m/>
    <d v="1899-12-30T13:05:00"/>
    <d v="1899-12-30T14:02:00"/>
    <n v="57"/>
    <b v="1"/>
    <s v="Mike"/>
  </r>
  <r>
    <n v="136"/>
    <s v="Helga"/>
    <x v="0"/>
    <d v="2009-06-30T00:00:00"/>
    <s v="below 20"/>
    <n v="15"/>
    <x v="1"/>
    <n v="2"/>
    <s v="Fri, Tue"/>
    <n v="0"/>
    <n v="0"/>
    <n v="1"/>
    <n v="0"/>
    <n v="0"/>
    <n v="1"/>
    <n v="0"/>
    <b v="0"/>
    <m/>
    <d v="1899-12-30T16:51:00"/>
    <d v="1899-12-30T17:36:00"/>
    <n v="45"/>
    <b v="0"/>
    <m/>
  </r>
  <r>
    <n v="137"/>
    <s v="Marga"/>
    <x v="0"/>
    <d v="2004-09-18T00:00:00"/>
    <s v="20-30"/>
    <n v="20"/>
    <x v="0"/>
    <n v="3"/>
    <s v="Fri, Mon, Sat"/>
    <n v="0"/>
    <n v="1"/>
    <n v="0"/>
    <n v="0"/>
    <n v="0"/>
    <n v="1"/>
    <n v="1"/>
    <b v="0"/>
    <m/>
    <d v="1899-12-30T10:32:00"/>
    <d v="1899-12-30T13:30:00"/>
    <n v="178"/>
    <b v="0"/>
    <m/>
  </r>
  <r>
    <n v="138"/>
    <s v="Gunar"/>
    <x v="1"/>
    <d v="1988-04-10T00:00:00"/>
    <s v="31-41"/>
    <n v="36"/>
    <x v="1"/>
    <n v="1"/>
    <s v="Wed"/>
    <n v="0"/>
    <n v="0"/>
    <n v="0"/>
    <n v="1"/>
    <n v="0"/>
    <n v="0"/>
    <n v="0"/>
    <b v="0"/>
    <m/>
    <d v="1899-12-30T20:55:00"/>
    <d v="1899-12-30T22:16:00"/>
    <n v="81"/>
    <b v="0"/>
    <m/>
  </r>
  <r>
    <n v="139"/>
    <s v="Nesta"/>
    <x v="0"/>
    <d v="1993-04-07T00:00:00"/>
    <s v="31-41"/>
    <n v="31"/>
    <x v="1"/>
    <n v="5"/>
    <s v="Fri, Mon, Sun, Thu, Tue"/>
    <n v="1"/>
    <n v="1"/>
    <n v="1"/>
    <n v="0"/>
    <n v="1"/>
    <n v="1"/>
    <n v="0"/>
    <b v="0"/>
    <m/>
    <d v="1899-12-30T19:28:00"/>
    <d v="1899-12-30T21:35:00"/>
    <n v="127"/>
    <b v="0"/>
    <m/>
  </r>
  <r>
    <n v="140"/>
    <s v="Brittany"/>
    <x v="0"/>
    <d v="2010-02-25T00:00:00"/>
    <s v="below 20"/>
    <n v="14"/>
    <x v="1"/>
    <n v="2"/>
    <s v="Sun, Wed"/>
    <n v="1"/>
    <n v="0"/>
    <n v="0"/>
    <n v="1"/>
    <n v="0"/>
    <n v="0"/>
    <n v="0"/>
    <b v="1"/>
    <s v="Spinning, XCore, BodyBalance"/>
    <d v="1899-12-30T10:33:00"/>
    <d v="1899-12-30T11:05:00"/>
    <n v="32"/>
    <b v="0"/>
    <m/>
  </r>
  <r>
    <n v="141"/>
    <s v="Park"/>
    <x v="1"/>
    <d v="1984-05-28T00:00:00"/>
    <s v="31-41"/>
    <n v="40"/>
    <x v="0"/>
    <n v="3"/>
    <s v="Fri, Sat, Tue"/>
    <n v="0"/>
    <n v="0"/>
    <n v="1"/>
    <n v="0"/>
    <n v="0"/>
    <n v="1"/>
    <n v="1"/>
    <b v="1"/>
    <s v="LesMiles, Yoga"/>
    <d v="1899-12-30T19:59:00"/>
    <d v="1899-12-30T22:37:00"/>
    <n v="158"/>
    <b v="1"/>
    <s v="Mike"/>
  </r>
  <r>
    <n v="142"/>
    <s v="Rosalinde"/>
    <x v="0"/>
    <d v="2002-03-07T00:00:00"/>
    <s v="20-30"/>
    <n v="22"/>
    <x v="1"/>
    <n v="5"/>
    <s v="Mon, Sun, Thu, Tue, Wed"/>
    <n v="1"/>
    <n v="1"/>
    <n v="1"/>
    <n v="1"/>
    <n v="1"/>
    <n v="0"/>
    <n v="0"/>
    <b v="1"/>
    <s v="Running, Yoga, Kickboxen"/>
    <d v="1899-12-30T08:13:00"/>
    <d v="1899-12-30T11:09:00"/>
    <n v="176"/>
    <b v="0"/>
    <m/>
  </r>
  <r>
    <n v="143"/>
    <s v="Ginnifer"/>
    <x v="0"/>
    <d v="2008-03-19T00:00:00"/>
    <s v="below 20"/>
    <n v="16"/>
    <x v="0"/>
    <n v="3"/>
    <s v="Fri, Mon, Thu"/>
    <n v="0"/>
    <n v="1"/>
    <n v="0"/>
    <n v="0"/>
    <n v="1"/>
    <n v="1"/>
    <n v="0"/>
    <b v="0"/>
    <m/>
    <d v="1899-12-30T17:21:00"/>
    <d v="1899-12-30T19:20:00"/>
    <n v="119"/>
    <b v="1"/>
    <s v="Chantal"/>
  </r>
  <r>
    <n v="144"/>
    <s v="Rickard"/>
    <x v="1"/>
    <d v="1975-03-11T00:00:00"/>
    <s v="41-50"/>
    <n v="49"/>
    <x v="0"/>
    <n v="3"/>
    <s v="Fri, Thu, Tue"/>
    <n v="0"/>
    <n v="0"/>
    <n v="1"/>
    <n v="0"/>
    <n v="1"/>
    <n v="1"/>
    <n v="0"/>
    <b v="1"/>
    <s v="XCore, HIT, Kickboxen"/>
    <d v="1899-12-30T20:30:00"/>
    <d v="1899-12-30T22:53:00"/>
    <n v="143"/>
    <b v="1"/>
    <s v="Jeffrey"/>
  </r>
  <r>
    <n v="145"/>
    <s v="Winne"/>
    <x v="0"/>
    <d v="2010-06-21T00:00:00"/>
    <s v="below 20"/>
    <n v="14"/>
    <x v="0"/>
    <n v="3"/>
    <s v="Sat, Sun, Thu"/>
    <n v="1"/>
    <n v="0"/>
    <n v="0"/>
    <n v="0"/>
    <n v="1"/>
    <n v="0"/>
    <n v="1"/>
    <b v="0"/>
    <m/>
    <d v="1899-12-30T10:11:00"/>
    <d v="1899-12-30T11:03:00"/>
    <n v="52"/>
    <b v="0"/>
    <m/>
  </r>
  <r>
    <n v="146"/>
    <s v="Julina"/>
    <x v="0"/>
    <d v="2010-08-20T00:00:00"/>
    <s v="below 20"/>
    <n v="14"/>
    <x v="1"/>
    <n v="5"/>
    <s v="Fri, Mon, Sun, Thu, Tue"/>
    <n v="1"/>
    <n v="1"/>
    <n v="1"/>
    <n v="0"/>
    <n v="1"/>
    <n v="1"/>
    <n v="0"/>
    <b v="1"/>
    <s v="XCore"/>
    <d v="1899-12-30T20:23:00"/>
    <d v="1899-12-30T21:23:00"/>
    <n v="60"/>
    <b v="1"/>
    <s v="Mike"/>
  </r>
  <r>
    <n v="147"/>
    <s v="Timothee"/>
    <x v="1"/>
    <d v="1988-03-17T00:00:00"/>
    <s v="31-41"/>
    <n v="36"/>
    <x v="1"/>
    <n v="3"/>
    <s v="Sun, Tue, Wed"/>
    <n v="1"/>
    <n v="0"/>
    <n v="1"/>
    <n v="1"/>
    <n v="0"/>
    <n v="0"/>
    <n v="0"/>
    <b v="1"/>
    <s v="Running"/>
    <d v="1899-12-30T18:19:00"/>
    <d v="1899-12-30T19:48:00"/>
    <n v="89"/>
    <b v="0"/>
    <m/>
  </r>
  <r>
    <n v="148"/>
    <s v="Hazlett"/>
    <x v="1"/>
    <d v="1988-03-22T00:00:00"/>
    <s v="31-41"/>
    <n v="36"/>
    <x v="0"/>
    <n v="2"/>
    <s v="Thu, Wed"/>
    <n v="0"/>
    <n v="0"/>
    <n v="0"/>
    <n v="1"/>
    <n v="1"/>
    <n v="0"/>
    <n v="0"/>
    <b v="1"/>
    <s v="BodyPump, Pilates, BodyBalance"/>
    <d v="1899-12-30T09:08:00"/>
    <d v="1899-12-30T12:02:00"/>
    <n v="174"/>
    <b v="1"/>
    <s v="Mike"/>
  </r>
  <r>
    <n v="149"/>
    <s v="Andrew"/>
    <x v="1"/>
    <d v="1998-06-29T00:00:00"/>
    <s v="20-30"/>
    <n v="26"/>
    <x v="1"/>
    <n v="2"/>
    <s v="Thu, Wed"/>
    <n v="0"/>
    <n v="0"/>
    <n v="0"/>
    <n v="1"/>
    <n v="1"/>
    <n v="0"/>
    <n v="0"/>
    <b v="0"/>
    <m/>
    <d v="1899-12-30T17:57:00"/>
    <d v="1899-12-30T19:49:00"/>
    <n v="112"/>
    <b v="0"/>
    <m/>
  </r>
  <r>
    <n v="150"/>
    <s v="Cirilo"/>
    <x v="1"/>
    <d v="2005-06-27T00:00:00"/>
    <s v="below 20"/>
    <n v="19"/>
    <x v="0"/>
    <n v="1"/>
    <s v="Mon"/>
    <n v="0"/>
    <n v="1"/>
    <n v="0"/>
    <n v="0"/>
    <n v="0"/>
    <n v="0"/>
    <n v="0"/>
    <b v="0"/>
    <m/>
    <d v="1899-12-30T16:10:00"/>
    <d v="1899-12-30T17:32:00"/>
    <n v="82"/>
    <b v="1"/>
    <s v="Mike"/>
  </r>
  <r>
    <n v="151"/>
    <s v="Alberto"/>
    <x v="1"/>
    <d v="1995-02-02T00:00:00"/>
    <s v="20-30"/>
    <n v="29"/>
    <x v="0"/>
    <n v="2"/>
    <s v="Fri, Wed"/>
    <n v="0"/>
    <n v="0"/>
    <n v="0"/>
    <n v="1"/>
    <n v="0"/>
    <n v="1"/>
    <n v="0"/>
    <b v="1"/>
    <s v="Pilates, XCore"/>
    <d v="1899-12-30T20:15:00"/>
    <d v="1899-12-30T21:11:00"/>
    <n v="56"/>
    <b v="0"/>
    <m/>
  </r>
  <r>
    <n v="152"/>
    <s v="Marion"/>
    <x v="1"/>
    <d v="1997-09-25T00:00:00"/>
    <s v="20-30"/>
    <n v="27"/>
    <x v="0"/>
    <n v="2"/>
    <s v="Mon, Tue"/>
    <n v="0"/>
    <n v="1"/>
    <n v="1"/>
    <n v="0"/>
    <n v="0"/>
    <n v="0"/>
    <n v="0"/>
    <b v="0"/>
    <m/>
    <d v="1899-12-30T20:44:00"/>
    <d v="1899-12-30T21:33:00"/>
    <n v="49"/>
    <b v="1"/>
    <s v="Hanna"/>
  </r>
  <r>
    <n v="153"/>
    <s v="Gail"/>
    <x v="1"/>
    <d v="1977-07-22T00:00:00"/>
    <s v="41-50"/>
    <n v="47"/>
    <x v="0"/>
    <n v="2"/>
    <s v="Sun, Thu"/>
    <n v="1"/>
    <n v="0"/>
    <n v="0"/>
    <n v="0"/>
    <n v="1"/>
    <n v="0"/>
    <n v="0"/>
    <b v="1"/>
    <s v="Running, Kickboxen, Pilates"/>
    <d v="1899-12-30T16:41:00"/>
    <d v="1899-12-30T17:16:00"/>
    <n v="35"/>
    <b v="1"/>
    <s v="Chantal"/>
  </r>
  <r>
    <n v="154"/>
    <s v="Burke"/>
    <x v="1"/>
    <d v="1985-03-16T00:00:00"/>
    <s v="31-41"/>
    <n v="39"/>
    <x v="1"/>
    <n v="2"/>
    <s v="Sat, Thu"/>
    <n v="0"/>
    <n v="0"/>
    <n v="0"/>
    <n v="0"/>
    <n v="1"/>
    <n v="0"/>
    <n v="1"/>
    <b v="1"/>
    <s v="Kickboxen"/>
    <d v="1899-12-30T11:18:00"/>
    <d v="1899-12-30T13:02:00"/>
    <n v="104"/>
    <b v="1"/>
    <s v="Mike"/>
  </r>
  <r>
    <n v="155"/>
    <s v="Moe"/>
    <x v="1"/>
    <d v="1977-08-27T00:00:00"/>
    <s v="41-50"/>
    <n v="47"/>
    <x v="1"/>
    <n v="1"/>
    <s v="Mon"/>
    <n v="0"/>
    <n v="1"/>
    <n v="0"/>
    <n v="0"/>
    <n v="0"/>
    <n v="0"/>
    <n v="0"/>
    <b v="0"/>
    <m/>
    <d v="1899-12-30T14:41:00"/>
    <d v="1899-12-30T15:14:00"/>
    <n v="33"/>
    <b v="1"/>
    <s v="Hanna"/>
  </r>
  <r>
    <n v="156"/>
    <s v="Jocelyne"/>
    <x v="0"/>
    <d v="2004-02-01T00:00:00"/>
    <s v="20-30"/>
    <n v="20"/>
    <x v="0"/>
    <n v="2"/>
    <s v="Fri, Sat"/>
    <n v="0"/>
    <n v="0"/>
    <n v="0"/>
    <n v="0"/>
    <n v="0"/>
    <n v="1"/>
    <n v="1"/>
    <b v="0"/>
    <m/>
    <d v="1899-12-30T18:54:00"/>
    <d v="1899-12-30T20:04:00"/>
    <n v="70"/>
    <b v="1"/>
    <s v="Chantal"/>
  </r>
  <r>
    <n v="157"/>
    <s v="Jillie"/>
    <x v="0"/>
    <d v="2004-08-30T00:00:00"/>
    <s v="20-30"/>
    <n v="20"/>
    <x v="1"/>
    <n v="4"/>
    <s v="Fri, Sat, Thu, Tue"/>
    <n v="0"/>
    <n v="0"/>
    <n v="1"/>
    <n v="0"/>
    <n v="1"/>
    <n v="1"/>
    <n v="1"/>
    <b v="0"/>
    <m/>
    <d v="1899-12-30T11:51:00"/>
    <d v="1899-12-30T13:13:00"/>
    <n v="82"/>
    <b v="1"/>
    <s v="Jeffrey"/>
  </r>
  <r>
    <n v="158"/>
    <s v="Torrance"/>
    <x v="1"/>
    <d v="2002-02-02T00:00:00"/>
    <s v="20-30"/>
    <n v="22"/>
    <x v="1"/>
    <n v="2"/>
    <s v="Mon, Tue"/>
    <n v="0"/>
    <n v="1"/>
    <n v="1"/>
    <n v="0"/>
    <n v="0"/>
    <n v="0"/>
    <n v="0"/>
    <b v="0"/>
    <m/>
    <d v="1899-12-30T14:12:00"/>
    <d v="1899-12-30T15:37:00"/>
    <n v="85"/>
    <b v="1"/>
    <s v="Mike"/>
  </r>
  <r>
    <n v="159"/>
    <s v="Ruthann"/>
    <x v="0"/>
    <d v="2002-06-03T00:00:00"/>
    <s v="20-30"/>
    <n v="22"/>
    <x v="1"/>
    <n v="3"/>
    <s v="Sat, Thu, Tue"/>
    <n v="0"/>
    <n v="0"/>
    <n v="1"/>
    <n v="0"/>
    <n v="1"/>
    <n v="0"/>
    <n v="1"/>
    <b v="1"/>
    <s v="Kickboxen, LesMiles, HIT"/>
    <d v="1899-12-30T17:57:00"/>
    <d v="1899-12-30T20:19:00"/>
    <n v="142"/>
    <b v="1"/>
    <s v="Hanna"/>
  </r>
  <r>
    <n v="160"/>
    <s v="Millie"/>
    <x v="0"/>
    <d v="2000-03-19T00:00:00"/>
    <s v="20-30"/>
    <n v="24"/>
    <x v="0"/>
    <n v="3"/>
    <s v="Sun, Thu, Tue"/>
    <n v="1"/>
    <n v="0"/>
    <n v="1"/>
    <n v="0"/>
    <n v="1"/>
    <n v="0"/>
    <n v="0"/>
    <b v="1"/>
    <s v="BodyBalance, Yoga"/>
    <d v="1899-12-30T15:17:00"/>
    <d v="1899-12-30T16:48:00"/>
    <n v="91"/>
    <b v="1"/>
    <s v="Hanna"/>
  </r>
  <r>
    <n v="161"/>
    <s v="Adriane"/>
    <x v="0"/>
    <d v="2006-12-22T00:00:00"/>
    <s v="below 20"/>
    <n v="17"/>
    <x v="1"/>
    <n v="3"/>
    <s v="Fri, Sat, Wed"/>
    <n v="0"/>
    <n v="0"/>
    <n v="0"/>
    <n v="1"/>
    <n v="0"/>
    <n v="1"/>
    <n v="1"/>
    <b v="1"/>
    <s v="XCore, Running, HIT"/>
    <d v="1899-12-30T15:41:00"/>
    <d v="1899-12-30T18:15:00"/>
    <n v="154"/>
    <b v="1"/>
    <s v="Chantal"/>
  </r>
  <r>
    <n v="162"/>
    <s v="Peder"/>
    <x v="1"/>
    <d v="1995-01-27T00:00:00"/>
    <s v="20-30"/>
    <n v="29"/>
    <x v="1"/>
    <n v="1"/>
    <s v="Thu"/>
    <n v="0"/>
    <n v="0"/>
    <n v="0"/>
    <n v="0"/>
    <n v="1"/>
    <n v="0"/>
    <n v="0"/>
    <b v="0"/>
    <m/>
    <d v="1899-12-30T17:00:00"/>
    <d v="1899-12-30T19:46:00"/>
    <n v="166"/>
    <b v="0"/>
    <m/>
  </r>
  <r>
    <n v="163"/>
    <s v="Cesaro"/>
    <x v="1"/>
    <d v="1987-11-24T00:00:00"/>
    <s v="31-41"/>
    <n v="36"/>
    <x v="0"/>
    <n v="3"/>
    <s v="Sat, Sun, Wed"/>
    <n v="1"/>
    <n v="0"/>
    <n v="0"/>
    <n v="1"/>
    <n v="0"/>
    <n v="0"/>
    <n v="1"/>
    <b v="0"/>
    <m/>
    <d v="1899-12-30T08:42:00"/>
    <d v="1899-12-30T11:16:00"/>
    <n v="154"/>
    <b v="1"/>
    <s v="Jeffrey"/>
  </r>
  <r>
    <n v="164"/>
    <s v="Quincy"/>
    <x v="1"/>
    <d v="2004-01-29T00:00:00"/>
    <s v="20-30"/>
    <n v="20"/>
    <x v="1"/>
    <n v="5"/>
    <s v="Fri, Mon, Sat, Thu, Wed"/>
    <n v="0"/>
    <n v="1"/>
    <n v="0"/>
    <n v="1"/>
    <n v="1"/>
    <n v="1"/>
    <n v="1"/>
    <b v="0"/>
    <m/>
    <d v="1899-12-30T17:41:00"/>
    <d v="1899-12-30T20:08:00"/>
    <n v="147"/>
    <b v="0"/>
    <m/>
  </r>
  <r>
    <n v="165"/>
    <s v="Christian"/>
    <x v="1"/>
    <d v="1995-05-22T00:00:00"/>
    <s v="20-30"/>
    <n v="29"/>
    <x v="1"/>
    <n v="2"/>
    <s v="Sun, Tue"/>
    <n v="1"/>
    <n v="0"/>
    <n v="1"/>
    <n v="0"/>
    <n v="0"/>
    <n v="0"/>
    <n v="0"/>
    <b v="1"/>
    <s v="Zumba"/>
    <d v="1899-12-30T14:45:00"/>
    <d v="1899-12-30T17:27:00"/>
    <n v="162"/>
    <b v="1"/>
    <s v="Chantal"/>
  </r>
  <r>
    <n v="166"/>
    <s v="Bordie"/>
    <x v="1"/>
    <d v="1992-09-19T00:00:00"/>
    <s v="31-41"/>
    <n v="32"/>
    <x v="0"/>
    <n v="3"/>
    <s v="Fri, Mon, Sun"/>
    <n v="1"/>
    <n v="1"/>
    <n v="0"/>
    <n v="0"/>
    <n v="0"/>
    <n v="1"/>
    <n v="0"/>
    <b v="0"/>
    <m/>
    <d v="1899-12-30T20:34:00"/>
    <d v="1899-12-30T21:23:00"/>
    <n v="49"/>
    <b v="1"/>
    <s v="Chantal"/>
  </r>
  <r>
    <n v="167"/>
    <s v="Nessie"/>
    <x v="0"/>
    <d v="1981-10-15T00:00:00"/>
    <s v="41-50"/>
    <n v="42"/>
    <x v="0"/>
    <n v="4"/>
    <s v="Fri, Mon, Tue, Wed"/>
    <n v="0"/>
    <n v="1"/>
    <n v="1"/>
    <n v="1"/>
    <n v="0"/>
    <n v="1"/>
    <n v="0"/>
    <b v="1"/>
    <s v="Running, Spinning, Kickboxen"/>
    <d v="1899-12-30T09:55:00"/>
    <d v="1899-12-30T12:44:00"/>
    <n v="169"/>
    <b v="0"/>
    <m/>
  </r>
  <r>
    <n v="168"/>
    <s v="Desi"/>
    <x v="1"/>
    <d v="2010-10-05T00:00:00"/>
    <s v="below 20"/>
    <n v="13"/>
    <x v="1"/>
    <n v="3"/>
    <s v="Fri, Mon, Wed"/>
    <n v="0"/>
    <n v="1"/>
    <n v="0"/>
    <n v="1"/>
    <n v="0"/>
    <n v="1"/>
    <n v="0"/>
    <b v="1"/>
    <s v="Running"/>
    <d v="1899-12-30T12:27:00"/>
    <d v="1899-12-30T13:36:00"/>
    <n v="69"/>
    <b v="0"/>
    <m/>
  </r>
  <r>
    <n v="169"/>
    <s v="Odelinda"/>
    <x v="0"/>
    <d v="1988-11-28T00:00:00"/>
    <s v="31-41"/>
    <n v="35"/>
    <x v="0"/>
    <n v="3"/>
    <s v="Fri, Sat, Sun"/>
    <n v="1"/>
    <n v="0"/>
    <n v="0"/>
    <n v="0"/>
    <n v="0"/>
    <n v="1"/>
    <n v="1"/>
    <b v="1"/>
    <s v="Kickboxen"/>
    <d v="1899-12-30T13:32:00"/>
    <d v="1899-12-30T14:09:00"/>
    <n v="37"/>
    <b v="0"/>
    <m/>
  </r>
  <r>
    <n v="170"/>
    <s v="Rodger"/>
    <x v="1"/>
    <d v="1981-07-29T00:00:00"/>
    <s v="41-50"/>
    <n v="43"/>
    <x v="1"/>
    <n v="3"/>
    <s v="Sat, Thu, Wed"/>
    <n v="0"/>
    <n v="0"/>
    <n v="0"/>
    <n v="1"/>
    <n v="1"/>
    <n v="0"/>
    <n v="1"/>
    <b v="0"/>
    <m/>
    <d v="1899-12-30T12:12:00"/>
    <d v="1899-12-30T13:05:00"/>
    <n v="53"/>
    <b v="1"/>
    <s v="Mike"/>
  </r>
  <r>
    <n v="171"/>
    <s v="Corabella"/>
    <x v="0"/>
    <d v="1987-08-22T00:00:00"/>
    <s v="31-41"/>
    <n v="37"/>
    <x v="1"/>
    <n v="1"/>
    <s v="Sun"/>
    <n v="1"/>
    <n v="0"/>
    <n v="0"/>
    <n v="0"/>
    <n v="0"/>
    <n v="0"/>
    <n v="0"/>
    <b v="0"/>
    <m/>
    <d v="1899-12-30T16:39:00"/>
    <d v="1899-12-30T17:40:00"/>
    <n v="61"/>
    <b v="1"/>
    <s v="Hanna"/>
  </r>
  <r>
    <n v="172"/>
    <s v="Joni"/>
    <x v="0"/>
    <d v="1975-07-05T00:00:00"/>
    <s v="41-50"/>
    <n v="49"/>
    <x v="1"/>
    <n v="5"/>
    <s v="Fri, Mon, Sat, Sun, Tue"/>
    <n v="1"/>
    <n v="1"/>
    <n v="1"/>
    <n v="0"/>
    <n v="0"/>
    <n v="1"/>
    <n v="1"/>
    <b v="1"/>
    <s v="Pilates"/>
    <d v="1899-12-30T08:15:00"/>
    <d v="1899-12-30T10:06:00"/>
    <n v="111"/>
    <b v="0"/>
    <m/>
  </r>
  <r>
    <n v="173"/>
    <s v="Feliks"/>
    <x v="1"/>
    <d v="1977-07-27T00:00:00"/>
    <s v="41-50"/>
    <n v="47"/>
    <x v="1"/>
    <n v="2"/>
    <s v="Mon, Thu"/>
    <n v="0"/>
    <n v="1"/>
    <n v="0"/>
    <n v="0"/>
    <n v="1"/>
    <n v="0"/>
    <n v="0"/>
    <b v="0"/>
    <m/>
    <d v="1899-12-30T16:55:00"/>
    <d v="1899-12-30T19:34:00"/>
    <n v="159"/>
    <b v="0"/>
    <m/>
  </r>
  <r>
    <n v="174"/>
    <s v="Panchito"/>
    <x v="1"/>
    <d v="1975-03-17T00:00:00"/>
    <s v="41-50"/>
    <n v="49"/>
    <x v="0"/>
    <n v="1"/>
    <s v="Sat"/>
    <n v="0"/>
    <n v="0"/>
    <n v="0"/>
    <n v="0"/>
    <n v="0"/>
    <n v="0"/>
    <n v="1"/>
    <b v="0"/>
    <m/>
    <d v="1899-12-30T11:21:00"/>
    <d v="1899-12-30T12:42:00"/>
    <n v="81"/>
    <b v="0"/>
    <m/>
  </r>
  <r>
    <n v="175"/>
    <s v="Spenser"/>
    <x v="1"/>
    <d v="2005-09-22T00:00:00"/>
    <s v="below 20"/>
    <n v="19"/>
    <x v="1"/>
    <n v="2"/>
    <s v="Mon, Wed"/>
    <n v="0"/>
    <n v="1"/>
    <n v="0"/>
    <n v="1"/>
    <n v="0"/>
    <n v="0"/>
    <n v="0"/>
    <b v="1"/>
    <s v="Yoga"/>
    <d v="1899-12-30T14:01:00"/>
    <d v="1899-12-30T14:56:00"/>
    <n v="55"/>
    <b v="0"/>
    <m/>
  </r>
  <r>
    <n v="176"/>
    <s v="Burty"/>
    <x v="1"/>
    <d v="1976-02-24T00:00:00"/>
    <s v="41-50"/>
    <n v="48"/>
    <x v="1"/>
    <n v="4"/>
    <s v="Fri, Mon, Tue, Wed"/>
    <n v="0"/>
    <n v="1"/>
    <n v="1"/>
    <n v="1"/>
    <n v="0"/>
    <n v="1"/>
    <n v="0"/>
    <b v="0"/>
    <m/>
    <d v="1899-12-30T09:34:00"/>
    <d v="1899-12-30T12:33:00"/>
    <n v="179"/>
    <b v="0"/>
    <m/>
  </r>
  <r>
    <n v="177"/>
    <s v="Nadean"/>
    <x v="0"/>
    <d v="2001-01-29T00:00:00"/>
    <s v="20-30"/>
    <n v="23"/>
    <x v="0"/>
    <n v="3"/>
    <s v="Mon, Sat, Wed"/>
    <n v="0"/>
    <n v="1"/>
    <n v="0"/>
    <n v="1"/>
    <n v="0"/>
    <n v="0"/>
    <n v="1"/>
    <b v="0"/>
    <m/>
    <d v="1899-12-30T09:56:00"/>
    <d v="1899-12-30T12:11:00"/>
    <n v="135"/>
    <b v="1"/>
    <s v="Chantal"/>
  </r>
  <r>
    <n v="178"/>
    <s v="Chick"/>
    <x v="1"/>
    <d v="2000-11-18T00:00:00"/>
    <s v="20-30"/>
    <n v="23"/>
    <x v="0"/>
    <n v="4"/>
    <s v="Fri, Mon, Sat, Tue"/>
    <n v="0"/>
    <n v="1"/>
    <n v="1"/>
    <n v="0"/>
    <n v="0"/>
    <n v="1"/>
    <n v="1"/>
    <b v="0"/>
    <m/>
    <d v="1899-12-30T11:02:00"/>
    <d v="1899-12-30T12:38:00"/>
    <n v="96"/>
    <b v="1"/>
    <s v="Chantal"/>
  </r>
  <r>
    <n v="179"/>
    <s v="Maryrose"/>
    <x v="0"/>
    <d v="2010-11-25T00:00:00"/>
    <s v="below 20"/>
    <n v="13"/>
    <x v="1"/>
    <n v="2"/>
    <s v="Sat, Thu"/>
    <n v="0"/>
    <n v="0"/>
    <n v="0"/>
    <n v="0"/>
    <n v="1"/>
    <n v="0"/>
    <n v="1"/>
    <b v="0"/>
    <m/>
    <d v="1899-12-30T17:27:00"/>
    <d v="1899-12-30T19:23:00"/>
    <n v="116"/>
    <b v="0"/>
    <m/>
  </r>
  <r>
    <n v="180"/>
    <s v="Nolly"/>
    <x v="1"/>
    <d v="1976-06-20T00:00:00"/>
    <s v="41-50"/>
    <n v="48"/>
    <x v="0"/>
    <n v="3"/>
    <s v="Fri, Mon, Tue"/>
    <n v="0"/>
    <n v="1"/>
    <n v="1"/>
    <n v="0"/>
    <n v="0"/>
    <n v="1"/>
    <n v="0"/>
    <b v="1"/>
    <s v="Kickboxen, Spinning"/>
    <d v="1899-12-30T08:33:00"/>
    <d v="1899-12-30T09:30:00"/>
    <n v="57"/>
    <b v="1"/>
    <s v="Jeffrey"/>
  </r>
  <r>
    <n v="181"/>
    <s v="Jeremiah"/>
    <x v="1"/>
    <d v="1996-12-20T00:00:00"/>
    <s v="20-30"/>
    <n v="27"/>
    <x v="0"/>
    <n v="5"/>
    <s v="Fri, Mon, Sat, Thu, Tue"/>
    <n v="0"/>
    <n v="1"/>
    <n v="1"/>
    <n v="0"/>
    <n v="1"/>
    <n v="1"/>
    <n v="1"/>
    <b v="1"/>
    <s v="Kickboxen, Yoga, BodyPump"/>
    <d v="1899-12-30T10:50:00"/>
    <d v="1899-12-30T12:06:00"/>
    <n v="76"/>
    <b v="0"/>
    <m/>
  </r>
  <r>
    <n v="182"/>
    <s v="Martguerita"/>
    <x v="0"/>
    <d v="2010-02-16T00:00:00"/>
    <s v="below 20"/>
    <n v="14"/>
    <x v="1"/>
    <n v="3"/>
    <s v="Mon, Sun, Thu"/>
    <n v="1"/>
    <n v="1"/>
    <n v="0"/>
    <n v="0"/>
    <n v="1"/>
    <n v="0"/>
    <n v="0"/>
    <b v="1"/>
    <s v="XCore"/>
    <d v="1899-12-30T09:01:00"/>
    <d v="1899-12-30T10:08:00"/>
    <n v="67"/>
    <b v="1"/>
    <s v="Chantal"/>
  </r>
  <r>
    <n v="183"/>
    <s v="Steffen"/>
    <x v="1"/>
    <d v="2010-07-14T00:00:00"/>
    <s v="below 20"/>
    <n v="14"/>
    <x v="0"/>
    <n v="1"/>
    <s v="Sat"/>
    <n v="0"/>
    <n v="0"/>
    <n v="0"/>
    <n v="0"/>
    <n v="0"/>
    <n v="0"/>
    <n v="1"/>
    <b v="0"/>
    <m/>
    <d v="1899-12-30T13:06:00"/>
    <d v="1899-12-30T13:45:00"/>
    <n v="39"/>
    <b v="0"/>
    <m/>
  </r>
  <r>
    <n v="184"/>
    <s v="Klement"/>
    <x v="1"/>
    <d v="2006-10-16T00:00:00"/>
    <s v="below 20"/>
    <n v="17"/>
    <x v="1"/>
    <n v="1"/>
    <s v="Sun"/>
    <n v="1"/>
    <n v="0"/>
    <n v="0"/>
    <n v="0"/>
    <n v="0"/>
    <n v="0"/>
    <n v="0"/>
    <b v="0"/>
    <m/>
    <d v="1899-12-30T17:58:00"/>
    <d v="1899-12-30T18:58:00"/>
    <n v="60"/>
    <b v="1"/>
    <s v="Hanna"/>
  </r>
  <r>
    <n v="185"/>
    <s v="Webb"/>
    <x v="1"/>
    <d v="1985-09-18T00:00:00"/>
    <s v="31-41"/>
    <n v="39"/>
    <x v="1"/>
    <n v="2"/>
    <s v="Mon, Sun"/>
    <n v="1"/>
    <n v="1"/>
    <n v="0"/>
    <n v="0"/>
    <n v="0"/>
    <n v="0"/>
    <n v="0"/>
    <b v="1"/>
    <s v="Running, BodyBalance, BodyPump"/>
    <d v="1899-12-30T09:20:00"/>
    <d v="1899-12-30T10:11:00"/>
    <n v="51"/>
    <b v="0"/>
    <m/>
  </r>
  <r>
    <n v="186"/>
    <s v="Chloe"/>
    <x v="0"/>
    <d v="1975-03-24T00:00:00"/>
    <s v="41-50"/>
    <n v="49"/>
    <x v="1"/>
    <n v="3"/>
    <s v="Mon, Sat, Sun"/>
    <n v="1"/>
    <n v="1"/>
    <n v="0"/>
    <n v="0"/>
    <n v="0"/>
    <n v="0"/>
    <n v="1"/>
    <b v="0"/>
    <m/>
    <d v="1899-12-30T17:42:00"/>
    <d v="1899-12-30T19:11:00"/>
    <n v="89"/>
    <b v="1"/>
    <s v="Mike"/>
  </r>
  <r>
    <n v="187"/>
    <s v="Salvidor"/>
    <x v="1"/>
    <d v="2012-04-17T00:00:00"/>
    <s v="below 20"/>
    <n v="12"/>
    <x v="1"/>
    <n v="5"/>
    <s v="Fri, Mon, Sat, Tue, Wed"/>
    <n v="0"/>
    <n v="1"/>
    <n v="1"/>
    <n v="1"/>
    <n v="0"/>
    <n v="1"/>
    <n v="1"/>
    <b v="1"/>
    <s v="Pilates, HIT"/>
    <d v="1899-12-30T19:49:00"/>
    <d v="1899-12-30T20:51:00"/>
    <n v="62"/>
    <b v="1"/>
    <s v="Mike"/>
  </r>
  <r>
    <n v="188"/>
    <s v="Ethelyn"/>
    <x v="0"/>
    <d v="1987-02-28T00:00:00"/>
    <s v="31-41"/>
    <n v="37"/>
    <x v="0"/>
    <n v="1"/>
    <s v="Sat"/>
    <n v="0"/>
    <n v="0"/>
    <n v="0"/>
    <n v="0"/>
    <n v="0"/>
    <n v="0"/>
    <n v="1"/>
    <b v="1"/>
    <s v="Yoga, LesMiles, HIT"/>
    <d v="1899-12-30T08:21:00"/>
    <d v="1899-12-30T09:04:00"/>
    <n v="43"/>
    <b v="0"/>
    <m/>
  </r>
  <r>
    <n v="189"/>
    <s v="Terry"/>
    <x v="1"/>
    <d v="1987-11-12T00:00:00"/>
    <s v="31-41"/>
    <n v="36"/>
    <x v="0"/>
    <n v="2"/>
    <s v="Sun, Tue"/>
    <n v="1"/>
    <n v="0"/>
    <n v="1"/>
    <n v="0"/>
    <n v="0"/>
    <n v="0"/>
    <n v="0"/>
    <b v="1"/>
    <s v="Spinning, Zumba, BodyBalance"/>
    <d v="1899-12-30T11:28:00"/>
    <d v="1899-12-30T12:43:00"/>
    <n v="75"/>
    <b v="0"/>
    <m/>
  </r>
  <r>
    <n v="190"/>
    <s v="Nealy"/>
    <x v="1"/>
    <d v="2011-09-08T00:00:00"/>
    <s v="below 20"/>
    <n v="13"/>
    <x v="1"/>
    <n v="4"/>
    <s v="Sat, Sun, Tue, Wed"/>
    <n v="1"/>
    <n v="0"/>
    <n v="1"/>
    <n v="1"/>
    <n v="0"/>
    <n v="0"/>
    <n v="1"/>
    <b v="0"/>
    <m/>
    <d v="1899-12-30T14:47:00"/>
    <d v="1899-12-30T16:59:00"/>
    <n v="132"/>
    <b v="0"/>
    <m/>
  </r>
  <r>
    <n v="191"/>
    <s v="Cirstoforo"/>
    <x v="1"/>
    <d v="1992-10-23T00:00:00"/>
    <s v="31-41"/>
    <n v="31"/>
    <x v="0"/>
    <n v="2"/>
    <s v="Mon, Tue"/>
    <n v="0"/>
    <n v="1"/>
    <n v="1"/>
    <n v="0"/>
    <n v="0"/>
    <n v="0"/>
    <n v="0"/>
    <b v="0"/>
    <m/>
    <d v="1899-12-30T13:48:00"/>
    <d v="1899-12-30T16:27:00"/>
    <n v="159"/>
    <b v="0"/>
    <m/>
  </r>
  <r>
    <n v="192"/>
    <s v="Kaye"/>
    <x v="0"/>
    <d v="1985-07-11T00:00:00"/>
    <s v="31-41"/>
    <n v="39"/>
    <x v="1"/>
    <n v="4"/>
    <s v="Mon, Sat, Tue, Wed"/>
    <n v="0"/>
    <n v="1"/>
    <n v="1"/>
    <n v="1"/>
    <n v="0"/>
    <n v="0"/>
    <n v="1"/>
    <b v="0"/>
    <m/>
    <d v="1899-12-30T17:07:00"/>
    <d v="1899-12-30T17:57:00"/>
    <n v="50"/>
    <b v="0"/>
    <m/>
  </r>
  <r>
    <n v="193"/>
    <s v="Candie"/>
    <x v="0"/>
    <d v="2012-06-09T00:00:00"/>
    <s v="below 20"/>
    <n v="12"/>
    <x v="0"/>
    <n v="3"/>
    <s v="Fri, Mon, Wed"/>
    <n v="0"/>
    <n v="1"/>
    <n v="0"/>
    <n v="1"/>
    <n v="0"/>
    <n v="1"/>
    <n v="0"/>
    <b v="1"/>
    <s v="Zumba"/>
    <d v="1899-12-30T13:57:00"/>
    <d v="1899-12-30T16:54:00"/>
    <n v="177"/>
    <b v="0"/>
    <m/>
  </r>
  <r>
    <n v="194"/>
    <s v="Bernetta"/>
    <x v="0"/>
    <d v="2001-08-15T00:00:00"/>
    <s v="20-30"/>
    <n v="23"/>
    <x v="0"/>
    <n v="1"/>
    <s v="Fri"/>
    <n v="0"/>
    <n v="0"/>
    <n v="0"/>
    <n v="0"/>
    <n v="0"/>
    <n v="1"/>
    <n v="0"/>
    <b v="0"/>
    <m/>
    <d v="1899-12-30T16:54:00"/>
    <d v="1899-12-30T19:41:00"/>
    <n v="167"/>
    <b v="0"/>
    <m/>
  </r>
  <r>
    <n v="195"/>
    <s v="Ferd"/>
    <x v="1"/>
    <d v="1979-04-24T00:00:00"/>
    <s v="41-50"/>
    <n v="45"/>
    <x v="0"/>
    <n v="2"/>
    <s v="Sun, Tue"/>
    <n v="1"/>
    <n v="0"/>
    <n v="1"/>
    <n v="0"/>
    <n v="0"/>
    <n v="0"/>
    <n v="0"/>
    <b v="0"/>
    <m/>
    <d v="1899-12-30T11:23:00"/>
    <d v="1899-12-30T13:00:00"/>
    <n v="97"/>
    <b v="0"/>
    <m/>
  </r>
  <r>
    <n v="196"/>
    <s v="Kendrick"/>
    <x v="1"/>
    <d v="1985-02-09T00:00:00"/>
    <s v="31-41"/>
    <n v="39"/>
    <x v="0"/>
    <n v="5"/>
    <s v="Fri, Mon, Thu, Tue, Wed"/>
    <n v="0"/>
    <n v="1"/>
    <n v="1"/>
    <n v="1"/>
    <n v="1"/>
    <n v="1"/>
    <n v="0"/>
    <b v="0"/>
    <m/>
    <d v="1899-12-30T20:01:00"/>
    <d v="1899-12-30T22:56:00"/>
    <n v="175"/>
    <b v="1"/>
    <s v="Jeffrey"/>
  </r>
  <r>
    <n v="197"/>
    <s v="Cord"/>
    <x v="1"/>
    <d v="2010-03-26T00:00:00"/>
    <s v="below 20"/>
    <n v="14"/>
    <x v="1"/>
    <n v="2"/>
    <s v="Tue, Wed"/>
    <n v="0"/>
    <n v="0"/>
    <n v="1"/>
    <n v="1"/>
    <n v="0"/>
    <n v="0"/>
    <n v="0"/>
    <b v="0"/>
    <m/>
    <d v="1899-12-30T13:53:00"/>
    <d v="1899-12-30T14:40:00"/>
    <n v="47"/>
    <b v="1"/>
    <s v="Mike"/>
  </r>
  <r>
    <n v="198"/>
    <s v="Bret"/>
    <x v="1"/>
    <d v="1994-08-05T00:00:00"/>
    <s v="20-30"/>
    <n v="30"/>
    <x v="0"/>
    <n v="3"/>
    <s v="Mon, Thu, Wed"/>
    <n v="0"/>
    <n v="1"/>
    <n v="0"/>
    <n v="1"/>
    <n v="1"/>
    <n v="0"/>
    <n v="0"/>
    <b v="1"/>
    <s v="BodyPump, Yoga, XCore"/>
    <d v="1899-12-30T13:00:00"/>
    <d v="1899-12-30T14:49:00"/>
    <n v="109"/>
    <b v="1"/>
    <s v="Jeffrey"/>
  </r>
  <r>
    <n v="199"/>
    <s v="Elfie"/>
    <x v="0"/>
    <d v="2009-01-06T00:00:00"/>
    <s v="below 20"/>
    <n v="15"/>
    <x v="0"/>
    <n v="3"/>
    <s v="Fri, Sat, Wed"/>
    <n v="0"/>
    <n v="0"/>
    <n v="0"/>
    <n v="1"/>
    <n v="0"/>
    <n v="1"/>
    <n v="1"/>
    <b v="0"/>
    <m/>
    <d v="1899-12-30T09:55:00"/>
    <d v="1899-12-30T12:05:00"/>
    <n v="130"/>
    <b v="1"/>
    <s v="Jeffrey"/>
  </r>
  <r>
    <n v="200"/>
    <s v="Cooper"/>
    <x v="1"/>
    <d v="2012-08-31T00:00:00"/>
    <s v="below 20"/>
    <n v="12"/>
    <x v="1"/>
    <n v="1"/>
    <s v="Thu"/>
    <n v="0"/>
    <n v="0"/>
    <n v="0"/>
    <n v="0"/>
    <n v="1"/>
    <n v="0"/>
    <n v="0"/>
    <b v="0"/>
    <m/>
    <d v="1899-12-30T15:47:00"/>
    <d v="1899-12-30T16:21:00"/>
    <n v="34"/>
    <b v="1"/>
    <s v="Jeffrey"/>
  </r>
  <r>
    <n v="201"/>
    <s v="Sheffield"/>
    <x v="1"/>
    <d v="1978-09-29T00:00:00"/>
    <s v="41-50"/>
    <n v="46"/>
    <x v="1"/>
    <n v="4"/>
    <s v="Sun, Thu, Tue, Wed"/>
    <n v="1"/>
    <n v="0"/>
    <n v="1"/>
    <n v="1"/>
    <n v="1"/>
    <n v="0"/>
    <n v="0"/>
    <b v="1"/>
    <s v="HIT"/>
    <d v="1899-12-30T13:31:00"/>
    <d v="1899-12-30T14:47:00"/>
    <n v="76"/>
    <b v="1"/>
    <s v="Mike"/>
  </r>
  <r>
    <n v="202"/>
    <s v="Gualterio"/>
    <x v="1"/>
    <d v="1975-05-25T00:00:00"/>
    <s v="41-50"/>
    <n v="49"/>
    <x v="0"/>
    <n v="4"/>
    <s v="Mon, Sun, Thu, Tue"/>
    <n v="1"/>
    <n v="1"/>
    <n v="1"/>
    <n v="0"/>
    <n v="1"/>
    <n v="0"/>
    <n v="0"/>
    <b v="0"/>
    <m/>
    <d v="1899-12-30T08:21:00"/>
    <d v="1899-12-30T09:00:00"/>
    <n v="39"/>
    <b v="0"/>
    <m/>
  </r>
  <r>
    <n v="203"/>
    <s v="Rikki"/>
    <x v="0"/>
    <d v="1980-12-20T00:00:00"/>
    <s v="41-50"/>
    <n v="43"/>
    <x v="0"/>
    <n v="2"/>
    <s v="Sat, Thu"/>
    <n v="0"/>
    <n v="0"/>
    <n v="0"/>
    <n v="0"/>
    <n v="1"/>
    <n v="0"/>
    <n v="1"/>
    <b v="0"/>
    <m/>
    <d v="1899-12-30T18:32:00"/>
    <d v="1899-12-30T20:19:00"/>
    <n v="107"/>
    <b v="1"/>
    <s v="Chantal"/>
  </r>
  <r>
    <n v="204"/>
    <s v="Roderigo"/>
    <x v="1"/>
    <d v="2005-02-18T00:00:00"/>
    <s v="below 20"/>
    <n v="19"/>
    <x v="0"/>
    <n v="2"/>
    <s v="Sat, Sun"/>
    <n v="1"/>
    <n v="0"/>
    <n v="0"/>
    <n v="0"/>
    <n v="0"/>
    <n v="0"/>
    <n v="1"/>
    <b v="1"/>
    <s v="LesMiles, Kickboxen"/>
    <d v="1899-12-30T17:13:00"/>
    <d v="1899-12-30T18:38:00"/>
    <n v="85"/>
    <b v="1"/>
    <s v="Jeffrey"/>
  </r>
  <r>
    <n v="205"/>
    <s v="Trey"/>
    <x v="1"/>
    <d v="1982-05-29T00:00:00"/>
    <s v="41-50"/>
    <n v="42"/>
    <x v="0"/>
    <n v="3"/>
    <s v="Mon, Sun, Tue"/>
    <n v="1"/>
    <n v="1"/>
    <n v="1"/>
    <n v="0"/>
    <n v="0"/>
    <n v="0"/>
    <n v="0"/>
    <b v="0"/>
    <m/>
    <d v="1899-12-30T09:57:00"/>
    <d v="1899-12-30T11:31:00"/>
    <n v="94"/>
    <b v="1"/>
    <s v="Chantal"/>
  </r>
  <r>
    <n v="206"/>
    <s v="Aaron"/>
    <x v="1"/>
    <d v="1978-03-21T00:00:00"/>
    <s v="41-50"/>
    <n v="46"/>
    <x v="1"/>
    <n v="1"/>
    <s v="Mon"/>
    <n v="0"/>
    <n v="1"/>
    <n v="0"/>
    <n v="0"/>
    <n v="0"/>
    <n v="0"/>
    <n v="0"/>
    <b v="1"/>
    <s v="Zumba, BodyBalance, Kickboxen"/>
    <d v="1899-12-30T18:06:00"/>
    <d v="1899-12-30T20:01:00"/>
    <n v="115"/>
    <b v="0"/>
    <m/>
  </r>
  <r>
    <n v="207"/>
    <s v="Heall"/>
    <x v="1"/>
    <d v="2006-06-20T00:00:00"/>
    <s v="below 20"/>
    <n v="18"/>
    <x v="1"/>
    <n v="3"/>
    <s v="Mon, Sat, Tue"/>
    <n v="0"/>
    <n v="1"/>
    <n v="1"/>
    <n v="0"/>
    <n v="0"/>
    <n v="0"/>
    <n v="1"/>
    <b v="1"/>
    <s v="Running, Zumba, Pilates"/>
    <d v="1899-12-30T11:47:00"/>
    <d v="1899-12-30T12:35:00"/>
    <n v="48"/>
    <b v="1"/>
    <s v="Chantal"/>
  </r>
  <r>
    <n v="208"/>
    <s v="Willey"/>
    <x v="1"/>
    <d v="1983-01-02T00:00:00"/>
    <s v="41-50"/>
    <n v="41"/>
    <x v="0"/>
    <n v="1"/>
    <s v="Wed"/>
    <n v="0"/>
    <n v="0"/>
    <n v="0"/>
    <n v="1"/>
    <n v="0"/>
    <n v="0"/>
    <n v="0"/>
    <b v="1"/>
    <s v="Running, Kickboxen, Zumba"/>
    <d v="1899-12-30T11:28:00"/>
    <d v="1899-12-30T14:08:00"/>
    <n v="160"/>
    <b v="1"/>
    <s v="Jeffrey"/>
  </r>
  <r>
    <n v="209"/>
    <s v="Earl"/>
    <x v="1"/>
    <d v="2005-09-11T00:00:00"/>
    <s v="below 20"/>
    <n v="19"/>
    <x v="0"/>
    <n v="4"/>
    <s v="Fri, Sat, Thu, Tue"/>
    <n v="0"/>
    <n v="0"/>
    <n v="1"/>
    <n v="0"/>
    <n v="1"/>
    <n v="1"/>
    <n v="1"/>
    <b v="0"/>
    <m/>
    <d v="1899-12-30T19:07:00"/>
    <d v="1899-12-30T19:39:00"/>
    <n v="32"/>
    <b v="1"/>
    <s v="Hanna"/>
  </r>
  <r>
    <n v="210"/>
    <s v="Trstram"/>
    <x v="1"/>
    <d v="2007-08-21T00:00:00"/>
    <s v="below 20"/>
    <n v="17"/>
    <x v="0"/>
    <n v="2"/>
    <s v="Sun, Tue"/>
    <n v="1"/>
    <n v="0"/>
    <n v="1"/>
    <n v="0"/>
    <n v="0"/>
    <n v="0"/>
    <n v="0"/>
    <b v="0"/>
    <m/>
    <d v="1899-12-30T17:44:00"/>
    <d v="1899-12-30T19:06:00"/>
    <n v="82"/>
    <b v="1"/>
    <s v="Chantal"/>
  </r>
  <r>
    <n v="211"/>
    <s v="Ethelin"/>
    <x v="0"/>
    <d v="1997-03-26T00:00:00"/>
    <s v="20-30"/>
    <n v="27"/>
    <x v="1"/>
    <n v="2"/>
    <s v="Mon, Wed"/>
    <n v="0"/>
    <n v="1"/>
    <n v="0"/>
    <n v="1"/>
    <n v="0"/>
    <n v="0"/>
    <n v="0"/>
    <b v="1"/>
    <s v="Pilates"/>
    <d v="1899-12-30T09:10:00"/>
    <d v="1899-12-30T11:04:00"/>
    <n v="114"/>
    <b v="1"/>
    <s v="Chantal"/>
  </r>
  <r>
    <n v="212"/>
    <s v="Giffer"/>
    <x v="1"/>
    <d v="1999-01-22T00:00:00"/>
    <s v="20-30"/>
    <n v="25"/>
    <x v="0"/>
    <n v="3"/>
    <s v="Fri, Sat, Tue"/>
    <n v="0"/>
    <n v="0"/>
    <n v="1"/>
    <n v="0"/>
    <n v="0"/>
    <n v="1"/>
    <n v="1"/>
    <b v="0"/>
    <m/>
    <d v="1899-12-30T17:21:00"/>
    <d v="1899-12-30T18:31:00"/>
    <n v="70"/>
    <b v="0"/>
    <m/>
  </r>
  <r>
    <n v="213"/>
    <s v="Patrizio"/>
    <x v="1"/>
    <d v="2001-07-18T00:00:00"/>
    <s v="20-30"/>
    <n v="23"/>
    <x v="0"/>
    <n v="2"/>
    <s v="Mon, Sun"/>
    <n v="1"/>
    <n v="1"/>
    <n v="0"/>
    <n v="0"/>
    <n v="0"/>
    <n v="0"/>
    <n v="0"/>
    <b v="1"/>
    <s v="XCore"/>
    <d v="1899-12-30T12:58:00"/>
    <d v="1899-12-30T14:38:00"/>
    <n v="100"/>
    <b v="0"/>
    <m/>
  </r>
  <r>
    <n v="214"/>
    <s v="Reiko"/>
    <x v="0"/>
    <d v="1989-01-01T00:00:00"/>
    <s v="31-41"/>
    <n v="35"/>
    <x v="1"/>
    <n v="1"/>
    <s v="Wed"/>
    <n v="0"/>
    <n v="0"/>
    <n v="0"/>
    <n v="1"/>
    <n v="0"/>
    <n v="0"/>
    <n v="0"/>
    <b v="0"/>
    <m/>
    <d v="1899-12-30T08:34:00"/>
    <d v="1899-12-30T09:19:00"/>
    <n v="45"/>
    <b v="1"/>
    <s v="Chantal"/>
  </r>
  <r>
    <n v="215"/>
    <s v="Mindy"/>
    <x v="0"/>
    <d v="1985-12-14T00:00:00"/>
    <s v="31-41"/>
    <n v="38"/>
    <x v="1"/>
    <n v="3"/>
    <s v="Sat, Sun, Thu"/>
    <n v="1"/>
    <n v="0"/>
    <n v="0"/>
    <n v="0"/>
    <n v="1"/>
    <n v="0"/>
    <n v="1"/>
    <b v="1"/>
    <s v="Yoga, Running"/>
    <d v="1899-12-30T08:17:00"/>
    <d v="1899-12-30T09:00:00"/>
    <n v="43"/>
    <b v="0"/>
    <m/>
  </r>
  <r>
    <n v="216"/>
    <s v="Isaak"/>
    <x v="1"/>
    <d v="1975-04-11T00:00:00"/>
    <s v="41-50"/>
    <n v="49"/>
    <x v="0"/>
    <n v="3"/>
    <s v="Fri, Mon, Sun"/>
    <n v="1"/>
    <n v="1"/>
    <n v="0"/>
    <n v="0"/>
    <n v="0"/>
    <n v="1"/>
    <n v="0"/>
    <b v="0"/>
    <m/>
    <d v="1899-12-30T12:37:00"/>
    <d v="1899-12-30T14:22:00"/>
    <n v="105"/>
    <b v="1"/>
    <s v="Mike"/>
  </r>
  <r>
    <n v="217"/>
    <s v="Denver"/>
    <x v="1"/>
    <d v="1990-06-16T00:00:00"/>
    <s v="31-41"/>
    <n v="34"/>
    <x v="1"/>
    <n v="1"/>
    <s v="Wed"/>
    <n v="0"/>
    <n v="0"/>
    <n v="0"/>
    <n v="1"/>
    <n v="0"/>
    <n v="0"/>
    <n v="0"/>
    <b v="0"/>
    <m/>
    <d v="1899-12-30T12:42:00"/>
    <d v="1899-12-30T14:31:00"/>
    <n v="109"/>
    <b v="1"/>
    <s v="Jeffrey"/>
  </r>
  <r>
    <n v="218"/>
    <s v="Rubina"/>
    <x v="0"/>
    <d v="1978-01-12T00:00:00"/>
    <s v="41-50"/>
    <n v="46"/>
    <x v="0"/>
    <n v="3"/>
    <s v="Sun, Tue, Wed"/>
    <n v="1"/>
    <n v="0"/>
    <n v="1"/>
    <n v="1"/>
    <n v="0"/>
    <n v="0"/>
    <n v="0"/>
    <b v="1"/>
    <s v="BodyPump"/>
    <d v="1899-12-30T18:01:00"/>
    <d v="1899-12-30T20:26:00"/>
    <n v="145"/>
    <b v="0"/>
    <m/>
  </r>
  <r>
    <n v="219"/>
    <s v="Harland"/>
    <x v="1"/>
    <d v="1979-06-18T00:00:00"/>
    <s v="41-50"/>
    <n v="45"/>
    <x v="1"/>
    <n v="5"/>
    <s v="Fri, Mon, Sat, Thu, Wed"/>
    <n v="0"/>
    <n v="1"/>
    <n v="0"/>
    <n v="1"/>
    <n v="1"/>
    <n v="1"/>
    <n v="1"/>
    <b v="1"/>
    <s v="Spinning"/>
    <d v="1899-12-30T14:59:00"/>
    <d v="1899-12-30T16:43:00"/>
    <n v="104"/>
    <b v="0"/>
    <m/>
  </r>
  <r>
    <n v="220"/>
    <s v="Any"/>
    <x v="1"/>
    <d v="1987-11-12T00:00:00"/>
    <s v="31-41"/>
    <n v="36"/>
    <x v="0"/>
    <n v="5"/>
    <s v="Fri, Mon, Sat, Sun, Thu"/>
    <n v="1"/>
    <n v="1"/>
    <n v="0"/>
    <n v="0"/>
    <n v="1"/>
    <n v="1"/>
    <n v="1"/>
    <b v="0"/>
    <m/>
    <d v="1899-12-30T20:57:00"/>
    <d v="1899-12-30T22:42:00"/>
    <n v="105"/>
    <b v="1"/>
    <s v="Mike"/>
  </r>
  <r>
    <n v="221"/>
    <s v="Elbert"/>
    <x v="1"/>
    <d v="1979-03-05T00:00:00"/>
    <s v="41-50"/>
    <n v="45"/>
    <x v="0"/>
    <n v="2"/>
    <s v="Fri, Sun"/>
    <n v="1"/>
    <n v="0"/>
    <n v="0"/>
    <n v="0"/>
    <n v="0"/>
    <n v="1"/>
    <n v="0"/>
    <b v="0"/>
    <m/>
    <d v="1899-12-30T12:13:00"/>
    <d v="1899-12-30T14:52:00"/>
    <n v="159"/>
    <b v="1"/>
    <s v="Chantal"/>
  </r>
  <r>
    <n v="222"/>
    <s v="Jesse"/>
    <x v="1"/>
    <d v="1975-04-08T00:00:00"/>
    <s v="41-50"/>
    <n v="49"/>
    <x v="0"/>
    <n v="3"/>
    <s v="Fri, Mon, Wed"/>
    <n v="0"/>
    <n v="1"/>
    <n v="0"/>
    <n v="1"/>
    <n v="0"/>
    <n v="1"/>
    <n v="0"/>
    <b v="1"/>
    <s v="Pilates, XCore"/>
    <d v="1899-12-30T20:01:00"/>
    <d v="1899-12-30T22:01:00"/>
    <n v="120"/>
    <b v="1"/>
    <s v="Mike"/>
  </r>
  <r>
    <n v="223"/>
    <s v="Mata"/>
    <x v="1"/>
    <d v="2005-10-05T00:00:00"/>
    <s v="below 20"/>
    <n v="18"/>
    <x v="1"/>
    <n v="5"/>
    <s v="Sat, Sun, Thu, Tue, Wed"/>
    <n v="1"/>
    <n v="0"/>
    <n v="1"/>
    <n v="1"/>
    <n v="1"/>
    <n v="0"/>
    <n v="1"/>
    <b v="0"/>
    <m/>
    <d v="1899-12-30T20:23:00"/>
    <d v="1899-12-30T21:05:00"/>
    <n v="42"/>
    <b v="0"/>
    <m/>
  </r>
  <r>
    <n v="224"/>
    <s v="Oriana"/>
    <x v="0"/>
    <d v="2000-07-30T00:00:00"/>
    <s v="20-30"/>
    <n v="24"/>
    <x v="1"/>
    <n v="2"/>
    <s v="Thu, Wed"/>
    <n v="0"/>
    <n v="0"/>
    <n v="0"/>
    <n v="1"/>
    <n v="1"/>
    <n v="0"/>
    <n v="0"/>
    <b v="0"/>
    <m/>
    <d v="1899-12-30T20:41:00"/>
    <d v="1899-12-30T23:07:00"/>
    <n v="146"/>
    <b v="0"/>
    <m/>
  </r>
  <r>
    <n v="225"/>
    <s v="Cletis"/>
    <x v="1"/>
    <d v="2000-09-30T00:00:00"/>
    <s v="20-30"/>
    <n v="24"/>
    <x v="1"/>
    <n v="3"/>
    <s v="Mon, Sun, Thu"/>
    <n v="1"/>
    <n v="1"/>
    <n v="0"/>
    <n v="0"/>
    <n v="1"/>
    <n v="0"/>
    <n v="0"/>
    <b v="0"/>
    <m/>
    <d v="1899-12-30T20:08:00"/>
    <d v="1899-12-30T22:35:00"/>
    <n v="147"/>
    <b v="0"/>
    <m/>
  </r>
  <r>
    <n v="226"/>
    <s v="Marlin"/>
    <x v="1"/>
    <d v="1993-07-30T00:00:00"/>
    <s v="31-41"/>
    <n v="31"/>
    <x v="1"/>
    <n v="1"/>
    <s v="Sun"/>
    <n v="1"/>
    <n v="0"/>
    <n v="0"/>
    <n v="0"/>
    <n v="0"/>
    <n v="0"/>
    <n v="0"/>
    <b v="0"/>
    <m/>
    <d v="1899-12-30T15:01:00"/>
    <d v="1899-12-30T17:55:00"/>
    <n v="174"/>
    <b v="0"/>
    <m/>
  </r>
  <r>
    <n v="227"/>
    <s v="Lenka"/>
    <x v="0"/>
    <d v="1976-10-01T00:00:00"/>
    <s v="41-50"/>
    <n v="48"/>
    <x v="0"/>
    <n v="3"/>
    <s v="Fri, Sun, Tue"/>
    <n v="1"/>
    <n v="0"/>
    <n v="1"/>
    <n v="0"/>
    <n v="0"/>
    <n v="1"/>
    <n v="0"/>
    <b v="1"/>
    <s v="XCore, HIT, BodyBalance"/>
    <d v="1899-12-30T20:37:00"/>
    <d v="1899-12-30T21:23:00"/>
    <n v="46"/>
    <b v="1"/>
    <s v="Jeffrey"/>
  </r>
  <r>
    <n v="228"/>
    <s v="Rowan"/>
    <x v="1"/>
    <d v="2007-03-05T00:00:00"/>
    <s v="below 20"/>
    <n v="17"/>
    <x v="0"/>
    <n v="1"/>
    <s v="Mon"/>
    <n v="0"/>
    <n v="1"/>
    <n v="0"/>
    <n v="0"/>
    <n v="0"/>
    <n v="0"/>
    <n v="0"/>
    <b v="1"/>
    <s v="Spinning, BodyPump, Running"/>
    <d v="1899-12-30T19:05:00"/>
    <d v="1899-12-30T21:49:00"/>
    <n v="164"/>
    <b v="1"/>
    <s v="Chantal"/>
  </r>
  <r>
    <n v="229"/>
    <s v="Harper"/>
    <x v="1"/>
    <d v="1993-03-26T00:00:00"/>
    <s v="31-41"/>
    <n v="31"/>
    <x v="0"/>
    <n v="5"/>
    <s v="Fri, Sat, Sun, Thu, Tue"/>
    <n v="1"/>
    <n v="0"/>
    <n v="1"/>
    <n v="0"/>
    <n v="1"/>
    <n v="1"/>
    <n v="1"/>
    <b v="0"/>
    <m/>
    <d v="1899-12-30T20:39:00"/>
    <d v="1899-12-30T22:59:00"/>
    <n v="140"/>
    <b v="0"/>
    <m/>
  </r>
  <r>
    <n v="230"/>
    <s v="Alanson"/>
    <x v="1"/>
    <d v="2001-10-22T00:00:00"/>
    <s v="20-30"/>
    <n v="22"/>
    <x v="1"/>
    <n v="3"/>
    <s v="Fri, Sat, Sun"/>
    <n v="1"/>
    <n v="0"/>
    <n v="0"/>
    <n v="0"/>
    <n v="0"/>
    <n v="1"/>
    <n v="1"/>
    <b v="1"/>
    <s v="Yoga, Zumba, BodyBalance"/>
    <d v="1899-12-30T16:31:00"/>
    <d v="1899-12-30T17:24:00"/>
    <n v="53"/>
    <b v="0"/>
    <m/>
  </r>
  <r>
    <n v="231"/>
    <s v="Onofredo"/>
    <x v="1"/>
    <d v="1986-11-23T00:00:00"/>
    <s v="31-41"/>
    <n v="37"/>
    <x v="0"/>
    <n v="3"/>
    <s v="Fri, Mon, Tue"/>
    <n v="0"/>
    <n v="1"/>
    <n v="1"/>
    <n v="0"/>
    <n v="0"/>
    <n v="1"/>
    <n v="0"/>
    <b v="0"/>
    <m/>
    <d v="1899-12-30T17:53:00"/>
    <d v="1899-12-30T20:36:00"/>
    <n v="163"/>
    <b v="0"/>
    <m/>
  </r>
  <r>
    <n v="232"/>
    <s v="Bennett"/>
    <x v="1"/>
    <d v="1985-08-24T00:00:00"/>
    <s v="31-41"/>
    <n v="39"/>
    <x v="1"/>
    <n v="5"/>
    <s v="Fri, Mon, Sun, Thu, Wed"/>
    <n v="1"/>
    <n v="1"/>
    <n v="0"/>
    <n v="1"/>
    <n v="1"/>
    <n v="1"/>
    <n v="0"/>
    <b v="1"/>
    <s v="XCore, Spinning"/>
    <d v="1899-12-30T15:16:00"/>
    <d v="1899-12-30T16:52:00"/>
    <n v="96"/>
    <b v="1"/>
    <s v="Mike"/>
  </r>
  <r>
    <n v="233"/>
    <s v="Jennilee"/>
    <x v="0"/>
    <d v="2010-09-29T00:00:00"/>
    <s v="below 20"/>
    <n v="14"/>
    <x v="1"/>
    <n v="3"/>
    <s v="Fri, Tue, Wed"/>
    <n v="0"/>
    <n v="0"/>
    <n v="1"/>
    <n v="1"/>
    <n v="0"/>
    <n v="1"/>
    <n v="0"/>
    <b v="0"/>
    <m/>
    <d v="1899-12-30T08:34:00"/>
    <d v="1899-12-30T09:39:00"/>
    <n v="65"/>
    <b v="0"/>
    <m/>
  </r>
  <r>
    <n v="234"/>
    <s v="Talia"/>
    <x v="0"/>
    <d v="2005-09-10T00:00:00"/>
    <s v="below 20"/>
    <n v="19"/>
    <x v="1"/>
    <n v="1"/>
    <s v="Mon"/>
    <n v="0"/>
    <n v="1"/>
    <n v="0"/>
    <n v="0"/>
    <n v="0"/>
    <n v="0"/>
    <n v="0"/>
    <b v="0"/>
    <m/>
    <d v="1899-12-30T20:26:00"/>
    <d v="1899-12-30T21:32:00"/>
    <n v="66"/>
    <b v="0"/>
    <m/>
  </r>
  <r>
    <n v="235"/>
    <s v="Teirtza"/>
    <x v="0"/>
    <d v="1997-07-21T00:00:00"/>
    <s v="20-30"/>
    <n v="27"/>
    <x v="1"/>
    <n v="4"/>
    <s v="Fri, Mon, Sat, Sun"/>
    <n v="1"/>
    <n v="1"/>
    <n v="0"/>
    <n v="0"/>
    <n v="0"/>
    <n v="1"/>
    <n v="1"/>
    <b v="0"/>
    <m/>
    <d v="1899-12-30T11:49:00"/>
    <d v="1899-12-30T14:21:00"/>
    <n v="152"/>
    <b v="1"/>
    <s v="Hanna"/>
  </r>
  <r>
    <n v="236"/>
    <s v="Idell"/>
    <x v="0"/>
    <d v="1989-04-08T00:00:00"/>
    <s v="31-41"/>
    <n v="35"/>
    <x v="1"/>
    <n v="5"/>
    <s v="Fri, Mon, Sat, Thu, Wed"/>
    <n v="0"/>
    <n v="1"/>
    <n v="0"/>
    <n v="1"/>
    <n v="1"/>
    <n v="1"/>
    <n v="1"/>
    <b v="1"/>
    <s v="BodyPump, BodyBalance, XCore"/>
    <d v="1899-12-30T15:45:00"/>
    <d v="1899-12-30T16:25:00"/>
    <n v="40"/>
    <b v="0"/>
    <m/>
  </r>
  <r>
    <n v="237"/>
    <s v="Marylou"/>
    <x v="0"/>
    <d v="2005-01-09T00:00:00"/>
    <s v="below 20"/>
    <n v="19"/>
    <x v="0"/>
    <n v="2"/>
    <s v="Fri, Sat"/>
    <n v="0"/>
    <n v="0"/>
    <n v="0"/>
    <n v="0"/>
    <n v="0"/>
    <n v="1"/>
    <n v="1"/>
    <b v="1"/>
    <s v="Spinning"/>
    <d v="1899-12-30T10:32:00"/>
    <d v="1899-12-30T11:22:00"/>
    <n v="50"/>
    <b v="1"/>
    <s v="Jeffrey"/>
  </r>
  <r>
    <n v="238"/>
    <s v="Irene"/>
    <x v="0"/>
    <d v="2003-06-25T00:00:00"/>
    <s v="20-30"/>
    <n v="21"/>
    <x v="0"/>
    <n v="5"/>
    <s v="Fri, Sat, Sun, Thu, Tue"/>
    <n v="1"/>
    <n v="0"/>
    <n v="1"/>
    <n v="0"/>
    <n v="1"/>
    <n v="1"/>
    <n v="1"/>
    <b v="1"/>
    <s v="Pilates, XCore, Running"/>
    <d v="1899-12-30T20:15:00"/>
    <d v="1899-12-30T21:15:00"/>
    <n v="60"/>
    <b v="0"/>
    <m/>
  </r>
  <r>
    <n v="239"/>
    <s v="Claudius"/>
    <x v="1"/>
    <d v="2003-10-27T00:00:00"/>
    <s v="20-30"/>
    <n v="20"/>
    <x v="1"/>
    <n v="3"/>
    <s v="Mon, Thu, Wed"/>
    <n v="0"/>
    <n v="1"/>
    <n v="0"/>
    <n v="1"/>
    <n v="1"/>
    <n v="0"/>
    <n v="0"/>
    <b v="1"/>
    <s v="Zumba, BodyBalance"/>
    <d v="1899-12-30T17:30:00"/>
    <d v="1899-12-30T19:11:00"/>
    <n v="101"/>
    <b v="1"/>
    <s v="Jeffrey"/>
  </r>
  <r>
    <n v="240"/>
    <s v="Stanton"/>
    <x v="1"/>
    <d v="2005-01-03T00:00:00"/>
    <s v="below 20"/>
    <n v="19"/>
    <x v="0"/>
    <n v="4"/>
    <s v="Fri, Mon, Sun, Thu"/>
    <n v="1"/>
    <n v="1"/>
    <n v="0"/>
    <n v="0"/>
    <n v="1"/>
    <n v="1"/>
    <n v="0"/>
    <b v="1"/>
    <s v="Kickboxen, LesMiles"/>
    <d v="1899-12-30T15:49:00"/>
    <d v="1899-12-30T16:29:00"/>
    <n v="40"/>
    <b v="0"/>
    <m/>
  </r>
  <r>
    <n v="241"/>
    <s v="Hedwig"/>
    <x v="0"/>
    <d v="1981-10-31T00:00:00"/>
    <s v="41-50"/>
    <n v="42"/>
    <x v="0"/>
    <n v="2"/>
    <s v="Fri, Wed"/>
    <n v="0"/>
    <n v="0"/>
    <n v="0"/>
    <n v="1"/>
    <n v="0"/>
    <n v="1"/>
    <n v="0"/>
    <b v="0"/>
    <m/>
    <d v="1899-12-30T11:03:00"/>
    <d v="1899-12-30T13:05:00"/>
    <n v="122"/>
    <b v="1"/>
    <s v="Hanna"/>
  </r>
  <r>
    <n v="242"/>
    <s v="Godart"/>
    <x v="1"/>
    <d v="2006-08-02T00:00:00"/>
    <s v="below 20"/>
    <n v="18"/>
    <x v="0"/>
    <n v="1"/>
    <s v="Thu"/>
    <n v="0"/>
    <n v="0"/>
    <n v="0"/>
    <n v="0"/>
    <n v="1"/>
    <n v="0"/>
    <n v="0"/>
    <b v="0"/>
    <m/>
    <d v="1899-12-30T17:38:00"/>
    <d v="1899-12-30T18:14:00"/>
    <n v="36"/>
    <b v="1"/>
    <s v="Mike"/>
  </r>
  <r>
    <n v="243"/>
    <s v="Ekaterina"/>
    <x v="0"/>
    <d v="1975-08-16T00:00:00"/>
    <s v="41-50"/>
    <n v="49"/>
    <x v="0"/>
    <n v="1"/>
    <s v="Fri"/>
    <n v="0"/>
    <n v="0"/>
    <n v="0"/>
    <n v="0"/>
    <n v="0"/>
    <n v="1"/>
    <n v="0"/>
    <b v="0"/>
    <m/>
    <d v="1899-12-30T13:58:00"/>
    <d v="1899-12-30T15:32:00"/>
    <n v="94"/>
    <b v="1"/>
    <s v="Mike"/>
  </r>
  <r>
    <n v="244"/>
    <s v="Sella"/>
    <x v="0"/>
    <d v="2007-10-11T00:00:00"/>
    <s v="below 20"/>
    <n v="16"/>
    <x v="0"/>
    <n v="5"/>
    <s v="Fri, Mon, Sun, Tue, Wed"/>
    <n v="1"/>
    <n v="1"/>
    <n v="1"/>
    <n v="1"/>
    <n v="0"/>
    <n v="1"/>
    <n v="0"/>
    <b v="1"/>
    <s v="Yoga, BodyPump, Running"/>
    <d v="1899-12-30T13:50:00"/>
    <d v="1899-12-30T15:27:00"/>
    <n v="97"/>
    <b v="1"/>
    <s v="Hanna"/>
  </r>
  <r>
    <n v="245"/>
    <s v="Brennen"/>
    <x v="1"/>
    <d v="1997-08-06T00:00:00"/>
    <s v="20-30"/>
    <n v="27"/>
    <x v="1"/>
    <n v="1"/>
    <s v="Mon"/>
    <n v="0"/>
    <n v="1"/>
    <n v="0"/>
    <n v="0"/>
    <n v="0"/>
    <n v="0"/>
    <n v="0"/>
    <b v="1"/>
    <s v="Kickboxen, HIT"/>
    <d v="1899-12-30T12:11:00"/>
    <d v="1899-12-30T13:16:00"/>
    <n v="65"/>
    <b v="1"/>
    <s v="Jeffrey"/>
  </r>
  <r>
    <n v="246"/>
    <s v="Kary"/>
    <x v="0"/>
    <d v="2000-09-17T00:00:00"/>
    <s v="20-30"/>
    <n v="24"/>
    <x v="0"/>
    <n v="4"/>
    <s v="Mon, Thu, Tue, Wed"/>
    <n v="0"/>
    <n v="1"/>
    <n v="1"/>
    <n v="1"/>
    <n v="1"/>
    <n v="0"/>
    <n v="0"/>
    <b v="0"/>
    <m/>
    <d v="1899-12-30T09:12:00"/>
    <d v="1899-12-30T11:34:00"/>
    <n v="142"/>
    <b v="0"/>
    <m/>
  </r>
  <r>
    <n v="247"/>
    <s v="Elvis"/>
    <x v="1"/>
    <d v="1987-04-19T00:00:00"/>
    <s v="31-41"/>
    <n v="37"/>
    <x v="1"/>
    <n v="4"/>
    <s v="Fri, Mon, Sun, Thu"/>
    <n v="1"/>
    <n v="1"/>
    <n v="0"/>
    <n v="0"/>
    <n v="1"/>
    <n v="1"/>
    <n v="0"/>
    <b v="1"/>
    <s v="BodyBalance, Yoga, LesMiles"/>
    <d v="1899-12-30T18:44:00"/>
    <d v="1899-12-30T21:02:00"/>
    <n v="138"/>
    <b v="0"/>
    <m/>
  </r>
  <r>
    <n v="248"/>
    <s v="Lib"/>
    <x v="0"/>
    <d v="2000-08-17T00:00:00"/>
    <s v="20-30"/>
    <n v="24"/>
    <x v="0"/>
    <n v="1"/>
    <s v="Fri"/>
    <n v="0"/>
    <n v="0"/>
    <n v="0"/>
    <n v="0"/>
    <n v="0"/>
    <n v="1"/>
    <n v="0"/>
    <b v="0"/>
    <m/>
    <d v="1899-12-30T14:59:00"/>
    <d v="1899-12-30T17:54:00"/>
    <n v="175"/>
    <b v="1"/>
    <s v="Mike"/>
  </r>
  <r>
    <n v="249"/>
    <s v="Deloris"/>
    <x v="0"/>
    <d v="1995-11-14T00:00:00"/>
    <s v="20-30"/>
    <n v="28"/>
    <x v="0"/>
    <n v="5"/>
    <s v="Fri, Mon, Sat, Thu, Tue"/>
    <n v="0"/>
    <n v="1"/>
    <n v="1"/>
    <n v="0"/>
    <n v="1"/>
    <n v="1"/>
    <n v="1"/>
    <b v="1"/>
    <s v="Zumba, BodyPump"/>
    <d v="1899-12-30T18:00:00"/>
    <d v="1899-12-30T19:08:00"/>
    <n v="68"/>
    <b v="0"/>
    <m/>
  </r>
  <r>
    <n v="250"/>
    <s v="Peter"/>
    <x v="1"/>
    <d v="2006-08-27T00:00:00"/>
    <s v="below 20"/>
    <n v="18"/>
    <x v="1"/>
    <n v="3"/>
    <s v="Sun, Thu, Tue"/>
    <n v="1"/>
    <n v="0"/>
    <n v="1"/>
    <n v="0"/>
    <n v="1"/>
    <n v="0"/>
    <n v="0"/>
    <b v="0"/>
    <m/>
    <d v="1899-12-30T13:26:00"/>
    <d v="1899-12-30T16:24:00"/>
    <n v="178"/>
    <b v="0"/>
    <m/>
  </r>
  <r>
    <n v="251"/>
    <s v="Spenser"/>
    <x v="1"/>
    <d v="2006-06-21T00:00:00"/>
    <s v="below 20"/>
    <n v="18"/>
    <x v="1"/>
    <n v="2"/>
    <s v="Mon, Sun"/>
    <n v="1"/>
    <n v="1"/>
    <n v="0"/>
    <n v="0"/>
    <n v="0"/>
    <n v="0"/>
    <n v="0"/>
    <b v="1"/>
    <s v="Yoga, BodyPump, BodyBalance"/>
    <d v="1899-12-30T08:05:00"/>
    <d v="1899-12-30T09:20:00"/>
    <n v="75"/>
    <b v="0"/>
    <m/>
  </r>
  <r>
    <n v="252"/>
    <s v="Margarita"/>
    <x v="0"/>
    <d v="1992-05-28T00:00:00"/>
    <s v="31-41"/>
    <n v="32"/>
    <x v="0"/>
    <n v="5"/>
    <s v="Fri, Mon, Thu, Tue, Wed"/>
    <n v="0"/>
    <n v="1"/>
    <n v="1"/>
    <n v="1"/>
    <n v="1"/>
    <n v="1"/>
    <n v="0"/>
    <b v="1"/>
    <s v="BodyBalance, Yoga"/>
    <d v="1899-12-30T10:17:00"/>
    <d v="1899-12-30T11:04:00"/>
    <n v="47"/>
    <b v="0"/>
    <m/>
  </r>
  <r>
    <n v="253"/>
    <s v="Sergio"/>
    <x v="1"/>
    <d v="1983-10-27T00:00:00"/>
    <s v="31-41"/>
    <n v="40"/>
    <x v="0"/>
    <n v="2"/>
    <s v="Mon, Thu"/>
    <n v="0"/>
    <n v="1"/>
    <n v="0"/>
    <n v="0"/>
    <n v="1"/>
    <n v="0"/>
    <n v="0"/>
    <b v="1"/>
    <s v="Yoga, Zumba, Spinning"/>
    <d v="1899-12-30T14:33:00"/>
    <d v="1899-12-30T16:14:00"/>
    <n v="101"/>
    <b v="1"/>
    <s v="Jeffrey"/>
  </r>
  <r>
    <n v="254"/>
    <s v="Alexei"/>
    <x v="1"/>
    <d v="2003-10-27T00:00:00"/>
    <s v="20-30"/>
    <n v="20"/>
    <x v="1"/>
    <n v="4"/>
    <s v="Sat, Sun, Tue, Wed"/>
    <n v="1"/>
    <n v="0"/>
    <n v="1"/>
    <n v="1"/>
    <n v="0"/>
    <n v="0"/>
    <n v="1"/>
    <b v="0"/>
    <m/>
    <d v="1899-12-30T17:12:00"/>
    <d v="1899-12-30T18:45:00"/>
    <n v="93"/>
    <b v="0"/>
    <m/>
  </r>
  <r>
    <n v="255"/>
    <s v="Michale"/>
    <x v="1"/>
    <d v="2003-04-14T00:00:00"/>
    <s v="20-30"/>
    <n v="21"/>
    <x v="0"/>
    <n v="1"/>
    <s v="Wed"/>
    <n v="0"/>
    <n v="0"/>
    <n v="0"/>
    <n v="1"/>
    <n v="0"/>
    <n v="0"/>
    <n v="0"/>
    <b v="1"/>
    <s v="Kickboxen, Yoga, BodyPump"/>
    <d v="1899-12-30T14:34:00"/>
    <d v="1899-12-30T16:34:00"/>
    <n v="120"/>
    <b v="1"/>
    <s v="Mike"/>
  </r>
  <r>
    <n v="256"/>
    <s v="Andreana"/>
    <x v="0"/>
    <d v="1985-12-18T00:00:00"/>
    <s v="31-41"/>
    <n v="38"/>
    <x v="0"/>
    <n v="1"/>
    <s v="Wed"/>
    <n v="0"/>
    <n v="0"/>
    <n v="0"/>
    <n v="1"/>
    <n v="0"/>
    <n v="0"/>
    <n v="0"/>
    <b v="1"/>
    <s v="Pilates"/>
    <d v="1899-12-30T17:37:00"/>
    <d v="1899-12-30T18:28:00"/>
    <n v="51"/>
    <b v="1"/>
    <s v="Mike"/>
  </r>
  <r>
    <n v="257"/>
    <s v="Worth"/>
    <x v="1"/>
    <d v="1979-03-28T00:00:00"/>
    <s v="41-50"/>
    <n v="45"/>
    <x v="1"/>
    <n v="2"/>
    <s v="Tue, Wed"/>
    <n v="0"/>
    <n v="0"/>
    <n v="1"/>
    <n v="1"/>
    <n v="0"/>
    <n v="0"/>
    <n v="0"/>
    <b v="1"/>
    <s v="XCore, Yoga"/>
    <d v="1899-12-30T08:12:00"/>
    <d v="1899-12-30T09:55:00"/>
    <n v="103"/>
    <b v="0"/>
    <m/>
  </r>
  <r>
    <n v="258"/>
    <s v="Bronnie"/>
    <x v="1"/>
    <d v="2001-12-21T00:00:00"/>
    <s v="20-30"/>
    <n v="22"/>
    <x v="1"/>
    <n v="2"/>
    <s v="Fri, Sun"/>
    <n v="1"/>
    <n v="0"/>
    <n v="0"/>
    <n v="0"/>
    <n v="0"/>
    <n v="1"/>
    <n v="0"/>
    <b v="0"/>
    <m/>
    <d v="1899-12-30T19:49:00"/>
    <d v="1899-12-30T21:25:00"/>
    <n v="96"/>
    <b v="0"/>
    <m/>
  </r>
  <r>
    <n v="259"/>
    <s v="Muire"/>
    <x v="0"/>
    <d v="2007-05-08T00:00:00"/>
    <s v="below 20"/>
    <n v="17"/>
    <x v="0"/>
    <n v="5"/>
    <s v="Mon, Sat, Thu, Tue, Wed"/>
    <n v="0"/>
    <n v="1"/>
    <n v="1"/>
    <n v="1"/>
    <n v="1"/>
    <n v="0"/>
    <n v="1"/>
    <b v="0"/>
    <m/>
    <d v="1899-12-30T10:02:00"/>
    <d v="1899-12-30T11:31:00"/>
    <n v="89"/>
    <b v="1"/>
    <s v="Chantal"/>
  </r>
  <r>
    <n v="260"/>
    <s v="Jaquelyn"/>
    <x v="0"/>
    <d v="1992-05-24T00:00:00"/>
    <s v="31-41"/>
    <n v="32"/>
    <x v="1"/>
    <n v="5"/>
    <s v="Mon, Sat, Sun, Tue, Wed"/>
    <n v="1"/>
    <n v="1"/>
    <n v="1"/>
    <n v="1"/>
    <n v="0"/>
    <n v="0"/>
    <n v="1"/>
    <b v="0"/>
    <m/>
    <d v="1899-12-30T08:20:00"/>
    <d v="1899-12-30T10:52:00"/>
    <n v="152"/>
    <b v="0"/>
    <m/>
  </r>
  <r>
    <n v="261"/>
    <s v="Eamon"/>
    <x v="1"/>
    <d v="1980-10-02T00:00:00"/>
    <s v="41-50"/>
    <n v="44"/>
    <x v="1"/>
    <n v="2"/>
    <s v="Mon, Sat"/>
    <n v="0"/>
    <n v="1"/>
    <n v="0"/>
    <n v="0"/>
    <n v="0"/>
    <n v="0"/>
    <n v="1"/>
    <b v="0"/>
    <m/>
    <d v="1899-12-30T12:01:00"/>
    <d v="1899-12-30T13:48:00"/>
    <n v="107"/>
    <b v="0"/>
    <m/>
  </r>
  <r>
    <n v="262"/>
    <s v="Caritta"/>
    <x v="0"/>
    <d v="1977-05-27T00:00:00"/>
    <s v="41-50"/>
    <n v="47"/>
    <x v="0"/>
    <n v="2"/>
    <s v="Fri, Thu"/>
    <n v="0"/>
    <n v="0"/>
    <n v="0"/>
    <n v="0"/>
    <n v="1"/>
    <n v="1"/>
    <n v="0"/>
    <b v="1"/>
    <s v="Yoga, LesMiles, BodyBalance"/>
    <d v="1899-12-30T08:39:00"/>
    <d v="1899-12-30T09:25:00"/>
    <n v="46"/>
    <b v="1"/>
    <s v="Chantal"/>
  </r>
  <r>
    <n v="263"/>
    <s v="Star"/>
    <x v="0"/>
    <d v="1981-03-19T00:00:00"/>
    <s v="41-50"/>
    <n v="43"/>
    <x v="1"/>
    <n v="1"/>
    <s v="Tue"/>
    <n v="0"/>
    <n v="0"/>
    <n v="1"/>
    <n v="0"/>
    <n v="0"/>
    <n v="0"/>
    <n v="0"/>
    <b v="0"/>
    <m/>
    <d v="1899-12-30T08:17:00"/>
    <d v="1899-12-30T10:01:00"/>
    <n v="104"/>
    <b v="1"/>
    <s v="Jeffrey"/>
  </r>
  <r>
    <n v="264"/>
    <s v="Padraig"/>
    <x v="1"/>
    <d v="1976-07-05T00:00:00"/>
    <s v="41-50"/>
    <n v="48"/>
    <x v="1"/>
    <n v="5"/>
    <s v="Mon, Sun, Thu, Tue, Wed"/>
    <n v="1"/>
    <n v="1"/>
    <n v="1"/>
    <n v="1"/>
    <n v="1"/>
    <n v="0"/>
    <n v="0"/>
    <b v="0"/>
    <m/>
    <d v="1899-12-30T15:42:00"/>
    <d v="1899-12-30T16:38:00"/>
    <n v="56"/>
    <b v="1"/>
    <s v="Hanna"/>
  </r>
  <r>
    <n v="265"/>
    <s v="Reina"/>
    <x v="0"/>
    <d v="1992-07-30T00:00:00"/>
    <s v="31-41"/>
    <n v="32"/>
    <x v="1"/>
    <n v="5"/>
    <s v="Fri, Mon, Sat, Tue, Wed"/>
    <n v="0"/>
    <n v="1"/>
    <n v="1"/>
    <n v="1"/>
    <n v="0"/>
    <n v="1"/>
    <n v="1"/>
    <b v="0"/>
    <m/>
    <d v="1899-12-30T19:52:00"/>
    <d v="1899-12-30T22:44:00"/>
    <n v="172"/>
    <b v="1"/>
    <s v="Mike"/>
  </r>
  <r>
    <n v="266"/>
    <s v="Prudence"/>
    <x v="0"/>
    <d v="1987-02-06T00:00:00"/>
    <s v="31-41"/>
    <n v="37"/>
    <x v="1"/>
    <n v="3"/>
    <s v="Mon, Sat, Tue"/>
    <n v="0"/>
    <n v="1"/>
    <n v="1"/>
    <n v="0"/>
    <n v="0"/>
    <n v="0"/>
    <n v="1"/>
    <b v="1"/>
    <s v="Zumba, Yoga, Pilates"/>
    <d v="1899-12-30T18:07:00"/>
    <d v="1899-12-30T20:22:00"/>
    <n v="135"/>
    <b v="0"/>
    <m/>
  </r>
  <r>
    <n v="267"/>
    <s v="Bertie"/>
    <x v="0"/>
    <d v="1988-05-12T00:00:00"/>
    <s v="31-41"/>
    <n v="36"/>
    <x v="1"/>
    <n v="5"/>
    <s v="Fri, Mon, Sat, Sun, Wed"/>
    <n v="1"/>
    <n v="1"/>
    <n v="0"/>
    <n v="1"/>
    <n v="0"/>
    <n v="1"/>
    <n v="1"/>
    <b v="0"/>
    <m/>
    <d v="1899-12-30T11:33:00"/>
    <d v="1899-12-30T14:00:00"/>
    <n v="147"/>
    <b v="0"/>
    <m/>
  </r>
  <r>
    <n v="268"/>
    <s v="Chadwick"/>
    <x v="1"/>
    <d v="2001-12-03T00:00:00"/>
    <s v="20-30"/>
    <n v="22"/>
    <x v="0"/>
    <n v="4"/>
    <s v="Fri, Sun, Thu, Wed"/>
    <n v="1"/>
    <n v="0"/>
    <n v="0"/>
    <n v="1"/>
    <n v="1"/>
    <n v="1"/>
    <n v="0"/>
    <b v="0"/>
    <m/>
    <d v="1899-12-30T18:08:00"/>
    <d v="1899-12-30T19:36:00"/>
    <n v="88"/>
    <b v="1"/>
    <s v="Mike"/>
  </r>
  <r>
    <n v="269"/>
    <s v="Vinny"/>
    <x v="1"/>
    <d v="1987-10-07T00:00:00"/>
    <s v="31-41"/>
    <n v="36"/>
    <x v="0"/>
    <n v="2"/>
    <s v="Thu, Tue"/>
    <n v="0"/>
    <n v="0"/>
    <n v="1"/>
    <n v="0"/>
    <n v="1"/>
    <n v="0"/>
    <n v="0"/>
    <b v="0"/>
    <m/>
    <d v="1899-12-30T09:59:00"/>
    <d v="1899-12-30T11:53:00"/>
    <n v="114"/>
    <b v="0"/>
    <m/>
  </r>
  <r>
    <n v="270"/>
    <s v="Abby"/>
    <x v="1"/>
    <d v="1985-03-01T00:00:00"/>
    <s v="31-41"/>
    <n v="39"/>
    <x v="1"/>
    <n v="3"/>
    <s v="Sat, Thu, Tue"/>
    <n v="0"/>
    <n v="0"/>
    <n v="1"/>
    <n v="0"/>
    <n v="1"/>
    <n v="0"/>
    <n v="1"/>
    <b v="1"/>
    <s v="BodyPump"/>
    <d v="1899-12-30T15:19:00"/>
    <d v="1899-12-30T16:03:00"/>
    <n v="44"/>
    <b v="1"/>
    <s v="Mike"/>
  </r>
  <r>
    <n v="271"/>
    <s v="Craggy"/>
    <x v="1"/>
    <d v="1976-12-28T00:00:00"/>
    <s v="41-50"/>
    <n v="47"/>
    <x v="1"/>
    <n v="3"/>
    <s v="Mon, Sat, Wed"/>
    <n v="0"/>
    <n v="1"/>
    <n v="0"/>
    <n v="1"/>
    <n v="0"/>
    <n v="0"/>
    <n v="1"/>
    <b v="0"/>
    <m/>
    <d v="1899-12-30T10:08:00"/>
    <d v="1899-12-30T10:41:00"/>
    <n v="33"/>
    <b v="1"/>
    <s v="Hanna"/>
  </r>
  <r>
    <n v="272"/>
    <s v="Arley"/>
    <x v="1"/>
    <d v="1975-01-12T00:00:00"/>
    <s v="41-50"/>
    <n v="49"/>
    <x v="0"/>
    <n v="2"/>
    <s v="Fri, Tue"/>
    <n v="0"/>
    <n v="0"/>
    <n v="1"/>
    <n v="0"/>
    <n v="0"/>
    <n v="1"/>
    <n v="0"/>
    <b v="1"/>
    <s v="Yoga"/>
    <d v="1899-12-30T13:20:00"/>
    <d v="1899-12-30T16:16:00"/>
    <n v="176"/>
    <b v="1"/>
    <s v="Chantal"/>
  </r>
  <r>
    <n v="273"/>
    <s v="Quincy"/>
    <x v="1"/>
    <d v="1996-12-27T00:00:00"/>
    <s v="20-30"/>
    <n v="27"/>
    <x v="1"/>
    <n v="2"/>
    <s v="Mon, Sun"/>
    <n v="1"/>
    <n v="1"/>
    <n v="0"/>
    <n v="0"/>
    <n v="0"/>
    <n v="0"/>
    <n v="0"/>
    <b v="0"/>
    <m/>
    <d v="1899-12-30T11:23:00"/>
    <d v="1899-12-30T13:25:00"/>
    <n v="122"/>
    <b v="1"/>
    <s v="Chantal"/>
  </r>
  <r>
    <n v="274"/>
    <s v="Elset"/>
    <x v="0"/>
    <d v="1980-04-03T00:00:00"/>
    <s v="41-50"/>
    <n v="44"/>
    <x v="1"/>
    <n v="2"/>
    <s v="Fri, Sat"/>
    <n v="0"/>
    <n v="0"/>
    <n v="0"/>
    <n v="0"/>
    <n v="0"/>
    <n v="1"/>
    <n v="1"/>
    <b v="1"/>
    <s v="Pilates, HIT"/>
    <d v="1899-12-30T19:30:00"/>
    <d v="1899-12-30T21:28:00"/>
    <n v="118"/>
    <b v="0"/>
    <m/>
  </r>
  <r>
    <n v="275"/>
    <s v="Gunther"/>
    <x v="1"/>
    <d v="2011-06-09T00:00:00"/>
    <s v="below 20"/>
    <n v="13"/>
    <x v="1"/>
    <n v="2"/>
    <s v="Mon, Thu"/>
    <n v="0"/>
    <n v="1"/>
    <n v="0"/>
    <n v="0"/>
    <n v="1"/>
    <n v="0"/>
    <n v="0"/>
    <b v="0"/>
    <m/>
    <d v="1899-12-30T09:38:00"/>
    <d v="1899-12-30T11:56:00"/>
    <n v="138"/>
    <b v="0"/>
    <m/>
  </r>
  <r>
    <n v="276"/>
    <s v="Horatio"/>
    <x v="1"/>
    <d v="2010-04-02T00:00:00"/>
    <s v="below 20"/>
    <n v="14"/>
    <x v="1"/>
    <n v="2"/>
    <s v="Sun, Thu"/>
    <n v="1"/>
    <n v="0"/>
    <n v="0"/>
    <n v="0"/>
    <n v="1"/>
    <n v="0"/>
    <n v="0"/>
    <b v="1"/>
    <s v="LesMiles"/>
    <d v="1899-12-30T11:21:00"/>
    <d v="1899-12-30T12:29:00"/>
    <n v="68"/>
    <b v="0"/>
    <m/>
  </r>
  <r>
    <n v="277"/>
    <s v="Trista"/>
    <x v="0"/>
    <d v="1999-04-25T00:00:00"/>
    <s v="20-30"/>
    <n v="25"/>
    <x v="1"/>
    <n v="2"/>
    <s v="Fri, Mon"/>
    <n v="0"/>
    <n v="1"/>
    <n v="0"/>
    <n v="0"/>
    <n v="0"/>
    <n v="1"/>
    <n v="0"/>
    <b v="0"/>
    <m/>
    <d v="1899-12-30T10:38:00"/>
    <d v="1899-12-30T13:35:00"/>
    <n v="177"/>
    <b v="1"/>
    <s v="Hanna"/>
  </r>
  <r>
    <n v="278"/>
    <s v="Leon"/>
    <x v="1"/>
    <d v="1992-02-03T00:00:00"/>
    <s v="31-41"/>
    <n v="32"/>
    <x v="0"/>
    <n v="2"/>
    <s v="Mon, Sat"/>
    <n v="0"/>
    <n v="1"/>
    <n v="0"/>
    <n v="0"/>
    <n v="0"/>
    <n v="0"/>
    <n v="1"/>
    <b v="1"/>
    <s v="Yoga, XCore, Spinning"/>
    <d v="1899-12-30T13:19:00"/>
    <d v="1899-12-30T14:13:00"/>
    <n v="54"/>
    <b v="1"/>
    <s v="Mike"/>
  </r>
  <r>
    <n v="279"/>
    <s v="Mathilda"/>
    <x v="0"/>
    <d v="1994-10-15T00:00:00"/>
    <s v="20-30"/>
    <n v="29"/>
    <x v="1"/>
    <n v="4"/>
    <s v="Mon, Sun, Tue, Wed"/>
    <n v="1"/>
    <n v="1"/>
    <n v="1"/>
    <n v="1"/>
    <n v="0"/>
    <n v="0"/>
    <n v="0"/>
    <b v="0"/>
    <m/>
    <d v="1899-12-30T10:43:00"/>
    <d v="1899-12-30T12:30:00"/>
    <n v="107"/>
    <b v="1"/>
    <s v="Hanna"/>
  </r>
  <r>
    <n v="280"/>
    <s v="Zachariah"/>
    <x v="1"/>
    <d v="1983-01-24T00:00:00"/>
    <s v="41-50"/>
    <n v="41"/>
    <x v="1"/>
    <n v="2"/>
    <s v="Sat, Wed"/>
    <n v="0"/>
    <n v="0"/>
    <n v="0"/>
    <n v="1"/>
    <n v="0"/>
    <n v="0"/>
    <n v="1"/>
    <b v="1"/>
    <s v="Pilates, XCore"/>
    <d v="1899-12-30T10:29:00"/>
    <d v="1899-12-30T11:09:00"/>
    <n v="40"/>
    <b v="1"/>
    <s v="Chantal"/>
  </r>
  <r>
    <n v="281"/>
    <s v="Dorey"/>
    <x v="1"/>
    <d v="2003-06-01T00:00:00"/>
    <s v="20-30"/>
    <n v="21"/>
    <x v="0"/>
    <n v="2"/>
    <s v="Sun, Tue"/>
    <n v="1"/>
    <n v="0"/>
    <n v="1"/>
    <n v="0"/>
    <n v="0"/>
    <n v="0"/>
    <n v="0"/>
    <b v="1"/>
    <s v="Pilates, HIT, Running"/>
    <d v="1899-12-30T15:40:00"/>
    <d v="1899-12-30T16:47:00"/>
    <n v="67"/>
    <b v="1"/>
    <s v="Chantal"/>
  </r>
  <r>
    <n v="282"/>
    <s v="Daniel"/>
    <x v="1"/>
    <d v="1999-07-06T00:00:00"/>
    <s v="20-30"/>
    <n v="25"/>
    <x v="1"/>
    <n v="5"/>
    <s v="Fri, Mon, Sat, Thu, Wed"/>
    <n v="0"/>
    <n v="1"/>
    <n v="0"/>
    <n v="1"/>
    <n v="1"/>
    <n v="1"/>
    <n v="1"/>
    <b v="1"/>
    <s v="Zumba, Kickboxen"/>
    <d v="1899-12-30T12:25:00"/>
    <d v="1899-12-30T13:26:00"/>
    <n v="61"/>
    <b v="0"/>
    <m/>
  </r>
  <r>
    <n v="283"/>
    <s v="Dionis"/>
    <x v="0"/>
    <d v="2002-12-16T00:00:00"/>
    <s v="20-30"/>
    <n v="21"/>
    <x v="0"/>
    <n v="2"/>
    <s v="Sun, Wed"/>
    <n v="1"/>
    <n v="0"/>
    <n v="0"/>
    <n v="1"/>
    <n v="0"/>
    <n v="0"/>
    <n v="0"/>
    <b v="1"/>
    <s v="LesMiles, BodyBalance"/>
    <d v="1899-12-30T14:55:00"/>
    <d v="1899-12-30T17:40:00"/>
    <n v="165"/>
    <b v="1"/>
    <s v="Mike"/>
  </r>
  <r>
    <n v="284"/>
    <s v="Marnie"/>
    <x v="0"/>
    <d v="2010-12-21T00:00:00"/>
    <s v="below 20"/>
    <n v="13"/>
    <x v="1"/>
    <n v="2"/>
    <s v="Sun, Tue"/>
    <n v="1"/>
    <n v="0"/>
    <n v="1"/>
    <n v="0"/>
    <n v="0"/>
    <n v="0"/>
    <n v="0"/>
    <b v="0"/>
    <m/>
    <d v="1899-12-30T12:52:00"/>
    <d v="1899-12-30T15:32:00"/>
    <n v="160"/>
    <b v="0"/>
    <m/>
  </r>
  <r>
    <n v="285"/>
    <s v="Earl"/>
    <x v="1"/>
    <d v="1976-06-08T00:00:00"/>
    <s v="41-50"/>
    <n v="48"/>
    <x v="0"/>
    <n v="4"/>
    <s v="Fri, Mon, Thu, Tue"/>
    <n v="0"/>
    <n v="1"/>
    <n v="1"/>
    <n v="0"/>
    <n v="1"/>
    <n v="1"/>
    <n v="0"/>
    <b v="0"/>
    <m/>
    <d v="1899-12-30T13:33:00"/>
    <d v="1899-12-30T14:07:00"/>
    <n v="34"/>
    <b v="0"/>
    <m/>
  </r>
  <r>
    <n v="286"/>
    <s v="Dimitry"/>
    <x v="1"/>
    <d v="2004-01-23T00:00:00"/>
    <s v="20-30"/>
    <n v="20"/>
    <x v="0"/>
    <n v="5"/>
    <s v="Fri, Sun, Thu, Tue, Wed"/>
    <n v="1"/>
    <n v="0"/>
    <n v="1"/>
    <n v="1"/>
    <n v="1"/>
    <n v="1"/>
    <n v="0"/>
    <b v="0"/>
    <m/>
    <d v="1899-12-30T20:16:00"/>
    <d v="1899-12-30T21:49:00"/>
    <n v="93"/>
    <b v="1"/>
    <s v="Mike"/>
  </r>
  <r>
    <n v="287"/>
    <s v="Hieronymus"/>
    <x v="1"/>
    <d v="1987-10-07T00:00:00"/>
    <s v="31-41"/>
    <n v="36"/>
    <x v="0"/>
    <n v="2"/>
    <s v="Thu, Wed"/>
    <n v="0"/>
    <n v="0"/>
    <n v="0"/>
    <n v="1"/>
    <n v="1"/>
    <n v="0"/>
    <n v="0"/>
    <b v="1"/>
    <s v="BodyPump, Running, LesMiles"/>
    <d v="1899-12-30T19:39:00"/>
    <d v="1899-12-30T22:03:00"/>
    <n v="144"/>
    <b v="0"/>
    <m/>
  </r>
  <r>
    <n v="288"/>
    <s v="Piggy"/>
    <x v="1"/>
    <d v="1982-06-12T00:00:00"/>
    <s v="41-50"/>
    <n v="42"/>
    <x v="0"/>
    <n v="5"/>
    <s v="Fri, Mon, Sun, Thu, Wed"/>
    <n v="1"/>
    <n v="1"/>
    <n v="0"/>
    <n v="1"/>
    <n v="1"/>
    <n v="1"/>
    <n v="0"/>
    <b v="0"/>
    <m/>
    <d v="1899-12-30T17:30:00"/>
    <d v="1899-12-30T20:09:00"/>
    <n v="159"/>
    <b v="0"/>
    <m/>
  </r>
  <r>
    <n v="289"/>
    <s v="Gwendolin"/>
    <x v="0"/>
    <d v="2004-04-19T00:00:00"/>
    <s v="20-30"/>
    <n v="20"/>
    <x v="0"/>
    <n v="3"/>
    <s v="Sat, Sun, Wed"/>
    <n v="1"/>
    <n v="0"/>
    <n v="0"/>
    <n v="1"/>
    <n v="0"/>
    <n v="0"/>
    <n v="1"/>
    <b v="1"/>
    <s v="Zumba"/>
    <d v="1899-12-30T08:53:00"/>
    <d v="1899-12-30T11:29:00"/>
    <n v="156"/>
    <b v="1"/>
    <s v="Mike"/>
  </r>
  <r>
    <n v="290"/>
    <s v="Chelsy"/>
    <x v="0"/>
    <d v="1998-05-05T00:00:00"/>
    <s v="20-30"/>
    <n v="26"/>
    <x v="1"/>
    <n v="2"/>
    <s v="Fri, Thu"/>
    <n v="0"/>
    <n v="0"/>
    <n v="0"/>
    <n v="0"/>
    <n v="1"/>
    <n v="1"/>
    <n v="0"/>
    <b v="1"/>
    <s v="XCore, LesMiles"/>
    <d v="1899-12-30T15:52:00"/>
    <d v="1899-12-30T18:05:00"/>
    <n v="133"/>
    <b v="0"/>
    <m/>
  </r>
  <r>
    <n v="291"/>
    <s v="Barbi"/>
    <x v="0"/>
    <d v="1982-04-24T00:00:00"/>
    <s v="41-50"/>
    <n v="42"/>
    <x v="0"/>
    <n v="5"/>
    <s v="Mon, Sat, Thu, Tue, Wed"/>
    <n v="0"/>
    <n v="1"/>
    <n v="1"/>
    <n v="1"/>
    <n v="1"/>
    <n v="0"/>
    <n v="1"/>
    <b v="0"/>
    <m/>
    <d v="1899-12-30T09:49:00"/>
    <d v="1899-12-30T11:31:00"/>
    <n v="102"/>
    <b v="0"/>
    <m/>
  </r>
  <r>
    <n v="292"/>
    <s v="Mitchel"/>
    <x v="1"/>
    <d v="2007-07-26T00:00:00"/>
    <s v="below 20"/>
    <n v="17"/>
    <x v="1"/>
    <n v="1"/>
    <s v="Sat"/>
    <n v="0"/>
    <n v="0"/>
    <n v="0"/>
    <n v="0"/>
    <n v="0"/>
    <n v="0"/>
    <n v="1"/>
    <b v="0"/>
    <m/>
    <d v="1899-12-30T16:59:00"/>
    <d v="1899-12-30T18:58:00"/>
    <n v="119"/>
    <b v="0"/>
    <m/>
  </r>
  <r>
    <n v="293"/>
    <s v="Merilee"/>
    <x v="0"/>
    <d v="1998-05-04T00:00:00"/>
    <s v="20-30"/>
    <n v="26"/>
    <x v="0"/>
    <n v="1"/>
    <s v="Sun"/>
    <n v="1"/>
    <n v="0"/>
    <n v="0"/>
    <n v="0"/>
    <n v="0"/>
    <n v="0"/>
    <n v="0"/>
    <b v="1"/>
    <s v="Yoga, BodyBalance, Running"/>
    <d v="1899-12-30T16:31:00"/>
    <d v="1899-12-30T18:53:00"/>
    <n v="142"/>
    <b v="1"/>
    <s v="Hanna"/>
  </r>
  <r>
    <n v="294"/>
    <s v="Maitilde"/>
    <x v="0"/>
    <d v="1983-09-02T00:00:00"/>
    <s v="41-50"/>
    <n v="41"/>
    <x v="0"/>
    <n v="1"/>
    <s v="Thu"/>
    <n v="0"/>
    <n v="0"/>
    <n v="0"/>
    <n v="0"/>
    <n v="1"/>
    <n v="0"/>
    <n v="0"/>
    <b v="1"/>
    <s v="Yoga, Pilates, Running"/>
    <d v="1899-12-30T13:14:00"/>
    <d v="1899-12-30T14:57:00"/>
    <n v="103"/>
    <b v="0"/>
    <m/>
  </r>
  <r>
    <n v="295"/>
    <s v="Abbie"/>
    <x v="1"/>
    <d v="1988-10-09T00:00:00"/>
    <s v="31-41"/>
    <n v="35"/>
    <x v="1"/>
    <n v="3"/>
    <s v="Sat, Tue, Wed"/>
    <n v="0"/>
    <n v="0"/>
    <n v="1"/>
    <n v="1"/>
    <n v="0"/>
    <n v="0"/>
    <n v="1"/>
    <b v="0"/>
    <m/>
    <d v="1899-12-30T15:28:00"/>
    <d v="1899-12-30T18:08:00"/>
    <n v="160"/>
    <b v="0"/>
    <m/>
  </r>
  <r>
    <n v="296"/>
    <s v="Evie"/>
    <x v="0"/>
    <d v="2000-12-30T00:00:00"/>
    <s v="20-30"/>
    <n v="23"/>
    <x v="1"/>
    <n v="4"/>
    <s v="Fri, Mon, Sat, Thu"/>
    <n v="0"/>
    <n v="1"/>
    <n v="0"/>
    <n v="0"/>
    <n v="1"/>
    <n v="1"/>
    <n v="1"/>
    <b v="0"/>
    <m/>
    <d v="1899-12-30T10:17:00"/>
    <d v="1899-12-30T12:41:00"/>
    <n v="144"/>
    <b v="0"/>
    <m/>
  </r>
  <r>
    <n v="297"/>
    <s v="Georas"/>
    <x v="1"/>
    <d v="1994-05-09T00:00:00"/>
    <s v="20-30"/>
    <n v="30"/>
    <x v="1"/>
    <n v="5"/>
    <s v="Mon, Sun, Thu, Tue, Wed"/>
    <n v="1"/>
    <n v="1"/>
    <n v="1"/>
    <n v="1"/>
    <n v="1"/>
    <n v="0"/>
    <n v="0"/>
    <b v="0"/>
    <m/>
    <d v="1899-12-30T17:29:00"/>
    <d v="1899-12-30T19:35:00"/>
    <n v="126"/>
    <b v="1"/>
    <s v="Jeffrey"/>
  </r>
  <r>
    <n v="298"/>
    <s v="Nicki"/>
    <x v="0"/>
    <d v="1990-04-09T00:00:00"/>
    <s v="31-41"/>
    <n v="34"/>
    <x v="0"/>
    <n v="2"/>
    <s v="Sat, Tue"/>
    <n v="0"/>
    <n v="0"/>
    <n v="1"/>
    <n v="0"/>
    <n v="0"/>
    <n v="0"/>
    <n v="1"/>
    <b v="0"/>
    <m/>
    <d v="1899-12-30T19:17:00"/>
    <d v="1899-12-30T20:25:00"/>
    <n v="68"/>
    <b v="1"/>
    <s v="Chantal"/>
  </r>
  <r>
    <n v="299"/>
    <s v="Avis"/>
    <x v="0"/>
    <d v="1981-03-27T00:00:00"/>
    <s v="41-50"/>
    <n v="43"/>
    <x v="0"/>
    <n v="5"/>
    <s v="Sat, Sun, Thu, Tue, Wed"/>
    <n v="1"/>
    <n v="0"/>
    <n v="1"/>
    <n v="1"/>
    <n v="1"/>
    <n v="0"/>
    <n v="1"/>
    <b v="0"/>
    <m/>
    <d v="1899-12-30T12:31:00"/>
    <d v="1899-12-30T15:09:00"/>
    <n v="158"/>
    <b v="1"/>
    <s v="Mike"/>
  </r>
  <r>
    <n v="300"/>
    <s v="Ives"/>
    <x v="1"/>
    <d v="2011-07-09T00:00:00"/>
    <s v="below 20"/>
    <n v="13"/>
    <x v="0"/>
    <n v="3"/>
    <s v="Mon, Sat, Wed"/>
    <n v="0"/>
    <n v="1"/>
    <n v="0"/>
    <n v="1"/>
    <n v="0"/>
    <n v="0"/>
    <n v="1"/>
    <b v="1"/>
    <s v="Spinning, BodyPump, Running"/>
    <d v="1899-12-30T14:53:00"/>
    <d v="1899-12-30T16:05:00"/>
    <n v="72"/>
    <b v="0"/>
    <m/>
  </r>
  <r>
    <n v="301"/>
    <s v="Amalea"/>
    <x v="0"/>
    <d v="2001-04-14T00:00:00"/>
    <s v="20-30"/>
    <n v="23"/>
    <x v="0"/>
    <n v="3"/>
    <s v="Sat, Sun, Tue"/>
    <n v="1"/>
    <n v="0"/>
    <n v="1"/>
    <n v="0"/>
    <n v="0"/>
    <n v="0"/>
    <n v="1"/>
    <b v="1"/>
    <s v="Kickboxen, Spinning, LesMiles"/>
    <d v="1899-12-30T13:06:00"/>
    <d v="1899-12-30T13:58:00"/>
    <n v="52"/>
    <b v="1"/>
    <s v="Chantal"/>
  </r>
  <r>
    <n v="302"/>
    <s v="Sigismondo"/>
    <x v="1"/>
    <d v="1979-01-03T00:00:00"/>
    <s v="41-50"/>
    <n v="45"/>
    <x v="1"/>
    <n v="3"/>
    <s v="Sat, Tue, Wed"/>
    <n v="0"/>
    <n v="0"/>
    <n v="1"/>
    <n v="1"/>
    <n v="0"/>
    <n v="0"/>
    <n v="1"/>
    <b v="1"/>
    <s v="BodyPump, Pilates, HIT"/>
    <d v="1899-12-30T12:48:00"/>
    <d v="1899-12-30T13:20:00"/>
    <n v="32"/>
    <b v="1"/>
    <s v="Jeffrey"/>
  </r>
  <r>
    <n v="303"/>
    <s v="Therese"/>
    <x v="0"/>
    <d v="1982-01-23T00:00:00"/>
    <s v="41-50"/>
    <n v="42"/>
    <x v="1"/>
    <n v="3"/>
    <s v="Mon, Sun, Tue"/>
    <n v="1"/>
    <n v="1"/>
    <n v="1"/>
    <n v="0"/>
    <n v="0"/>
    <n v="0"/>
    <n v="0"/>
    <b v="0"/>
    <m/>
    <d v="1899-12-30T13:32:00"/>
    <d v="1899-12-30T14:39:00"/>
    <n v="67"/>
    <b v="1"/>
    <s v="Hanna"/>
  </r>
  <r>
    <n v="304"/>
    <s v="Godfry"/>
    <x v="1"/>
    <d v="1988-12-28T00:00:00"/>
    <s v="31-41"/>
    <n v="35"/>
    <x v="1"/>
    <n v="1"/>
    <s v="Mon"/>
    <n v="0"/>
    <n v="1"/>
    <n v="0"/>
    <n v="0"/>
    <n v="0"/>
    <n v="0"/>
    <n v="0"/>
    <b v="0"/>
    <m/>
    <d v="1899-12-30T13:53:00"/>
    <d v="1899-12-30T14:28:00"/>
    <n v="35"/>
    <b v="0"/>
    <m/>
  </r>
  <r>
    <n v="305"/>
    <s v="Alfie"/>
    <x v="1"/>
    <d v="1998-08-02T00:00:00"/>
    <s v="20-30"/>
    <n v="26"/>
    <x v="1"/>
    <n v="4"/>
    <s v="Fri, Mon, Thu, Wed"/>
    <n v="0"/>
    <n v="1"/>
    <n v="0"/>
    <n v="1"/>
    <n v="1"/>
    <n v="1"/>
    <n v="0"/>
    <b v="1"/>
    <s v="Spinning, BodyPump"/>
    <d v="1899-12-30T08:48:00"/>
    <d v="1899-12-30T09:20:00"/>
    <n v="32"/>
    <b v="0"/>
    <m/>
  </r>
  <r>
    <n v="306"/>
    <s v="Seumas"/>
    <x v="1"/>
    <d v="2003-10-28T00:00:00"/>
    <s v="20-30"/>
    <n v="20"/>
    <x v="1"/>
    <n v="2"/>
    <s v="Sun, Wed"/>
    <n v="1"/>
    <n v="0"/>
    <n v="0"/>
    <n v="1"/>
    <n v="0"/>
    <n v="0"/>
    <n v="0"/>
    <b v="1"/>
    <s v="Running, Spinning, BodyPump"/>
    <d v="1899-12-30T11:47:00"/>
    <d v="1899-12-30T13:48:00"/>
    <n v="121"/>
    <b v="1"/>
    <s v="Chantal"/>
  </r>
  <r>
    <n v="307"/>
    <s v="Elora"/>
    <x v="0"/>
    <d v="1992-04-06T00:00:00"/>
    <s v="31-41"/>
    <n v="32"/>
    <x v="1"/>
    <n v="3"/>
    <s v="Fri, Sun, Tue"/>
    <n v="1"/>
    <n v="0"/>
    <n v="1"/>
    <n v="0"/>
    <n v="0"/>
    <n v="1"/>
    <n v="0"/>
    <b v="0"/>
    <m/>
    <d v="1899-12-30T17:30:00"/>
    <d v="1899-12-30T20:09:00"/>
    <n v="159"/>
    <b v="1"/>
    <s v="Chantal"/>
  </r>
  <r>
    <n v="308"/>
    <s v="Jodee"/>
    <x v="0"/>
    <d v="1993-07-02T00:00:00"/>
    <s v="31-41"/>
    <n v="31"/>
    <x v="0"/>
    <n v="4"/>
    <s v="Sun, Thu, Tue, Wed"/>
    <n v="1"/>
    <n v="0"/>
    <n v="1"/>
    <n v="1"/>
    <n v="1"/>
    <n v="0"/>
    <n v="0"/>
    <b v="0"/>
    <m/>
    <d v="1899-12-30T11:54:00"/>
    <d v="1899-12-30T13:52:00"/>
    <n v="118"/>
    <b v="0"/>
    <m/>
  </r>
  <r>
    <n v="309"/>
    <s v="Virge"/>
    <x v="1"/>
    <d v="1995-06-28T00:00:00"/>
    <s v="20-30"/>
    <n v="29"/>
    <x v="1"/>
    <n v="3"/>
    <s v="Fri, Sun, Wed"/>
    <n v="1"/>
    <n v="0"/>
    <n v="0"/>
    <n v="1"/>
    <n v="0"/>
    <n v="1"/>
    <n v="0"/>
    <b v="0"/>
    <m/>
    <d v="1899-12-30T15:05:00"/>
    <d v="1899-12-30T17:57:00"/>
    <n v="172"/>
    <b v="1"/>
    <s v="Mike"/>
  </r>
  <r>
    <n v="310"/>
    <s v="Jeremias"/>
    <x v="1"/>
    <d v="1990-02-08T00:00:00"/>
    <s v="31-41"/>
    <n v="34"/>
    <x v="1"/>
    <n v="2"/>
    <s v="Mon, Sat"/>
    <n v="0"/>
    <n v="1"/>
    <n v="0"/>
    <n v="0"/>
    <n v="0"/>
    <n v="0"/>
    <n v="1"/>
    <b v="1"/>
    <s v="BodyPump, Pilates"/>
    <d v="1899-12-30T19:18:00"/>
    <d v="1899-12-30T20:56:00"/>
    <n v="98"/>
    <b v="1"/>
    <s v="Chantal"/>
  </r>
  <r>
    <n v="311"/>
    <s v="Christabella"/>
    <x v="0"/>
    <d v="1980-07-20T00:00:00"/>
    <s v="41-50"/>
    <n v="44"/>
    <x v="1"/>
    <n v="1"/>
    <s v="Mon"/>
    <n v="0"/>
    <n v="1"/>
    <n v="0"/>
    <n v="0"/>
    <n v="0"/>
    <n v="0"/>
    <n v="0"/>
    <b v="0"/>
    <m/>
    <d v="1899-12-30T17:41:00"/>
    <d v="1899-12-30T19:59:00"/>
    <n v="138"/>
    <b v="1"/>
    <s v="Chantal"/>
  </r>
  <r>
    <n v="312"/>
    <s v="Taite"/>
    <x v="1"/>
    <d v="2002-06-03T00:00:00"/>
    <s v="20-30"/>
    <n v="22"/>
    <x v="0"/>
    <n v="5"/>
    <s v="Fri, Mon, Sat, Thu, Tue"/>
    <n v="0"/>
    <n v="1"/>
    <n v="1"/>
    <n v="0"/>
    <n v="1"/>
    <n v="1"/>
    <n v="1"/>
    <b v="1"/>
    <s v="LesMiles"/>
    <d v="1899-12-30T17:41:00"/>
    <d v="1899-12-30T19:25:00"/>
    <n v="104"/>
    <b v="0"/>
    <m/>
  </r>
  <r>
    <n v="313"/>
    <s v="Freemon"/>
    <x v="1"/>
    <d v="1975-12-28T00:00:00"/>
    <s v="41-50"/>
    <n v="48"/>
    <x v="1"/>
    <n v="1"/>
    <s v="Wed"/>
    <n v="0"/>
    <n v="0"/>
    <n v="0"/>
    <n v="1"/>
    <n v="0"/>
    <n v="0"/>
    <n v="0"/>
    <b v="1"/>
    <s v="BodyPump, BodyBalance"/>
    <d v="1899-12-30T19:29:00"/>
    <d v="1899-12-30T20:20:00"/>
    <n v="51"/>
    <b v="0"/>
    <m/>
  </r>
  <r>
    <n v="314"/>
    <s v="Worden"/>
    <x v="1"/>
    <d v="1988-03-06T00:00:00"/>
    <s v="31-41"/>
    <n v="36"/>
    <x v="1"/>
    <n v="1"/>
    <s v="Thu"/>
    <n v="0"/>
    <n v="0"/>
    <n v="0"/>
    <n v="0"/>
    <n v="1"/>
    <n v="0"/>
    <n v="0"/>
    <b v="0"/>
    <m/>
    <d v="1899-12-30T19:20:00"/>
    <d v="1899-12-30T20:36:00"/>
    <n v="76"/>
    <b v="0"/>
    <m/>
  </r>
  <r>
    <n v="315"/>
    <s v="Dante"/>
    <x v="1"/>
    <d v="2008-02-29T00:00:00"/>
    <s v="below 20"/>
    <n v="16"/>
    <x v="0"/>
    <n v="1"/>
    <s v="Sat"/>
    <n v="0"/>
    <n v="0"/>
    <n v="0"/>
    <n v="0"/>
    <n v="0"/>
    <n v="0"/>
    <n v="1"/>
    <b v="1"/>
    <s v="XCore"/>
    <d v="1899-12-30T08:38:00"/>
    <d v="1899-12-30T10:27:00"/>
    <n v="109"/>
    <b v="1"/>
    <s v="Mike"/>
  </r>
  <r>
    <n v="316"/>
    <s v="Eric"/>
    <x v="1"/>
    <d v="2009-12-28T00:00:00"/>
    <s v="below 20"/>
    <n v="14"/>
    <x v="1"/>
    <n v="3"/>
    <s v="Mon, Sun, Wed"/>
    <n v="1"/>
    <n v="1"/>
    <n v="0"/>
    <n v="1"/>
    <n v="0"/>
    <n v="0"/>
    <n v="0"/>
    <b v="0"/>
    <m/>
    <d v="1899-12-30T20:52:00"/>
    <d v="1899-12-30T21:29:00"/>
    <n v="37"/>
    <b v="1"/>
    <s v="Chantal"/>
  </r>
  <r>
    <n v="317"/>
    <s v="Willie"/>
    <x v="1"/>
    <d v="1988-09-27T00:00:00"/>
    <s v="31-41"/>
    <n v="36"/>
    <x v="0"/>
    <n v="3"/>
    <s v="Fri, Mon, Thu"/>
    <n v="0"/>
    <n v="1"/>
    <n v="0"/>
    <n v="0"/>
    <n v="1"/>
    <n v="1"/>
    <n v="0"/>
    <b v="0"/>
    <m/>
    <d v="1899-12-30T11:06:00"/>
    <d v="1899-12-30T13:10:00"/>
    <n v="124"/>
    <b v="1"/>
    <s v="Chantal"/>
  </r>
  <r>
    <n v="318"/>
    <s v="Curran"/>
    <x v="1"/>
    <d v="1984-05-18T00:00:00"/>
    <s v="31-41"/>
    <n v="40"/>
    <x v="0"/>
    <n v="2"/>
    <s v="Fri, Sat"/>
    <n v="0"/>
    <n v="0"/>
    <n v="0"/>
    <n v="0"/>
    <n v="0"/>
    <n v="1"/>
    <n v="1"/>
    <b v="0"/>
    <m/>
    <d v="1899-12-30T11:37:00"/>
    <d v="1899-12-30T13:16:00"/>
    <n v="99"/>
    <b v="1"/>
    <s v="Chantal"/>
  </r>
  <r>
    <n v="319"/>
    <s v="Dexter"/>
    <x v="1"/>
    <d v="1992-06-01T00:00:00"/>
    <s v="31-41"/>
    <n v="32"/>
    <x v="0"/>
    <n v="3"/>
    <s v="Fri, Mon, Sun"/>
    <n v="1"/>
    <n v="1"/>
    <n v="0"/>
    <n v="0"/>
    <n v="0"/>
    <n v="1"/>
    <n v="0"/>
    <b v="0"/>
    <m/>
    <d v="1899-12-30T10:38:00"/>
    <d v="1899-12-30T13:28:00"/>
    <n v="170"/>
    <b v="0"/>
    <m/>
  </r>
  <r>
    <n v="320"/>
    <s v="Lavinia"/>
    <x v="0"/>
    <d v="2012-01-23T00:00:00"/>
    <s v="below 20"/>
    <n v="12"/>
    <x v="1"/>
    <n v="5"/>
    <s v="Mon, Sun, Thu, Tue, Wed"/>
    <n v="1"/>
    <n v="1"/>
    <n v="1"/>
    <n v="1"/>
    <n v="1"/>
    <n v="0"/>
    <n v="0"/>
    <b v="1"/>
    <s v="HIT, LesMiles, Pilates"/>
    <d v="1899-12-30T09:36:00"/>
    <d v="1899-12-30T12:06:00"/>
    <n v="150"/>
    <b v="1"/>
    <s v="Chantal"/>
  </r>
  <r>
    <n v="321"/>
    <s v="Ernesto"/>
    <x v="1"/>
    <d v="1998-04-22T00:00:00"/>
    <s v="20-30"/>
    <n v="26"/>
    <x v="0"/>
    <n v="3"/>
    <s v="Fri, Sun, Tue"/>
    <n v="1"/>
    <n v="0"/>
    <n v="1"/>
    <n v="0"/>
    <n v="0"/>
    <n v="1"/>
    <n v="0"/>
    <b v="0"/>
    <m/>
    <d v="1899-12-30T14:11:00"/>
    <d v="1899-12-30T16:33:00"/>
    <n v="142"/>
    <b v="0"/>
    <m/>
  </r>
  <r>
    <n v="322"/>
    <s v="Marcus"/>
    <x v="1"/>
    <d v="2000-11-03T00:00:00"/>
    <s v="20-30"/>
    <n v="23"/>
    <x v="1"/>
    <n v="2"/>
    <s v="Sun, Thu"/>
    <n v="1"/>
    <n v="0"/>
    <n v="0"/>
    <n v="0"/>
    <n v="1"/>
    <n v="0"/>
    <n v="0"/>
    <b v="0"/>
    <m/>
    <d v="1899-12-30T20:18:00"/>
    <d v="1899-12-30T21:26:00"/>
    <n v="68"/>
    <b v="1"/>
    <s v="Chantal"/>
  </r>
  <r>
    <n v="323"/>
    <s v="Benjamin"/>
    <x v="1"/>
    <d v="1998-06-19T00:00:00"/>
    <s v="20-30"/>
    <n v="26"/>
    <x v="0"/>
    <n v="5"/>
    <s v="Mon, Sat, Sun, Thu, Wed"/>
    <n v="1"/>
    <n v="1"/>
    <n v="0"/>
    <n v="1"/>
    <n v="1"/>
    <n v="0"/>
    <n v="1"/>
    <b v="1"/>
    <s v="Running, Kickboxen, XCore"/>
    <d v="1899-12-30T17:11:00"/>
    <d v="1899-12-30T17:44:00"/>
    <n v="33"/>
    <b v="1"/>
    <s v="Chantal"/>
  </r>
  <r>
    <n v="324"/>
    <s v="Belicia"/>
    <x v="0"/>
    <d v="1994-07-14T00:00:00"/>
    <s v="20-30"/>
    <n v="30"/>
    <x v="1"/>
    <n v="3"/>
    <s v="Sun, Thu, Tue"/>
    <n v="1"/>
    <n v="0"/>
    <n v="1"/>
    <n v="0"/>
    <n v="1"/>
    <n v="0"/>
    <n v="0"/>
    <b v="1"/>
    <s v="Pilates"/>
    <d v="1899-12-30T19:16:00"/>
    <d v="1899-12-30T22:03:00"/>
    <n v="167"/>
    <b v="1"/>
    <s v="Chantal"/>
  </r>
  <r>
    <n v="325"/>
    <s v="Quinton"/>
    <x v="1"/>
    <d v="1995-02-19T00:00:00"/>
    <s v="20-30"/>
    <n v="29"/>
    <x v="1"/>
    <n v="3"/>
    <s v="Sat, Sun, Wed"/>
    <n v="1"/>
    <n v="0"/>
    <n v="0"/>
    <n v="1"/>
    <n v="0"/>
    <n v="0"/>
    <n v="1"/>
    <b v="0"/>
    <m/>
    <d v="1899-12-30T10:34:00"/>
    <d v="1899-12-30T12:01:00"/>
    <n v="87"/>
    <b v="0"/>
    <m/>
  </r>
  <r>
    <n v="326"/>
    <s v="Corette"/>
    <x v="0"/>
    <d v="1977-07-03T00:00:00"/>
    <s v="41-50"/>
    <n v="47"/>
    <x v="1"/>
    <n v="3"/>
    <s v="Thu, Tue, Wed"/>
    <n v="0"/>
    <n v="0"/>
    <n v="1"/>
    <n v="1"/>
    <n v="1"/>
    <n v="0"/>
    <n v="0"/>
    <b v="0"/>
    <m/>
    <d v="1899-12-30T18:24:00"/>
    <d v="1899-12-30T19:40:00"/>
    <n v="76"/>
    <b v="0"/>
    <m/>
  </r>
  <r>
    <n v="327"/>
    <s v="Noel"/>
    <x v="0"/>
    <d v="2011-09-21T00:00:00"/>
    <s v="below 20"/>
    <n v="13"/>
    <x v="1"/>
    <n v="3"/>
    <s v="Fri, Mon, Wed"/>
    <n v="0"/>
    <n v="1"/>
    <n v="0"/>
    <n v="1"/>
    <n v="0"/>
    <n v="1"/>
    <n v="0"/>
    <b v="0"/>
    <m/>
    <d v="1899-12-30T14:01:00"/>
    <d v="1899-12-30T16:47:00"/>
    <n v="166"/>
    <b v="0"/>
    <m/>
  </r>
  <r>
    <n v="328"/>
    <s v="Lexine"/>
    <x v="0"/>
    <d v="2002-09-30T00:00:00"/>
    <s v="20-30"/>
    <n v="22"/>
    <x v="1"/>
    <n v="5"/>
    <s v="Mon, Sat, Thu, Tue, Wed"/>
    <n v="0"/>
    <n v="1"/>
    <n v="1"/>
    <n v="1"/>
    <n v="1"/>
    <n v="0"/>
    <n v="1"/>
    <b v="0"/>
    <m/>
    <d v="1899-12-30T13:52:00"/>
    <d v="1899-12-30T15:35:00"/>
    <n v="103"/>
    <b v="0"/>
    <m/>
  </r>
  <r>
    <n v="329"/>
    <s v="Davy"/>
    <x v="1"/>
    <d v="1991-06-30T00:00:00"/>
    <s v="31-41"/>
    <n v="33"/>
    <x v="0"/>
    <n v="4"/>
    <s v="Mon, Sat, Sun, Wed"/>
    <n v="1"/>
    <n v="1"/>
    <n v="0"/>
    <n v="1"/>
    <n v="0"/>
    <n v="0"/>
    <n v="1"/>
    <b v="1"/>
    <s v="Running, BodyBalance"/>
    <d v="1899-12-30T09:15:00"/>
    <d v="1899-12-30T10:16:00"/>
    <n v="61"/>
    <b v="0"/>
    <m/>
  </r>
  <r>
    <n v="330"/>
    <s v="Elisabet"/>
    <x v="0"/>
    <d v="1997-08-13T00:00:00"/>
    <s v="20-30"/>
    <n v="27"/>
    <x v="1"/>
    <n v="2"/>
    <s v="Mon, Sat"/>
    <n v="0"/>
    <n v="1"/>
    <n v="0"/>
    <n v="0"/>
    <n v="0"/>
    <n v="0"/>
    <n v="1"/>
    <b v="0"/>
    <m/>
    <d v="1899-12-30T11:43:00"/>
    <d v="1899-12-30T12:53:00"/>
    <n v="70"/>
    <b v="0"/>
    <m/>
  </r>
  <r>
    <n v="331"/>
    <s v="Jeannette"/>
    <x v="0"/>
    <d v="1989-08-06T00:00:00"/>
    <s v="31-41"/>
    <n v="35"/>
    <x v="0"/>
    <n v="2"/>
    <s v="Fri, Wed"/>
    <n v="0"/>
    <n v="0"/>
    <n v="0"/>
    <n v="1"/>
    <n v="0"/>
    <n v="1"/>
    <n v="0"/>
    <b v="1"/>
    <s v="Kickboxen, XCore"/>
    <d v="1899-12-30T16:36:00"/>
    <d v="1899-12-30T17:06:00"/>
    <n v="30"/>
    <b v="0"/>
    <m/>
  </r>
  <r>
    <n v="332"/>
    <s v="Corey"/>
    <x v="0"/>
    <d v="2003-02-22T00:00:00"/>
    <s v="20-30"/>
    <n v="21"/>
    <x v="0"/>
    <n v="3"/>
    <s v="Fri, Mon, Sat"/>
    <n v="0"/>
    <n v="1"/>
    <n v="0"/>
    <n v="0"/>
    <n v="0"/>
    <n v="1"/>
    <n v="1"/>
    <b v="1"/>
    <s v="XCore"/>
    <d v="1899-12-30T20:22:00"/>
    <d v="1899-12-30T21:10:00"/>
    <n v="48"/>
    <b v="0"/>
    <m/>
  </r>
  <r>
    <n v="333"/>
    <s v="Derwin"/>
    <x v="1"/>
    <d v="1984-06-13T00:00:00"/>
    <s v="31-41"/>
    <n v="40"/>
    <x v="0"/>
    <n v="3"/>
    <s v="Mon, Sat, Thu"/>
    <n v="0"/>
    <n v="1"/>
    <n v="0"/>
    <n v="0"/>
    <n v="1"/>
    <n v="0"/>
    <n v="1"/>
    <b v="0"/>
    <m/>
    <d v="1899-12-30T11:18:00"/>
    <d v="1899-12-30T12:13:00"/>
    <n v="55"/>
    <b v="1"/>
    <s v="Hanna"/>
  </r>
  <r>
    <n v="334"/>
    <s v="Keelby"/>
    <x v="1"/>
    <d v="2009-07-02T00:00:00"/>
    <s v="below 20"/>
    <n v="15"/>
    <x v="1"/>
    <n v="3"/>
    <s v="Sat, Thu, Wed"/>
    <n v="0"/>
    <n v="0"/>
    <n v="0"/>
    <n v="1"/>
    <n v="1"/>
    <n v="0"/>
    <n v="1"/>
    <b v="0"/>
    <m/>
    <d v="1899-12-30T17:29:00"/>
    <d v="1899-12-30T18:26:00"/>
    <n v="57"/>
    <b v="0"/>
    <m/>
  </r>
  <r>
    <n v="335"/>
    <s v="Ladonna"/>
    <x v="0"/>
    <d v="2000-11-21T00:00:00"/>
    <s v="20-30"/>
    <n v="23"/>
    <x v="0"/>
    <n v="3"/>
    <s v="Mon, Sat, Thu"/>
    <n v="0"/>
    <n v="1"/>
    <n v="0"/>
    <n v="0"/>
    <n v="1"/>
    <n v="0"/>
    <n v="1"/>
    <b v="0"/>
    <m/>
    <d v="1899-12-30T13:42:00"/>
    <d v="1899-12-30T15:11:00"/>
    <n v="89"/>
    <b v="0"/>
    <m/>
  </r>
  <r>
    <n v="336"/>
    <s v="Malanie"/>
    <x v="0"/>
    <d v="1975-03-02T00:00:00"/>
    <s v="41-50"/>
    <n v="49"/>
    <x v="1"/>
    <n v="1"/>
    <s v="Fri"/>
    <n v="0"/>
    <n v="0"/>
    <n v="0"/>
    <n v="0"/>
    <n v="0"/>
    <n v="1"/>
    <n v="0"/>
    <b v="1"/>
    <s v="Running, BodyBalance, Spinning"/>
    <d v="1899-12-30T10:40:00"/>
    <d v="1899-12-30T12:01:00"/>
    <n v="81"/>
    <b v="1"/>
    <s v="Chantal"/>
  </r>
  <r>
    <n v="337"/>
    <s v="Norris"/>
    <x v="1"/>
    <d v="1982-04-13T00:00:00"/>
    <s v="41-50"/>
    <n v="42"/>
    <x v="0"/>
    <n v="2"/>
    <s v="Sun, Thu"/>
    <n v="1"/>
    <n v="0"/>
    <n v="0"/>
    <n v="0"/>
    <n v="1"/>
    <n v="0"/>
    <n v="0"/>
    <b v="0"/>
    <m/>
    <d v="1899-12-30T18:22:00"/>
    <d v="1899-12-30T21:02:00"/>
    <n v="160"/>
    <b v="1"/>
    <s v="Chantal"/>
  </r>
  <r>
    <n v="338"/>
    <s v="Jarib"/>
    <x v="1"/>
    <d v="1997-10-04T00:00:00"/>
    <s v="20-30"/>
    <n v="26"/>
    <x v="0"/>
    <n v="3"/>
    <s v="Mon, Sun, Wed"/>
    <n v="1"/>
    <n v="1"/>
    <n v="0"/>
    <n v="1"/>
    <n v="0"/>
    <n v="0"/>
    <n v="0"/>
    <b v="1"/>
    <s v="Zumba"/>
    <d v="1899-12-30T10:06:00"/>
    <d v="1899-12-30T11:54:00"/>
    <n v="108"/>
    <b v="0"/>
    <m/>
  </r>
  <r>
    <n v="339"/>
    <s v="Brenda"/>
    <x v="0"/>
    <d v="1983-09-04T00:00:00"/>
    <s v="41-50"/>
    <n v="41"/>
    <x v="1"/>
    <n v="3"/>
    <s v="Mon, Sat, Thu"/>
    <n v="0"/>
    <n v="1"/>
    <n v="0"/>
    <n v="0"/>
    <n v="1"/>
    <n v="0"/>
    <n v="1"/>
    <b v="1"/>
    <s v="XCore"/>
    <d v="1899-12-30T15:40:00"/>
    <d v="1899-12-30T17:32:00"/>
    <n v="112"/>
    <b v="1"/>
    <s v="Chantal"/>
  </r>
  <r>
    <n v="340"/>
    <s v="Sanderson"/>
    <x v="1"/>
    <d v="2002-03-22T00:00:00"/>
    <s v="20-30"/>
    <n v="22"/>
    <x v="0"/>
    <n v="3"/>
    <s v="Mon, Sat, Tue"/>
    <n v="0"/>
    <n v="1"/>
    <n v="1"/>
    <n v="0"/>
    <n v="0"/>
    <n v="0"/>
    <n v="1"/>
    <b v="1"/>
    <s v="HIT, Kickboxen, Zumba"/>
    <d v="1899-12-30T18:51:00"/>
    <d v="1899-12-30T20:52:00"/>
    <n v="121"/>
    <b v="1"/>
    <s v="Jeffrey"/>
  </r>
  <r>
    <n v="341"/>
    <s v="Rita"/>
    <x v="0"/>
    <d v="1988-05-16T00:00:00"/>
    <s v="31-41"/>
    <n v="36"/>
    <x v="1"/>
    <n v="4"/>
    <s v="Mon, Sat, Thu, Wed"/>
    <n v="0"/>
    <n v="1"/>
    <n v="0"/>
    <n v="1"/>
    <n v="1"/>
    <n v="0"/>
    <n v="1"/>
    <b v="0"/>
    <m/>
    <d v="1899-12-30T14:02:00"/>
    <d v="1899-12-30T16:11:00"/>
    <n v="129"/>
    <b v="0"/>
    <m/>
  </r>
  <r>
    <n v="342"/>
    <s v="Orren"/>
    <x v="1"/>
    <d v="1998-08-11T00:00:00"/>
    <s v="20-30"/>
    <n v="26"/>
    <x v="1"/>
    <n v="5"/>
    <s v="Fri, Sat, Sun, Thu, Tue"/>
    <n v="1"/>
    <n v="0"/>
    <n v="1"/>
    <n v="0"/>
    <n v="1"/>
    <n v="1"/>
    <n v="1"/>
    <b v="1"/>
    <s v="HIT, Pilates"/>
    <d v="1899-12-30T17:57:00"/>
    <d v="1899-12-30T20:25:00"/>
    <n v="148"/>
    <b v="1"/>
    <s v="Jeffrey"/>
  </r>
  <r>
    <n v="343"/>
    <s v="Andreana"/>
    <x v="0"/>
    <d v="2005-10-07T00:00:00"/>
    <s v="below 20"/>
    <n v="18"/>
    <x v="0"/>
    <n v="5"/>
    <s v="Fri, Sat, Sun, Thu, Wed"/>
    <n v="1"/>
    <n v="0"/>
    <n v="0"/>
    <n v="1"/>
    <n v="1"/>
    <n v="1"/>
    <n v="1"/>
    <b v="1"/>
    <s v="Running, Pilates, XCore"/>
    <d v="1899-12-30T09:53:00"/>
    <d v="1899-12-30T11:14:00"/>
    <n v="81"/>
    <b v="1"/>
    <s v="Mike"/>
  </r>
  <r>
    <n v="344"/>
    <s v="Janela"/>
    <x v="0"/>
    <d v="1986-10-10T00:00:00"/>
    <s v="31-41"/>
    <n v="37"/>
    <x v="1"/>
    <n v="4"/>
    <s v="Mon, Sat, Sun, Wed"/>
    <n v="1"/>
    <n v="1"/>
    <n v="0"/>
    <n v="1"/>
    <n v="0"/>
    <n v="0"/>
    <n v="1"/>
    <b v="1"/>
    <s v="HIT"/>
    <d v="1899-12-30T12:50:00"/>
    <d v="1899-12-30T15:36:00"/>
    <n v="166"/>
    <b v="0"/>
    <m/>
  </r>
  <r>
    <n v="345"/>
    <s v="Wes"/>
    <x v="1"/>
    <d v="1985-08-18T00:00:00"/>
    <s v="31-41"/>
    <n v="39"/>
    <x v="1"/>
    <n v="2"/>
    <s v="Mon, Sun"/>
    <n v="1"/>
    <n v="1"/>
    <n v="0"/>
    <n v="0"/>
    <n v="0"/>
    <n v="0"/>
    <n v="0"/>
    <b v="0"/>
    <m/>
    <d v="1899-12-30T14:30:00"/>
    <d v="1899-12-30T17:29:00"/>
    <n v="179"/>
    <b v="1"/>
    <s v="Mike"/>
  </r>
  <r>
    <n v="346"/>
    <s v="Domeniga"/>
    <x v="0"/>
    <d v="1981-07-18T00:00:00"/>
    <s v="41-50"/>
    <n v="43"/>
    <x v="0"/>
    <n v="3"/>
    <s v="Fri, Tue, Wed"/>
    <n v="0"/>
    <n v="0"/>
    <n v="1"/>
    <n v="1"/>
    <n v="0"/>
    <n v="1"/>
    <n v="0"/>
    <b v="1"/>
    <s v="Kickboxen"/>
    <d v="1899-12-30T12:17:00"/>
    <d v="1899-12-30T14:35:00"/>
    <n v="138"/>
    <b v="0"/>
    <m/>
  </r>
  <r>
    <n v="347"/>
    <s v="Valentine"/>
    <x v="0"/>
    <d v="1985-10-08T00:00:00"/>
    <s v="31-41"/>
    <n v="38"/>
    <x v="1"/>
    <n v="3"/>
    <s v="Thu, Tue, Wed"/>
    <n v="0"/>
    <n v="0"/>
    <n v="1"/>
    <n v="1"/>
    <n v="1"/>
    <n v="0"/>
    <n v="0"/>
    <b v="0"/>
    <m/>
    <d v="1899-12-30T16:51:00"/>
    <d v="1899-12-30T18:05:00"/>
    <n v="74"/>
    <b v="0"/>
    <m/>
  </r>
  <r>
    <n v="348"/>
    <s v="Karim"/>
    <x v="1"/>
    <d v="2003-07-02T00:00:00"/>
    <s v="20-30"/>
    <n v="21"/>
    <x v="1"/>
    <n v="3"/>
    <s v="Sun, Tue, Wed"/>
    <n v="1"/>
    <n v="0"/>
    <n v="1"/>
    <n v="1"/>
    <n v="0"/>
    <n v="0"/>
    <n v="0"/>
    <b v="0"/>
    <m/>
    <d v="1899-12-30T12:59:00"/>
    <d v="1899-12-30T14:01:00"/>
    <n v="62"/>
    <b v="0"/>
    <m/>
  </r>
  <r>
    <n v="349"/>
    <s v="Sheryl"/>
    <x v="0"/>
    <d v="1985-06-18T00:00:00"/>
    <s v="31-41"/>
    <n v="39"/>
    <x v="1"/>
    <n v="2"/>
    <s v="Fri, Tue"/>
    <n v="0"/>
    <n v="0"/>
    <n v="1"/>
    <n v="0"/>
    <n v="0"/>
    <n v="1"/>
    <n v="0"/>
    <b v="0"/>
    <m/>
    <d v="1899-12-30T12:53:00"/>
    <d v="1899-12-30T15:12:00"/>
    <n v="139"/>
    <b v="1"/>
    <s v="Jeffrey"/>
  </r>
  <r>
    <n v="350"/>
    <s v="Joelie"/>
    <x v="0"/>
    <d v="1988-11-21T00:00:00"/>
    <s v="31-41"/>
    <n v="35"/>
    <x v="1"/>
    <n v="2"/>
    <s v="Tue, Wed"/>
    <n v="0"/>
    <n v="0"/>
    <n v="1"/>
    <n v="1"/>
    <n v="0"/>
    <n v="0"/>
    <n v="0"/>
    <b v="1"/>
    <s v="Pilates, BodyBalance"/>
    <d v="1899-12-30T16:20:00"/>
    <d v="1899-12-30T17:42:00"/>
    <n v="82"/>
    <b v="1"/>
    <s v="Jeffrey"/>
  </r>
  <r>
    <n v="351"/>
    <s v="Jerri"/>
    <x v="1"/>
    <d v="1988-10-30T00:00:00"/>
    <s v="31-41"/>
    <n v="35"/>
    <x v="1"/>
    <n v="1"/>
    <s v="Mon"/>
    <n v="0"/>
    <n v="1"/>
    <n v="0"/>
    <n v="0"/>
    <n v="0"/>
    <n v="0"/>
    <n v="0"/>
    <b v="1"/>
    <s v="BodyBalance, Zumba"/>
    <d v="1899-12-30T19:27:00"/>
    <d v="1899-12-30T20:34:00"/>
    <n v="67"/>
    <b v="0"/>
    <m/>
  </r>
  <r>
    <n v="352"/>
    <s v="Rici"/>
    <x v="0"/>
    <d v="1993-03-02T00:00:00"/>
    <s v="31-41"/>
    <n v="31"/>
    <x v="1"/>
    <n v="1"/>
    <s v="Sun"/>
    <n v="1"/>
    <n v="0"/>
    <n v="0"/>
    <n v="0"/>
    <n v="0"/>
    <n v="0"/>
    <n v="0"/>
    <b v="1"/>
    <s v="Spinning, LesMiles"/>
    <d v="1899-12-30T09:42:00"/>
    <d v="1899-12-30T11:25:00"/>
    <n v="103"/>
    <b v="0"/>
    <m/>
  </r>
  <r>
    <n v="353"/>
    <s v="Constanta"/>
    <x v="0"/>
    <d v="2009-05-31T00:00:00"/>
    <s v="below 20"/>
    <n v="15"/>
    <x v="0"/>
    <n v="2"/>
    <s v="Mon, Sat"/>
    <n v="0"/>
    <n v="1"/>
    <n v="0"/>
    <n v="0"/>
    <n v="0"/>
    <n v="0"/>
    <n v="1"/>
    <b v="0"/>
    <m/>
    <d v="1899-12-30T13:37:00"/>
    <d v="1899-12-30T15:14:00"/>
    <n v="97"/>
    <b v="1"/>
    <s v="Mike"/>
  </r>
  <r>
    <n v="354"/>
    <s v="Shoshanna"/>
    <x v="0"/>
    <d v="1980-06-05T00:00:00"/>
    <s v="41-50"/>
    <n v="44"/>
    <x v="0"/>
    <n v="2"/>
    <s v="Sun, Tue"/>
    <n v="1"/>
    <n v="0"/>
    <n v="1"/>
    <n v="0"/>
    <n v="0"/>
    <n v="0"/>
    <n v="0"/>
    <b v="1"/>
    <s v="BodyBalance, BodyPump"/>
    <d v="1899-12-30T17:13:00"/>
    <d v="1899-12-30T17:46:00"/>
    <n v="33"/>
    <b v="0"/>
    <m/>
  </r>
  <r>
    <n v="355"/>
    <s v="Reed"/>
    <x v="1"/>
    <d v="1987-02-13T00:00:00"/>
    <s v="31-41"/>
    <n v="37"/>
    <x v="1"/>
    <n v="1"/>
    <s v="Sat"/>
    <n v="0"/>
    <n v="0"/>
    <n v="0"/>
    <n v="0"/>
    <n v="0"/>
    <n v="0"/>
    <n v="1"/>
    <b v="1"/>
    <s v="BodyBalance, Zumba, HIT"/>
    <d v="1899-12-30T16:45:00"/>
    <d v="1899-12-30T17:20:00"/>
    <n v="35"/>
    <b v="0"/>
    <m/>
  </r>
  <r>
    <n v="356"/>
    <s v="Alejandro"/>
    <x v="1"/>
    <d v="1992-05-13T00:00:00"/>
    <s v="31-41"/>
    <n v="32"/>
    <x v="1"/>
    <n v="1"/>
    <s v="Tue"/>
    <n v="0"/>
    <n v="0"/>
    <n v="1"/>
    <n v="0"/>
    <n v="0"/>
    <n v="0"/>
    <n v="0"/>
    <b v="1"/>
    <s v="Pilates, Spinning, Zumba"/>
    <d v="1899-12-30T18:44:00"/>
    <d v="1899-12-30T20:44:00"/>
    <n v="120"/>
    <b v="0"/>
    <m/>
  </r>
  <r>
    <n v="357"/>
    <s v="Dominga"/>
    <x v="0"/>
    <d v="2007-09-16T00:00:00"/>
    <s v="below 20"/>
    <n v="17"/>
    <x v="1"/>
    <n v="2"/>
    <s v="Fri, Thu"/>
    <n v="0"/>
    <n v="0"/>
    <n v="0"/>
    <n v="0"/>
    <n v="1"/>
    <n v="1"/>
    <n v="0"/>
    <b v="1"/>
    <s v="LesMiles, Kickboxen"/>
    <d v="1899-12-30T20:55:00"/>
    <d v="1899-12-30T21:25:00"/>
    <n v="30"/>
    <b v="0"/>
    <m/>
  </r>
  <r>
    <n v="358"/>
    <s v="Carla"/>
    <x v="0"/>
    <d v="1987-07-27T00:00:00"/>
    <s v="31-41"/>
    <n v="37"/>
    <x v="1"/>
    <n v="1"/>
    <s v="Wed"/>
    <n v="0"/>
    <n v="0"/>
    <n v="0"/>
    <n v="1"/>
    <n v="0"/>
    <n v="0"/>
    <n v="0"/>
    <b v="1"/>
    <s v="XCore, Zumba, BodyPump"/>
    <d v="1899-12-30T18:06:00"/>
    <d v="1899-12-30T21:05:00"/>
    <n v="179"/>
    <b v="0"/>
    <m/>
  </r>
  <r>
    <n v="359"/>
    <s v="Alikee"/>
    <x v="0"/>
    <d v="1999-02-05T00:00:00"/>
    <s v="20-30"/>
    <n v="25"/>
    <x v="1"/>
    <n v="3"/>
    <s v="Mon, Sat, Sun"/>
    <n v="1"/>
    <n v="1"/>
    <n v="0"/>
    <n v="0"/>
    <n v="0"/>
    <n v="0"/>
    <n v="1"/>
    <b v="0"/>
    <m/>
    <d v="1899-12-30T15:21:00"/>
    <d v="1899-12-30T16:30:00"/>
    <n v="69"/>
    <b v="1"/>
    <s v="Hanna"/>
  </r>
  <r>
    <n v="360"/>
    <s v="Wini"/>
    <x v="0"/>
    <d v="1992-05-02T00:00:00"/>
    <s v="31-41"/>
    <n v="32"/>
    <x v="1"/>
    <n v="2"/>
    <s v="Mon, Thu"/>
    <n v="0"/>
    <n v="1"/>
    <n v="0"/>
    <n v="0"/>
    <n v="1"/>
    <n v="0"/>
    <n v="0"/>
    <b v="1"/>
    <s v="LesMiles"/>
    <d v="1899-12-30T17:04:00"/>
    <d v="1899-12-30T18:13:00"/>
    <n v="69"/>
    <b v="1"/>
    <s v="Jeffrey"/>
  </r>
  <r>
    <n v="361"/>
    <s v="Leilah"/>
    <x v="0"/>
    <d v="1980-05-14T00:00:00"/>
    <s v="41-50"/>
    <n v="44"/>
    <x v="1"/>
    <n v="5"/>
    <s v="Fri, Mon, Sun, Thu, Tue"/>
    <n v="1"/>
    <n v="1"/>
    <n v="1"/>
    <n v="0"/>
    <n v="1"/>
    <n v="1"/>
    <n v="0"/>
    <b v="1"/>
    <s v="Running"/>
    <d v="1899-12-30T20:04:00"/>
    <d v="1899-12-30T21:57:00"/>
    <n v="113"/>
    <b v="1"/>
    <s v="Mike"/>
  </r>
  <r>
    <n v="362"/>
    <s v="Melli"/>
    <x v="0"/>
    <d v="1987-06-28T00:00:00"/>
    <s v="31-41"/>
    <n v="37"/>
    <x v="0"/>
    <n v="4"/>
    <s v="Sat, Thu, Tue, Wed"/>
    <n v="0"/>
    <n v="0"/>
    <n v="1"/>
    <n v="1"/>
    <n v="1"/>
    <n v="0"/>
    <n v="1"/>
    <b v="1"/>
    <s v="Pilates, HIT, Spinning"/>
    <d v="1899-12-30T11:51:00"/>
    <d v="1899-12-30T13:09:00"/>
    <n v="78"/>
    <b v="0"/>
    <m/>
  </r>
  <r>
    <n v="363"/>
    <s v="Nikki"/>
    <x v="1"/>
    <d v="2007-02-25T00:00:00"/>
    <s v="below 20"/>
    <n v="17"/>
    <x v="1"/>
    <n v="1"/>
    <s v="Sat"/>
    <n v="0"/>
    <n v="0"/>
    <n v="0"/>
    <n v="0"/>
    <n v="0"/>
    <n v="0"/>
    <n v="1"/>
    <b v="1"/>
    <s v="Running"/>
    <d v="1899-12-30T12:17:00"/>
    <d v="1899-12-30T13:56:00"/>
    <n v="99"/>
    <b v="1"/>
    <s v="Chantal"/>
  </r>
  <r>
    <n v="364"/>
    <s v="Thea"/>
    <x v="0"/>
    <d v="1990-06-27T00:00:00"/>
    <s v="31-41"/>
    <n v="34"/>
    <x v="1"/>
    <n v="3"/>
    <s v="Mon, Thu, Wed"/>
    <n v="0"/>
    <n v="1"/>
    <n v="0"/>
    <n v="1"/>
    <n v="1"/>
    <n v="0"/>
    <n v="0"/>
    <b v="1"/>
    <s v="Spinning"/>
    <d v="1899-12-30T10:47:00"/>
    <d v="1899-12-30T11:21:00"/>
    <n v="34"/>
    <b v="1"/>
    <s v="Chantal"/>
  </r>
  <r>
    <n v="365"/>
    <s v="Shannon"/>
    <x v="0"/>
    <d v="2003-09-24T00:00:00"/>
    <s v="20-30"/>
    <n v="21"/>
    <x v="0"/>
    <n v="2"/>
    <s v="Fri, Sun"/>
    <n v="1"/>
    <n v="0"/>
    <n v="0"/>
    <n v="0"/>
    <n v="0"/>
    <n v="1"/>
    <n v="0"/>
    <b v="1"/>
    <s v="Kickboxen, Zumba"/>
    <d v="1899-12-30T18:40:00"/>
    <d v="1899-12-30T21:31:00"/>
    <n v="171"/>
    <b v="1"/>
    <s v="Hanna"/>
  </r>
  <r>
    <n v="366"/>
    <s v="Nicolais"/>
    <x v="1"/>
    <d v="1980-06-04T00:00:00"/>
    <s v="41-50"/>
    <n v="44"/>
    <x v="1"/>
    <n v="3"/>
    <s v="Mon, Sun, Wed"/>
    <n v="1"/>
    <n v="1"/>
    <n v="0"/>
    <n v="1"/>
    <n v="0"/>
    <n v="0"/>
    <n v="0"/>
    <b v="0"/>
    <m/>
    <d v="1899-12-30T10:31:00"/>
    <d v="1899-12-30T12:58:00"/>
    <n v="147"/>
    <b v="1"/>
    <s v="Chantal"/>
  </r>
  <r>
    <n v="367"/>
    <s v="Cissy"/>
    <x v="0"/>
    <d v="1996-02-26T00:00:00"/>
    <s v="20-30"/>
    <n v="28"/>
    <x v="1"/>
    <n v="2"/>
    <s v="Fri, Sat"/>
    <n v="0"/>
    <n v="0"/>
    <n v="0"/>
    <n v="0"/>
    <n v="0"/>
    <n v="1"/>
    <n v="1"/>
    <b v="1"/>
    <s v="XCore, Zumba, Running"/>
    <d v="1899-12-30T20:22:00"/>
    <d v="1899-12-30T21:04:00"/>
    <n v="42"/>
    <b v="0"/>
    <m/>
  </r>
  <r>
    <n v="368"/>
    <s v="Luca"/>
    <x v="1"/>
    <d v="2001-07-09T00:00:00"/>
    <s v="20-30"/>
    <n v="23"/>
    <x v="0"/>
    <n v="1"/>
    <s v="Tue"/>
    <n v="0"/>
    <n v="0"/>
    <n v="1"/>
    <n v="0"/>
    <n v="0"/>
    <n v="0"/>
    <n v="0"/>
    <b v="1"/>
    <s v="BodyBalance, Yoga, XCore"/>
    <d v="1899-12-30T20:41:00"/>
    <d v="1899-12-30T22:32:00"/>
    <n v="111"/>
    <b v="1"/>
    <s v="Chantal"/>
  </r>
  <r>
    <n v="369"/>
    <s v="Hadrian"/>
    <x v="1"/>
    <d v="1995-05-09T00:00:00"/>
    <s v="20-30"/>
    <n v="29"/>
    <x v="0"/>
    <n v="1"/>
    <s v="Mon"/>
    <n v="0"/>
    <n v="1"/>
    <n v="0"/>
    <n v="0"/>
    <n v="0"/>
    <n v="0"/>
    <n v="0"/>
    <b v="1"/>
    <s v="HIT, Running, Yoga"/>
    <d v="1899-12-30T17:22:00"/>
    <d v="1899-12-30T20:11:00"/>
    <n v="169"/>
    <b v="1"/>
    <s v="Jeffrey"/>
  </r>
  <r>
    <n v="370"/>
    <s v="Maryellen"/>
    <x v="0"/>
    <d v="1996-01-05T00:00:00"/>
    <s v="20-30"/>
    <n v="28"/>
    <x v="0"/>
    <n v="1"/>
    <s v="Fri"/>
    <n v="0"/>
    <n v="0"/>
    <n v="0"/>
    <n v="0"/>
    <n v="0"/>
    <n v="1"/>
    <n v="0"/>
    <b v="1"/>
    <s v="Spinning, Yoga, Kickboxen"/>
    <d v="1899-12-30T13:08:00"/>
    <d v="1899-12-30T15:56:00"/>
    <n v="168"/>
    <b v="1"/>
    <s v="Hanna"/>
  </r>
  <r>
    <n v="371"/>
    <s v="Bil"/>
    <x v="1"/>
    <d v="2003-05-25T00:00:00"/>
    <s v="20-30"/>
    <n v="21"/>
    <x v="0"/>
    <n v="2"/>
    <s v="Sat, Thu"/>
    <n v="0"/>
    <n v="0"/>
    <n v="0"/>
    <n v="0"/>
    <n v="1"/>
    <n v="0"/>
    <n v="1"/>
    <b v="0"/>
    <m/>
    <d v="1899-12-30T20:10:00"/>
    <d v="1899-12-30T21:42:00"/>
    <n v="92"/>
    <b v="0"/>
    <m/>
  </r>
  <r>
    <n v="372"/>
    <s v="Ilyse"/>
    <x v="0"/>
    <d v="1978-10-10T00:00:00"/>
    <s v="41-50"/>
    <n v="45"/>
    <x v="0"/>
    <n v="5"/>
    <s v="Fri, Mon, Sat, Thu, Wed"/>
    <n v="0"/>
    <n v="1"/>
    <n v="0"/>
    <n v="1"/>
    <n v="1"/>
    <n v="1"/>
    <n v="1"/>
    <b v="1"/>
    <s v="Running, Zumba"/>
    <d v="1899-12-30T11:18:00"/>
    <d v="1899-12-30T11:49:00"/>
    <n v="31"/>
    <b v="1"/>
    <s v="Jeffrey"/>
  </r>
  <r>
    <n v="373"/>
    <s v="Agatha"/>
    <x v="0"/>
    <d v="1991-08-26T00:00:00"/>
    <s v="31-41"/>
    <n v="33"/>
    <x v="0"/>
    <n v="2"/>
    <s v="Fri, Tue"/>
    <n v="0"/>
    <n v="0"/>
    <n v="1"/>
    <n v="0"/>
    <n v="0"/>
    <n v="1"/>
    <n v="0"/>
    <b v="1"/>
    <s v="BodyBalance"/>
    <d v="1899-12-30T08:52:00"/>
    <d v="1899-12-30T11:42:00"/>
    <n v="170"/>
    <b v="0"/>
    <m/>
  </r>
  <r>
    <n v="374"/>
    <s v="Portia"/>
    <x v="0"/>
    <d v="1984-12-16T00:00:00"/>
    <s v="31-41"/>
    <n v="39"/>
    <x v="0"/>
    <n v="2"/>
    <s v="Sat, Wed"/>
    <n v="0"/>
    <n v="0"/>
    <n v="0"/>
    <n v="1"/>
    <n v="0"/>
    <n v="0"/>
    <n v="1"/>
    <b v="1"/>
    <s v="HIT"/>
    <d v="1899-12-30T17:43:00"/>
    <d v="1899-12-30T18:13:00"/>
    <n v="30"/>
    <b v="1"/>
    <s v="Chantal"/>
  </r>
  <r>
    <n v="375"/>
    <s v="Kelley"/>
    <x v="1"/>
    <d v="1998-12-14T00:00:00"/>
    <s v="20-30"/>
    <n v="25"/>
    <x v="0"/>
    <n v="2"/>
    <s v="Mon, Sun"/>
    <n v="1"/>
    <n v="1"/>
    <n v="0"/>
    <n v="0"/>
    <n v="0"/>
    <n v="0"/>
    <n v="0"/>
    <b v="0"/>
    <m/>
    <d v="1899-12-30T16:54:00"/>
    <d v="1899-12-30T18:36:00"/>
    <n v="102"/>
    <b v="1"/>
    <s v="Mike"/>
  </r>
  <r>
    <n v="376"/>
    <s v="Beryle"/>
    <x v="0"/>
    <d v="1995-07-29T00:00:00"/>
    <s v="20-30"/>
    <n v="29"/>
    <x v="0"/>
    <n v="3"/>
    <s v="Sat, Sun, Thu"/>
    <n v="1"/>
    <n v="0"/>
    <n v="0"/>
    <n v="0"/>
    <n v="1"/>
    <n v="0"/>
    <n v="1"/>
    <b v="1"/>
    <s v="BodyPump"/>
    <d v="1899-12-30T20:16:00"/>
    <d v="1899-12-30T22:05:00"/>
    <n v="109"/>
    <b v="0"/>
    <m/>
  </r>
  <r>
    <n v="377"/>
    <s v="Parke"/>
    <x v="1"/>
    <d v="1990-10-13T00:00:00"/>
    <s v="31-41"/>
    <n v="33"/>
    <x v="0"/>
    <n v="3"/>
    <s v="Fri, Mon, Wed"/>
    <n v="0"/>
    <n v="1"/>
    <n v="0"/>
    <n v="1"/>
    <n v="0"/>
    <n v="1"/>
    <n v="0"/>
    <b v="0"/>
    <m/>
    <d v="1899-12-30T14:36:00"/>
    <d v="1899-12-30T17:18:00"/>
    <n v="162"/>
    <b v="1"/>
    <s v="Mike"/>
  </r>
  <r>
    <n v="378"/>
    <s v="Colan"/>
    <x v="1"/>
    <d v="1984-08-22T00:00:00"/>
    <s v="31-41"/>
    <n v="40"/>
    <x v="0"/>
    <n v="2"/>
    <s v="Sat, Thu"/>
    <n v="0"/>
    <n v="0"/>
    <n v="0"/>
    <n v="0"/>
    <n v="1"/>
    <n v="0"/>
    <n v="1"/>
    <b v="1"/>
    <s v="Running, Pilates"/>
    <d v="1899-12-30T18:52:00"/>
    <d v="1899-12-30T20:54:00"/>
    <n v="122"/>
    <b v="0"/>
    <m/>
  </r>
  <r>
    <n v="379"/>
    <s v="Alexina"/>
    <x v="0"/>
    <d v="2010-03-07T00:00:00"/>
    <s v="below 20"/>
    <n v="14"/>
    <x v="0"/>
    <n v="3"/>
    <s v="Thu, Tue, Wed"/>
    <n v="0"/>
    <n v="0"/>
    <n v="1"/>
    <n v="1"/>
    <n v="1"/>
    <n v="0"/>
    <n v="0"/>
    <b v="0"/>
    <m/>
    <d v="1899-12-30T08:29:00"/>
    <d v="1899-12-30T09:11:00"/>
    <n v="42"/>
    <b v="0"/>
    <m/>
  </r>
  <r>
    <n v="380"/>
    <s v="Vasilis"/>
    <x v="1"/>
    <d v="1981-06-02T00:00:00"/>
    <s v="41-50"/>
    <n v="43"/>
    <x v="1"/>
    <n v="1"/>
    <s v="Mon"/>
    <n v="0"/>
    <n v="1"/>
    <n v="0"/>
    <n v="0"/>
    <n v="0"/>
    <n v="0"/>
    <n v="0"/>
    <b v="0"/>
    <m/>
    <d v="1899-12-30T19:38:00"/>
    <d v="1899-12-30T22:32:00"/>
    <n v="174"/>
    <b v="0"/>
    <m/>
  </r>
  <r>
    <n v="381"/>
    <s v="Ronald"/>
    <x v="1"/>
    <d v="1998-07-25T00:00:00"/>
    <s v="20-30"/>
    <n v="26"/>
    <x v="0"/>
    <n v="5"/>
    <s v="Fri, Mon, Sat, Sun, Tue"/>
    <n v="1"/>
    <n v="1"/>
    <n v="1"/>
    <n v="0"/>
    <n v="0"/>
    <n v="1"/>
    <n v="1"/>
    <b v="0"/>
    <m/>
    <d v="1899-12-30T18:01:00"/>
    <d v="1899-12-30T18:46:00"/>
    <n v="45"/>
    <b v="0"/>
    <m/>
  </r>
  <r>
    <n v="382"/>
    <s v="Hagen"/>
    <x v="1"/>
    <d v="1978-12-06T00:00:00"/>
    <s v="41-50"/>
    <n v="45"/>
    <x v="0"/>
    <n v="2"/>
    <s v="Sat, Wed"/>
    <n v="0"/>
    <n v="0"/>
    <n v="0"/>
    <n v="1"/>
    <n v="0"/>
    <n v="0"/>
    <n v="1"/>
    <b v="1"/>
    <s v="HIT"/>
    <d v="1899-12-30T14:20:00"/>
    <d v="1899-12-30T15:52:00"/>
    <n v="92"/>
    <b v="1"/>
    <s v="Hanna"/>
  </r>
  <r>
    <n v="383"/>
    <s v="Marje"/>
    <x v="0"/>
    <d v="1998-08-28T00:00:00"/>
    <s v="20-30"/>
    <n v="26"/>
    <x v="1"/>
    <n v="2"/>
    <s v="Sat, Wed"/>
    <n v="0"/>
    <n v="0"/>
    <n v="0"/>
    <n v="1"/>
    <n v="0"/>
    <n v="0"/>
    <n v="1"/>
    <b v="0"/>
    <m/>
    <d v="1899-12-30T20:26:00"/>
    <d v="1899-12-30T22:10:00"/>
    <n v="104"/>
    <b v="1"/>
    <s v="Chantal"/>
  </r>
  <r>
    <n v="384"/>
    <s v="Priscilla"/>
    <x v="0"/>
    <d v="1998-06-12T00:00:00"/>
    <s v="20-30"/>
    <n v="26"/>
    <x v="0"/>
    <n v="3"/>
    <s v="Mon, Sun, Thu"/>
    <n v="1"/>
    <n v="1"/>
    <n v="0"/>
    <n v="0"/>
    <n v="1"/>
    <n v="0"/>
    <n v="0"/>
    <b v="1"/>
    <s v="BodyBalance, Spinning, HIT"/>
    <d v="1899-12-30T17:35:00"/>
    <d v="1899-12-30T18:32:00"/>
    <n v="57"/>
    <b v="0"/>
    <m/>
  </r>
  <r>
    <n v="385"/>
    <s v="Maiga"/>
    <x v="0"/>
    <d v="2008-01-12T00:00:00"/>
    <s v="below 20"/>
    <n v="16"/>
    <x v="0"/>
    <n v="3"/>
    <s v="Mon, Sat, Wed"/>
    <n v="0"/>
    <n v="1"/>
    <n v="0"/>
    <n v="1"/>
    <n v="0"/>
    <n v="0"/>
    <n v="1"/>
    <b v="1"/>
    <s v="LesMiles, HIT"/>
    <d v="1899-12-30T12:45:00"/>
    <d v="1899-12-30T14:31:00"/>
    <n v="106"/>
    <b v="1"/>
    <s v="Hanna"/>
  </r>
  <r>
    <n v="386"/>
    <s v="Joel"/>
    <x v="1"/>
    <d v="1975-06-09T00:00:00"/>
    <s v="41-50"/>
    <n v="49"/>
    <x v="0"/>
    <n v="1"/>
    <s v="Tue"/>
    <n v="0"/>
    <n v="0"/>
    <n v="1"/>
    <n v="0"/>
    <n v="0"/>
    <n v="0"/>
    <n v="0"/>
    <b v="1"/>
    <s v="Kickboxen, Zumba, Yoga"/>
    <d v="1899-12-30T13:06:00"/>
    <d v="1899-12-30T13:57:00"/>
    <n v="51"/>
    <b v="1"/>
    <s v="Hanna"/>
  </r>
  <r>
    <n v="387"/>
    <s v="Woody"/>
    <x v="1"/>
    <d v="1998-09-03T00:00:00"/>
    <s v="20-30"/>
    <n v="26"/>
    <x v="0"/>
    <n v="2"/>
    <s v="Fri, Tue"/>
    <n v="0"/>
    <n v="0"/>
    <n v="1"/>
    <n v="0"/>
    <n v="0"/>
    <n v="1"/>
    <n v="0"/>
    <b v="1"/>
    <s v="XCore, Yoga"/>
    <d v="1899-12-30T19:08:00"/>
    <d v="1899-12-30T21:26:00"/>
    <n v="138"/>
    <b v="1"/>
    <s v="Jeffrey"/>
  </r>
  <r>
    <n v="388"/>
    <s v="Ave"/>
    <x v="1"/>
    <d v="2005-03-17T00:00:00"/>
    <s v="below 20"/>
    <n v="19"/>
    <x v="1"/>
    <n v="2"/>
    <s v="Fri, Sat"/>
    <n v="0"/>
    <n v="0"/>
    <n v="0"/>
    <n v="0"/>
    <n v="0"/>
    <n v="1"/>
    <n v="1"/>
    <b v="1"/>
    <s v="LesMiles, BodyPump, Spinning"/>
    <d v="1899-12-30T20:23:00"/>
    <d v="1899-12-30T21:28:00"/>
    <n v="65"/>
    <b v="1"/>
    <s v="Jeffrey"/>
  </r>
  <r>
    <n v="389"/>
    <s v="Zola"/>
    <x v="0"/>
    <d v="1990-06-11T00:00:00"/>
    <s v="31-41"/>
    <n v="34"/>
    <x v="0"/>
    <n v="1"/>
    <s v="Sat"/>
    <n v="0"/>
    <n v="0"/>
    <n v="0"/>
    <n v="0"/>
    <n v="0"/>
    <n v="0"/>
    <n v="1"/>
    <b v="1"/>
    <s v="Spinning, Pilates"/>
    <d v="1899-12-30T17:57:00"/>
    <d v="1899-12-30T18:59:00"/>
    <n v="62"/>
    <b v="1"/>
    <s v="Chantal"/>
  </r>
  <r>
    <n v="390"/>
    <s v="Devi"/>
    <x v="0"/>
    <d v="2012-09-12T00:00:00"/>
    <s v="below 20"/>
    <n v="12"/>
    <x v="1"/>
    <n v="3"/>
    <s v="Fri, Thu, Wed"/>
    <n v="0"/>
    <n v="0"/>
    <n v="0"/>
    <n v="1"/>
    <n v="1"/>
    <n v="1"/>
    <n v="0"/>
    <b v="0"/>
    <m/>
    <d v="1899-12-30T08:59:00"/>
    <d v="1899-12-30T09:37:00"/>
    <n v="38"/>
    <b v="1"/>
    <s v="Hanna"/>
  </r>
  <r>
    <n v="391"/>
    <s v="Cordelie"/>
    <x v="0"/>
    <d v="1998-02-06T00:00:00"/>
    <s v="20-30"/>
    <n v="26"/>
    <x v="1"/>
    <n v="5"/>
    <s v="Fri, Mon, Sat, Sun, Tue"/>
    <n v="1"/>
    <n v="1"/>
    <n v="1"/>
    <n v="0"/>
    <n v="0"/>
    <n v="1"/>
    <n v="1"/>
    <b v="0"/>
    <m/>
    <d v="1899-12-30T13:34:00"/>
    <d v="1899-12-30T15:46:00"/>
    <n v="132"/>
    <b v="0"/>
    <m/>
  </r>
  <r>
    <n v="392"/>
    <s v="Dreddy"/>
    <x v="0"/>
    <d v="1985-05-18T00:00:00"/>
    <s v="31-41"/>
    <n v="39"/>
    <x v="1"/>
    <n v="2"/>
    <s v="Mon, Thu"/>
    <n v="0"/>
    <n v="1"/>
    <n v="0"/>
    <n v="0"/>
    <n v="1"/>
    <n v="0"/>
    <n v="0"/>
    <b v="1"/>
    <s v="Spinning"/>
    <d v="1899-12-30T08:25:00"/>
    <d v="1899-12-30T10:44:00"/>
    <n v="139"/>
    <b v="1"/>
    <s v="Jeffrey"/>
  </r>
  <r>
    <n v="393"/>
    <s v="Lenna"/>
    <x v="0"/>
    <d v="1983-08-28T00:00:00"/>
    <s v="41-50"/>
    <n v="41"/>
    <x v="1"/>
    <n v="4"/>
    <s v="Sat, Sun, Thu, Wed"/>
    <n v="1"/>
    <n v="0"/>
    <n v="0"/>
    <n v="1"/>
    <n v="1"/>
    <n v="0"/>
    <n v="1"/>
    <b v="1"/>
    <s v="XCore, Spinning, Yoga"/>
    <d v="1899-12-30T10:09:00"/>
    <d v="1899-12-30T12:30:00"/>
    <n v="141"/>
    <b v="0"/>
    <m/>
  </r>
  <r>
    <n v="394"/>
    <s v="Taffy"/>
    <x v="0"/>
    <d v="2007-05-14T00:00:00"/>
    <s v="below 20"/>
    <n v="17"/>
    <x v="0"/>
    <n v="2"/>
    <s v="Sat, Sun"/>
    <n v="1"/>
    <n v="0"/>
    <n v="0"/>
    <n v="0"/>
    <n v="0"/>
    <n v="0"/>
    <n v="1"/>
    <b v="0"/>
    <m/>
    <d v="1899-12-30T09:30:00"/>
    <d v="1899-12-30T11:39:00"/>
    <n v="129"/>
    <b v="1"/>
    <s v="Hanna"/>
  </r>
  <r>
    <n v="395"/>
    <s v="Shelly"/>
    <x v="0"/>
    <d v="1995-10-27T00:00:00"/>
    <s v="20-30"/>
    <n v="28"/>
    <x v="1"/>
    <n v="3"/>
    <s v="Sat, Thu, Tue"/>
    <n v="0"/>
    <n v="0"/>
    <n v="1"/>
    <n v="0"/>
    <n v="1"/>
    <n v="0"/>
    <n v="1"/>
    <b v="0"/>
    <m/>
    <d v="1899-12-30T19:59:00"/>
    <d v="1899-12-30T20:59:00"/>
    <n v="60"/>
    <b v="1"/>
    <s v="Chantal"/>
  </r>
  <r>
    <n v="396"/>
    <s v="Yetta"/>
    <x v="0"/>
    <d v="1986-11-13T00:00:00"/>
    <s v="31-41"/>
    <n v="37"/>
    <x v="0"/>
    <n v="3"/>
    <s v="Sat, Thu, Tue"/>
    <n v="0"/>
    <n v="0"/>
    <n v="1"/>
    <n v="0"/>
    <n v="1"/>
    <n v="0"/>
    <n v="1"/>
    <b v="0"/>
    <m/>
    <d v="1899-12-30T13:08:00"/>
    <d v="1899-12-30T14:14:00"/>
    <n v="66"/>
    <b v="0"/>
    <m/>
  </r>
  <r>
    <n v="397"/>
    <s v="Hetti"/>
    <x v="0"/>
    <d v="1991-06-18T00:00:00"/>
    <s v="31-41"/>
    <n v="33"/>
    <x v="1"/>
    <n v="3"/>
    <s v="Mon, Sat, Tue"/>
    <n v="0"/>
    <n v="1"/>
    <n v="1"/>
    <n v="0"/>
    <n v="0"/>
    <n v="0"/>
    <n v="1"/>
    <b v="0"/>
    <m/>
    <d v="1899-12-30T08:47:00"/>
    <d v="1899-12-30T10:05:00"/>
    <n v="78"/>
    <b v="0"/>
    <m/>
  </r>
  <r>
    <n v="398"/>
    <s v="Edna"/>
    <x v="0"/>
    <d v="1979-06-28T00:00:00"/>
    <s v="41-50"/>
    <n v="45"/>
    <x v="0"/>
    <n v="2"/>
    <s v="Sun, Thu"/>
    <n v="1"/>
    <n v="0"/>
    <n v="0"/>
    <n v="0"/>
    <n v="1"/>
    <n v="0"/>
    <n v="0"/>
    <b v="1"/>
    <s v="LesMiles"/>
    <d v="1899-12-30T10:37:00"/>
    <d v="1899-12-30T11:52:00"/>
    <n v="75"/>
    <b v="1"/>
    <s v="Hanna"/>
  </r>
  <r>
    <n v="399"/>
    <s v="Rafferty"/>
    <x v="1"/>
    <d v="2007-03-09T00:00:00"/>
    <s v="below 20"/>
    <n v="17"/>
    <x v="0"/>
    <n v="2"/>
    <s v="Sat, Sun"/>
    <n v="1"/>
    <n v="0"/>
    <n v="0"/>
    <n v="0"/>
    <n v="0"/>
    <n v="0"/>
    <n v="1"/>
    <b v="0"/>
    <m/>
    <d v="1899-12-30T08:38:00"/>
    <d v="1899-12-30T09:57:00"/>
    <n v="79"/>
    <b v="1"/>
    <s v="Mike"/>
  </r>
  <r>
    <n v="400"/>
    <s v="Logan"/>
    <x v="1"/>
    <d v="1994-11-14T00:00:00"/>
    <s v="20-30"/>
    <n v="29"/>
    <x v="1"/>
    <n v="3"/>
    <s v="Fri, Sat, Thu"/>
    <n v="0"/>
    <n v="0"/>
    <n v="0"/>
    <n v="0"/>
    <n v="1"/>
    <n v="1"/>
    <n v="1"/>
    <b v="1"/>
    <s v="Kickboxen, XCore, Zumba"/>
    <d v="1899-12-30T13:02:00"/>
    <d v="1899-12-30T15:10:00"/>
    <n v="128"/>
    <b v="0"/>
    <m/>
  </r>
  <r>
    <n v="401"/>
    <s v="Evy"/>
    <x v="0"/>
    <d v="2004-10-11T00:00:00"/>
    <s v="below 20"/>
    <n v="19"/>
    <x v="0"/>
    <n v="1"/>
    <s v="Fri"/>
    <n v="0"/>
    <n v="0"/>
    <n v="0"/>
    <n v="0"/>
    <n v="0"/>
    <n v="1"/>
    <n v="0"/>
    <b v="0"/>
    <m/>
    <d v="1899-12-30T17:52:00"/>
    <d v="1899-12-30T18:35:00"/>
    <n v="43"/>
    <b v="1"/>
    <s v="Hanna"/>
  </r>
  <r>
    <n v="402"/>
    <s v="Ashly"/>
    <x v="0"/>
    <d v="2007-06-21T00:00:00"/>
    <s v="below 20"/>
    <n v="17"/>
    <x v="0"/>
    <n v="2"/>
    <s v="Sun, Thu"/>
    <n v="1"/>
    <n v="0"/>
    <n v="0"/>
    <n v="0"/>
    <n v="1"/>
    <n v="0"/>
    <n v="0"/>
    <b v="1"/>
    <s v="LesMiles, Zumba, HIT"/>
    <d v="1899-12-30T16:58:00"/>
    <d v="1899-12-30T18:11:00"/>
    <n v="73"/>
    <b v="0"/>
    <m/>
  </r>
  <r>
    <n v="403"/>
    <s v="Nelie"/>
    <x v="0"/>
    <d v="2007-12-04T00:00:00"/>
    <s v="below 20"/>
    <n v="16"/>
    <x v="0"/>
    <n v="3"/>
    <s v="Fri, Thu, Tue"/>
    <n v="0"/>
    <n v="0"/>
    <n v="1"/>
    <n v="0"/>
    <n v="1"/>
    <n v="1"/>
    <n v="0"/>
    <b v="0"/>
    <m/>
    <d v="1899-12-30T15:15:00"/>
    <d v="1899-12-30T16:13:00"/>
    <n v="58"/>
    <b v="1"/>
    <s v="Chantal"/>
  </r>
  <r>
    <n v="404"/>
    <s v="Ronna"/>
    <x v="0"/>
    <d v="2009-08-09T00:00:00"/>
    <s v="below 20"/>
    <n v="15"/>
    <x v="0"/>
    <n v="3"/>
    <s v="Sat, Sun, Tue"/>
    <n v="1"/>
    <n v="0"/>
    <n v="1"/>
    <n v="0"/>
    <n v="0"/>
    <n v="0"/>
    <n v="1"/>
    <b v="1"/>
    <s v="Kickboxen, XCore"/>
    <d v="1899-12-30T11:02:00"/>
    <d v="1899-12-30T11:44:00"/>
    <n v="42"/>
    <b v="1"/>
    <s v="Chantal"/>
  </r>
  <r>
    <n v="405"/>
    <s v="Eldredge"/>
    <x v="1"/>
    <d v="1997-04-05T00:00:00"/>
    <s v="20-30"/>
    <n v="27"/>
    <x v="0"/>
    <n v="2"/>
    <s v="Fri, Mon"/>
    <n v="0"/>
    <n v="1"/>
    <n v="0"/>
    <n v="0"/>
    <n v="0"/>
    <n v="1"/>
    <n v="0"/>
    <b v="1"/>
    <s v="LesMiles, Yoga"/>
    <d v="1899-12-30T16:35:00"/>
    <d v="1899-12-30T19:02:00"/>
    <n v="147"/>
    <b v="1"/>
    <s v="Jeffrey"/>
  </r>
  <r>
    <n v="406"/>
    <s v="Leela"/>
    <x v="0"/>
    <d v="1998-06-11T00:00:00"/>
    <s v="20-30"/>
    <n v="26"/>
    <x v="1"/>
    <n v="4"/>
    <s v="Fri, Mon, Thu, Wed"/>
    <n v="0"/>
    <n v="1"/>
    <n v="0"/>
    <n v="1"/>
    <n v="1"/>
    <n v="1"/>
    <n v="0"/>
    <b v="1"/>
    <s v="Pilates, Kickboxen"/>
    <d v="1899-12-30T13:03:00"/>
    <d v="1899-12-30T14:01:00"/>
    <n v="58"/>
    <b v="1"/>
    <s v="Chantal"/>
  </r>
  <r>
    <n v="407"/>
    <s v="Oralie"/>
    <x v="0"/>
    <d v="2002-09-28T00:00:00"/>
    <s v="20-30"/>
    <n v="22"/>
    <x v="1"/>
    <n v="3"/>
    <s v="Fri, Sat, Wed"/>
    <n v="0"/>
    <n v="0"/>
    <n v="0"/>
    <n v="1"/>
    <n v="0"/>
    <n v="1"/>
    <n v="1"/>
    <b v="1"/>
    <s v="LesMiles, HIT"/>
    <d v="1899-12-30T17:29:00"/>
    <d v="1899-12-30T19:20:00"/>
    <n v="111"/>
    <b v="0"/>
    <m/>
  </r>
  <r>
    <n v="408"/>
    <s v="Alejandro"/>
    <x v="1"/>
    <d v="2001-12-23T00:00:00"/>
    <s v="20-30"/>
    <n v="22"/>
    <x v="0"/>
    <n v="1"/>
    <s v="Sun"/>
    <n v="1"/>
    <n v="0"/>
    <n v="0"/>
    <n v="0"/>
    <n v="0"/>
    <n v="0"/>
    <n v="0"/>
    <b v="0"/>
    <m/>
    <d v="1899-12-30T11:31:00"/>
    <d v="1899-12-30T12:37:00"/>
    <n v="66"/>
    <b v="1"/>
    <s v="Chantal"/>
  </r>
  <r>
    <n v="409"/>
    <s v="Cthrine"/>
    <x v="0"/>
    <d v="2004-12-19T00:00:00"/>
    <s v="below 20"/>
    <n v="19"/>
    <x v="1"/>
    <n v="3"/>
    <s v="Fri, Mon, Sat"/>
    <n v="0"/>
    <n v="1"/>
    <n v="0"/>
    <n v="0"/>
    <n v="0"/>
    <n v="1"/>
    <n v="1"/>
    <b v="0"/>
    <m/>
    <d v="1899-12-30T18:07:00"/>
    <d v="1899-12-30T20:08:00"/>
    <n v="121"/>
    <b v="1"/>
    <s v="Jeffrey"/>
  </r>
  <r>
    <n v="410"/>
    <s v="Zedekiah"/>
    <x v="1"/>
    <d v="1979-04-01T00:00:00"/>
    <s v="41-50"/>
    <n v="45"/>
    <x v="0"/>
    <n v="3"/>
    <s v="Thu, Tue, Wed"/>
    <n v="0"/>
    <n v="0"/>
    <n v="1"/>
    <n v="1"/>
    <n v="1"/>
    <n v="0"/>
    <n v="0"/>
    <b v="0"/>
    <m/>
    <d v="1899-12-30T11:20:00"/>
    <d v="1899-12-30T12:10:00"/>
    <n v="50"/>
    <b v="1"/>
    <s v="Mike"/>
  </r>
  <r>
    <n v="411"/>
    <s v="Aeriell"/>
    <x v="0"/>
    <d v="1980-08-27T00:00:00"/>
    <s v="41-50"/>
    <n v="44"/>
    <x v="1"/>
    <n v="2"/>
    <s v="Mon, Sat"/>
    <n v="0"/>
    <n v="1"/>
    <n v="0"/>
    <n v="0"/>
    <n v="0"/>
    <n v="0"/>
    <n v="1"/>
    <b v="0"/>
    <m/>
    <d v="1899-12-30T11:53:00"/>
    <d v="1899-12-30T14:46:00"/>
    <n v="173"/>
    <b v="0"/>
    <m/>
  </r>
  <r>
    <n v="412"/>
    <s v="Adolph"/>
    <x v="1"/>
    <d v="1984-12-09T00:00:00"/>
    <s v="31-41"/>
    <n v="39"/>
    <x v="1"/>
    <n v="2"/>
    <s v="Sun, Thu"/>
    <n v="1"/>
    <n v="0"/>
    <n v="0"/>
    <n v="0"/>
    <n v="1"/>
    <n v="0"/>
    <n v="0"/>
    <b v="1"/>
    <s v="LesMiles, Pilates"/>
    <d v="1899-12-30T19:02:00"/>
    <d v="1899-12-30T19:40:00"/>
    <n v="38"/>
    <b v="1"/>
    <s v="Chantal"/>
  </r>
  <r>
    <n v="413"/>
    <s v="Myrwyn"/>
    <x v="1"/>
    <d v="1993-10-26T00:00:00"/>
    <s v="20-30"/>
    <n v="30"/>
    <x v="0"/>
    <n v="1"/>
    <s v="Fri"/>
    <n v="0"/>
    <n v="0"/>
    <n v="0"/>
    <n v="0"/>
    <n v="0"/>
    <n v="1"/>
    <n v="0"/>
    <b v="1"/>
    <s v="LesMiles, Running, HIT"/>
    <d v="1899-12-30T08:38:00"/>
    <d v="1899-12-30T11:05:00"/>
    <n v="147"/>
    <b v="1"/>
    <s v="Mike"/>
  </r>
  <r>
    <n v="414"/>
    <s v="Truda"/>
    <x v="0"/>
    <d v="1995-01-01T00:00:00"/>
    <s v="20-30"/>
    <n v="29"/>
    <x v="1"/>
    <n v="1"/>
    <s v="Wed"/>
    <n v="0"/>
    <n v="0"/>
    <n v="0"/>
    <n v="1"/>
    <n v="0"/>
    <n v="0"/>
    <n v="0"/>
    <b v="1"/>
    <s v="BodyPump, Running"/>
    <d v="1899-12-30T12:26:00"/>
    <d v="1899-12-30T14:19:00"/>
    <n v="113"/>
    <b v="0"/>
    <m/>
  </r>
  <r>
    <n v="415"/>
    <s v="Maiga"/>
    <x v="0"/>
    <d v="1994-12-26T00:00:00"/>
    <s v="20-30"/>
    <n v="29"/>
    <x v="0"/>
    <n v="1"/>
    <s v="Sun"/>
    <n v="1"/>
    <n v="0"/>
    <n v="0"/>
    <n v="0"/>
    <n v="0"/>
    <n v="0"/>
    <n v="0"/>
    <b v="0"/>
    <m/>
    <d v="1899-12-30T16:54:00"/>
    <d v="1899-12-30T18:37:00"/>
    <n v="103"/>
    <b v="1"/>
    <s v="Chantal"/>
  </r>
  <r>
    <n v="416"/>
    <s v="Olag"/>
    <x v="1"/>
    <d v="1988-01-12T00:00:00"/>
    <s v="31-41"/>
    <n v="36"/>
    <x v="0"/>
    <n v="3"/>
    <s v="Sat, Sun, Wed"/>
    <n v="1"/>
    <n v="0"/>
    <n v="0"/>
    <n v="1"/>
    <n v="0"/>
    <n v="0"/>
    <n v="1"/>
    <b v="1"/>
    <s v="LesMiles, BodyPump"/>
    <d v="1899-12-30T19:37:00"/>
    <d v="1899-12-30T20:44:00"/>
    <n v="67"/>
    <b v="0"/>
    <m/>
  </r>
  <r>
    <n v="417"/>
    <s v="Mab"/>
    <x v="0"/>
    <d v="2007-11-02T00:00:00"/>
    <s v="below 20"/>
    <n v="16"/>
    <x v="1"/>
    <n v="3"/>
    <s v="Fri, Sat, Thu"/>
    <n v="0"/>
    <n v="0"/>
    <n v="0"/>
    <n v="0"/>
    <n v="1"/>
    <n v="1"/>
    <n v="1"/>
    <b v="1"/>
    <s v="Kickboxen, Zumba"/>
    <d v="1899-12-30T14:53:00"/>
    <d v="1899-12-30T16:28:00"/>
    <n v="95"/>
    <b v="0"/>
    <m/>
  </r>
  <r>
    <n v="418"/>
    <s v="Stafani"/>
    <x v="0"/>
    <d v="1975-09-25T00:00:00"/>
    <s v="41-50"/>
    <n v="49"/>
    <x v="0"/>
    <n v="3"/>
    <s v="Fri, Tue, Wed"/>
    <n v="0"/>
    <n v="0"/>
    <n v="1"/>
    <n v="1"/>
    <n v="0"/>
    <n v="1"/>
    <n v="0"/>
    <b v="0"/>
    <m/>
    <d v="1899-12-30T19:37:00"/>
    <d v="1899-12-30T21:16:00"/>
    <n v="99"/>
    <b v="0"/>
    <m/>
  </r>
  <r>
    <n v="419"/>
    <s v="Janela"/>
    <x v="0"/>
    <d v="2004-11-26T00:00:00"/>
    <s v="below 20"/>
    <n v="19"/>
    <x v="0"/>
    <n v="3"/>
    <s v="Mon, Tue, Wed"/>
    <n v="0"/>
    <n v="1"/>
    <n v="1"/>
    <n v="1"/>
    <n v="0"/>
    <n v="0"/>
    <n v="0"/>
    <b v="1"/>
    <s v="Kickboxen"/>
    <d v="1899-12-30T10:33:00"/>
    <d v="1899-12-30T12:17:00"/>
    <n v="104"/>
    <b v="0"/>
    <m/>
  </r>
  <r>
    <n v="420"/>
    <s v="Durward"/>
    <x v="1"/>
    <d v="1978-02-27T00:00:00"/>
    <s v="41-50"/>
    <n v="46"/>
    <x v="0"/>
    <n v="2"/>
    <s v="Sat, Tue"/>
    <n v="0"/>
    <n v="0"/>
    <n v="1"/>
    <n v="0"/>
    <n v="0"/>
    <n v="0"/>
    <n v="1"/>
    <b v="0"/>
    <m/>
    <d v="1899-12-30T11:27:00"/>
    <d v="1899-12-30T14:08:00"/>
    <n v="161"/>
    <b v="1"/>
    <s v="Hanna"/>
  </r>
  <r>
    <n v="421"/>
    <s v="Caitlin"/>
    <x v="0"/>
    <d v="1998-01-09T00:00:00"/>
    <s v="20-30"/>
    <n v="26"/>
    <x v="1"/>
    <n v="3"/>
    <s v="Sun, Thu, Tue"/>
    <n v="1"/>
    <n v="0"/>
    <n v="1"/>
    <n v="0"/>
    <n v="1"/>
    <n v="0"/>
    <n v="0"/>
    <b v="0"/>
    <m/>
    <d v="1899-12-30T14:54:00"/>
    <d v="1899-12-30T16:47:00"/>
    <n v="113"/>
    <b v="1"/>
    <s v="Chantal"/>
  </r>
  <r>
    <n v="422"/>
    <s v="Jessalin"/>
    <x v="0"/>
    <d v="1990-05-21T00:00:00"/>
    <s v="31-41"/>
    <n v="34"/>
    <x v="1"/>
    <n v="4"/>
    <s v="Fri, Thu, Tue, Wed"/>
    <n v="0"/>
    <n v="0"/>
    <n v="1"/>
    <n v="1"/>
    <n v="1"/>
    <n v="1"/>
    <n v="0"/>
    <b v="0"/>
    <m/>
    <d v="1899-12-30T12:46:00"/>
    <d v="1899-12-30T14:56:00"/>
    <n v="130"/>
    <b v="0"/>
    <m/>
  </r>
  <r>
    <n v="423"/>
    <s v="Koren"/>
    <x v="0"/>
    <d v="1987-04-18T00:00:00"/>
    <s v="31-41"/>
    <n v="37"/>
    <x v="0"/>
    <n v="5"/>
    <s v="Fri, Mon, Thu, Tue, Wed"/>
    <n v="0"/>
    <n v="1"/>
    <n v="1"/>
    <n v="1"/>
    <n v="1"/>
    <n v="1"/>
    <n v="0"/>
    <b v="1"/>
    <s v="XCore, Pilates, Spinning"/>
    <d v="1899-12-30T18:48:00"/>
    <d v="1899-12-30T19:33:00"/>
    <n v="45"/>
    <b v="1"/>
    <s v="Chantal"/>
  </r>
  <r>
    <n v="424"/>
    <s v="Kimberlee"/>
    <x v="0"/>
    <d v="2002-04-02T00:00:00"/>
    <s v="20-30"/>
    <n v="22"/>
    <x v="0"/>
    <n v="1"/>
    <s v="Thu"/>
    <n v="0"/>
    <n v="0"/>
    <n v="0"/>
    <n v="0"/>
    <n v="1"/>
    <n v="0"/>
    <n v="0"/>
    <b v="1"/>
    <s v="Pilates"/>
    <d v="1899-12-30T12:27:00"/>
    <d v="1899-12-30T14:23:00"/>
    <n v="116"/>
    <b v="0"/>
    <m/>
  </r>
  <r>
    <n v="425"/>
    <s v="Rockwell"/>
    <x v="1"/>
    <d v="1983-05-03T00:00:00"/>
    <s v="41-50"/>
    <n v="41"/>
    <x v="0"/>
    <n v="5"/>
    <s v="Mon, Sat, Thu, Tue, Wed"/>
    <n v="0"/>
    <n v="1"/>
    <n v="1"/>
    <n v="1"/>
    <n v="1"/>
    <n v="0"/>
    <n v="1"/>
    <b v="0"/>
    <m/>
    <d v="1899-12-30T16:21:00"/>
    <d v="1899-12-30T18:28:00"/>
    <n v="127"/>
    <b v="1"/>
    <s v="Chantal"/>
  </r>
  <r>
    <n v="426"/>
    <s v="Cal"/>
    <x v="0"/>
    <d v="1985-07-09T00:00:00"/>
    <s v="31-41"/>
    <n v="39"/>
    <x v="0"/>
    <n v="2"/>
    <s v="Thu, Tue"/>
    <n v="0"/>
    <n v="0"/>
    <n v="1"/>
    <n v="0"/>
    <n v="1"/>
    <n v="0"/>
    <n v="0"/>
    <b v="0"/>
    <m/>
    <d v="1899-12-30T20:04:00"/>
    <d v="1899-12-30T21:56:00"/>
    <n v="112"/>
    <b v="0"/>
    <m/>
  </r>
  <r>
    <n v="427"/>
    <s v="Robers"/>
    <x v="1"/>
    <d v="2010-05-02T00:00:00"/>
    <s v="below 20"/>
    <n v="14"/>
    <x v="0"/>
    <n v="3"/>
    <s v="Sun, Thu, Wed"/>
    <n v="1"/>
    <n v="0"/>
    <n v="0"/>
    <n v="1"/>
    <n v="1"/>
    <n v="0"/>
    <n v="0"/>
    <b v="0"/>
    <m/>
    <d v="1899-12-30T16:05:00"/>
    <d v="1899-12-30T17:51:00"/>
    <n v="106"/>
    <b v="1"/>
    <s v="Mike"/>
  </r>
  <r>
    <n v="428"/>
    <s v="Ainslie"/>
    <x v="0"/>
    <d v="2008-07-22T00:00:00"/>
    <s v="below 20"/>
    <n v="16"/>
    <x v="1"/>
    <n v="3"/>
    <s v="Fri, Sat, Thu"/>
    <n v="0"/>
    <n v="0"/>
    <n v="0"/>
    <n v="0"/>
    <n v="1"/>
    <n v="1"/>
    <n v="1"/>
    <b v="1"/>
    <s v="Pilates"/>
    <d v="1899-12-30T14:06:00"/>
    <d v="1899-12-30T14:58:00"/>
    <n v="52"/>
    <b v="0"/>
    <m/>
  </r>
  <r>
    <n v="429"/>
    <s v="Basil"/>
    <x v="1"/>
    <d v="1993-04-19T00:00:00"/>
    <s v="31-41"/>
    <n v="31"/>
    <x v="1"/>
    <n v="2"/>
    <s v="Sun, Tue"/>
    <n v="1"/>
    <n v="0"/>
    <n v="1"/>
    <n v="0"/>
    <n v="0"/>
    <n v="0"/>
    <n v="0"/>
    <b v="1"/>
    <s v="Yoga"/>
    <d v="1899-12-30T17:57:00"/>
    <d v="1899-12-30T19:04:00"/>
    <n v="67"/>
    <b v="1"/>
    <s v="Jeffrey"/>
  </r>
  <r>
    <n v="430"/>
    <s v="Maryanna"/>
    <x v="0"/>
    <d v="1998-12-06T00:00:00"/>
    <s v="20-30"/>
    <n v="25"/>
    <x v="1"/>
    <n v="2"/>
    <s v="Mon, Wed"/>
    <n v="0"/>
    <n v="1"/>
    <n v="0"/>
    <n v="1"/>
    <n v="0"/>
    <n v="0"/>
    <n v="0"/>
    <b v="0"/>
    <m/>
    <d v="1899-12-30T15:12:00"/>
    <d v="1899-12-30T17:51:00"/>
    <n v="159"/>
    <b v="1"/>
    <s v="Chantal"/>
  </r>
  <r>
    <n v="431"/>
    <s v="Willard"/>
    <x v="1"/>
    <d v="1993-07-16T00:00:00"/>
    <s v="31-41"/>
    <n v="31"/>
    <x v="0"/>
    <n v="2"/>
    <s v="Mon, Tue"/>
    <n v="0"/>
    <n v="1"/>
    <n v="1"/>
    <n v="0"/>
    <n v="0"/>
    <n v="0"/>
    <n v="0"/>
    <b v="1"/>
    <s v="Zumba"/>
    <d v="1899-12-30T16:01:00"/>
    <d v="1899-12-30T17:27:00"/>
    <n v="86"/>
    <b v="0"/>
    <m/>
  </r>
  <r>
    <n v="432"/>
    <s v="Reed"/>
    <x v="1"/>
    <d v="1994-01-10T00:00:00"/>
    <s v="20-30"/>
    <n v="30"/>
    <x v="1"/>
    <n v="5"/>
    <s v="Fri, Mon, Sat, Thu, Tue"/>
    <n v="0"/>
    <n v="1"/>
    <n v="1"/>
    <n v="0"/>
    <n v="1"/>
    <n v="1"/>
    <n v="1"/>
    <b v="1"/>
    <s v="Yoga, LesMiles"/>
    <d v="1899-12-30T10:56:00"/>
    <d v="1899-12-30T13:31:00"/>
    <n v="155"/>
    <b v="1"/>
    <s v="Jeffrey"/>
  </r>
  <r>
    <n v="433"/>
    <s v="Becca"/>
    <x v="0"/>
    <d v="1977-01-28T00:00:00"/>
    <s v="41-50"/>
    <n v="47"/>
    <x v="0"/>
    <n v="3"/>
    <s v="Fri, Sun, Tue"/>
    <n v="1"/>
    <n v="0"/>
    <n v="1"/>
    <n v="0"/>
    <n v="0"/>
    <n v="1"/>
    <n v="0"/>
    <b v="0"/>
    <m/>
    <d v="1899-12-30T14:51:00"/>
    <d v="1899-12-30T17:19:00"/>
    <n v="148"/>
    <b v="0"/>
    <m/>
  </r>
  <r>
    <n v="434"/>
    <s v="Sabra"/>
    <x v="0"/>
    <d v="1995-04-29T00:00:00"/>
    <s v="20-30"/>
    <n v="29"/>
    <x v="1"/>
    <n v="5"/>
    <s v="Fri, Sun, Thu, Tue, Wed"/>
    <n v="1"/>
    <n v="0"/>
    <n v="1"/>
    <n v="1"/>
    <n v="1"/>
    <n v="1"/>
    <n v="0"/>
    <b v="0"/>
    <m/>
    <d v="1899-12-30T18:14:00"/>
    <d v="1899-12-30T21:08:00"/>
    <n v="174"/>
    <b v="0"/>
    <m/>
  </r>
  <r>
    <n v="435"/>
    <s v="Maisie"/>
    <x v="0"/>
    <d v="1981-04-20T00:00:00"/>
    <s v="41-50"/>
    <n v="43"/>
    <x v="1"/>
    <n v="1"/>
    <s v="Sat"/>
    <n v="0"/>
    <n v="0"/>
    <n v="0"/>
    <n v="0"/>
    <n v="0"/>
    <n v="0"/>
    <n v="1"/>
    <b v="1"/>
    <s v="Yoga"/>
    <d v="1899-12-30T14:44:00"/>
    <d v="1899-12-30T17:19:00"/>
    <n v="155"/>
    <b v="1"/>
    <s v="Chantal"/>
  </r>
  <r>
    <n v="436"/>
    <s v="Dalt"/>
    <x v="1"/>
    <d v="2001-05-02T00:00:00"/>
    <s v="20-30"/>
    <n v="23"/>
    <x v="1"/>
    <n v="1"/>
    <s v="Sun"/>
    <n v="1"/>
    <n v="0"/>
    <n v="0"/>
    <n v="0"/>
    <n v="0"/>
    <n v="0"/>
    <n v="0"/>
    <b v="0"/>
    <m/>
    <d v="1899-12-30T11:28:00"/>
    <d v="1899-12-30T13:03:00"/>
    <n v="95"/>
    <b v="1"/>
    <s v="Mike"/>
  </r>
  <r>
    <n v="437"/>
    <s v="Aldwin"/>
    <x v="1"/>
    <d v="1997-08-23T00:00:00"/>
    <s v="20-30"/>
    <n v="27"/>
    <x v="0"/>
    <n v="2"/>
    <s v="Sat, Sun"/>
    <n v="1"/>
    <n v="0"/>
    <n v="0"/>
    <n v="0"/>
    <n v="0"/>
    <n v="0"/>
    <n v="1"/>
    <b v="1"/>
    <s v="LesMiles, Spinning, BodyBalance"/>
    <d v="1899-12-30T16:29:00"/>
    <d v="1899-12-30T19:03:00"/>
    <n v="154"/>
    <b v="0"/>
    <m/>
  </r>
  <r>
    <n v="438"/>
    <s v="Averil"/>
    <x v="1"/>
    <d v="1990-02-22T00:00:00"/>
    <s v="31-41"/>
    <n v="34"/>
    <x v="0"/>
    <n v="2"/>
    <s v="Mon, Thu"/>
    <n v="0"/>
    <n v="1"/>
    <n v="0"/>
    <n v="0"/>
    <n v="1"/>
    <n v="0"/>
    <n v="0"/>
    <b v="0"/>
    <m/>
    <d v="1899-12-30T17:18:00"/>
    <d v="1899-12-30T19:59:00"/>
    <n v="161"/>
    <b v="1"/>
    <s v="Mike"/>
  </r>
  <r>
    <n v="439"/>
    <s v="Cchaddie"/>
    <x v="1"/>
    <d v="2011-12-20T00:00:00"/>
    <s v="below 20"/>
    <n v="12"/>
    <x v="1"/>
    <n v="2"/>
    <s v="Sat, Wed"/>
    <n v="0"/>
    <n v="0"/>
    <n v="0"/>
    <n v="1"/>
    <n v="0"/>
    <n v="0"/>
    <n v="1"/>
    <b v="1"/>
    <s v="Kickboxen"/>
    <d v="1899-12-30T13:58:00"/>
    <d v="1899-12-30T16:09:00"/>
    <n v="131"/>
    <b v="1"/>
    <s v="Chantal"/>
  </r>
  <r>
    <n v="440"/>
    <s v="Griffin"/>
    <x v="1"/>
    <d v="1987-09-27T00:00:00"/>
    <s v="31-41"/>
    <n v="37"/>
    <x v="0"/>
    <n v="1"/>
    <s v="Fri"/>
    <n v="0"/>
    <n v="0"/>
    <n v="0"/>
    <n v="0"/>
    <n v="0"/>
    <n v="1"/>
    <n v="0"/>
    <b v="1"/>
    <s v="Running, BodyPump"/>
    <d v="1899-12-30T13:10:00"/>
    <d v="1899-12-30T15:39:00"/>
    <n v="149"/>
    <b v="0"/>
    <m/>
  </r>
  <r>
    <n v="441"/>
    <s v="Risa"/>
    <x v="0"/>
    <d v="1986-03-24T00:00:00"/>
    <s v="31-41"/>
    <n v="38"/>
    <x v="1"/>
    <n v="3"/>
    <s v="Mon, Thu, Wed"/>
    <n v="0"/>
    <n v="1"/>
    <n v="0"/>
    <n v="1"/>
    <n v="1"/>
    <n v="0"/>
    <n v="0"/>
    <b v="1"/>
    <s v="Spinning, LesMiles, Yoga"/>
    <d v="1899-12-30T16:41:00"/>
    <d v="1899-12-30T19:37:00"/>
    <n v="176"/>
    <b v="0"/>
    <m/>
  </r>
  <r>
    <n v="442"/>
    <s v="Joyce"/>
    <x v="0"/>
    <d v="1994-05-17T00:00:00"/>
    <s v="20-30"/>
    <n v="30"/>
    <x v="1"/>
    <n v="1"/>
    <s v="Fri"/>
    <n v="0"/>
    <n v="0"/>
    <n v="0"/>
    <n v="0"/>
    <n v="0"/>
    <n v="1"/>
    <n v="0"/>
    <b v="0"/>
    <m/>
    <d v="1899-12-30T14:08:00"/>
    <d v="1899-12-30T16:01:00"/>
    <n v="113"/>
    <b v="1"/>
    <s v="Hanna"/>
  </r>
  <r>
    <n v="443"/>
    <s v="Merrie"/>
    <x v="0"/>
    <d v="1998-11-11T00:00:00"/>
    <s v="20-30"/>
    <n v="25"/>
    <x v="1"/>
    <n v="2"/>
    <s v="Sun, Thu"/>
    <n v="1"/>
    <n v="0"/>
    <n v="0"/>
    <n v="0"/>
    <n v="1"/>
    <n v="0"/>
    <n v="0"/>
    <b v="1"/>
    <s v="Running, BodyPump"/>
    <d v="1899-12-30T13:59:00"/>
    <d v="1899-12-30T14:43:00"/>
    <n v="44"/>
    <b v="1"/>
    <s v="Jeffrey"/>
  </r>
  <r>
    <n v="444"/>
    <s v="Orville"/>
    <x v="1"/>
    <d v="1975-02-23T00:00:00"/>
    <s v="41-50"/>
    <n v="49"/>
    <x v="1"/>
    <n v="2"/>
    <s v="Fri, Thu"/>
    <n v="0"/>
    <n v="0"/>
    <n v="0"/>
    <n v="0"/>
    <n v="1"/>
    <n v="1"/>
    <n v="0"/>
    <b v="0"/>
    <m/>
    <d v="1899-12-30T18:40:00"/>
    <d v="1899-12-30T21:15:00"/>
    <n v="155"/>
    <b v="1"/>
    <s v="Hanna"/>
  </r>
  <r>
    <n v="445"/>
    <s v="Amabel"/>
    <x v="0"/>
    <d v="1989-04-11T00:00:00"/>
    <s v="31-41"/>
    <n v="35"/>
    <x v="0"/>
    <n v="1"/>
    <s v="Sun"/>
    <n v="1"/>
    <n v="0"/>
    <n v="0"/>
    <n v="0"/>
    <n v="0"/>
    <n v="0"/>
    <n v="0"/>
    <b v="0"/>
    <m/>
    <d v="1899-12-30T12:12:00"/>
    <d v="1899-12-30T14:33:00"/>
    <n v="141"/>
    <b v="0"/>
    <m/>
  </r>
  <r>
    <n v="446"/>
    <s v="Alyce"/>
    <x v="0"/>
    <d v="1982-12-05T00:00:00"/>
    <s v="41-50"/>
    <n v="41"/>
    <x v="1"/>
    <n v="2"/>
    <s v="Mon, Tue"/>
    <n v="0"/>
    <n v="1"/>
    <n v="1"/>
    <n v="0"/>
    <n v="0"/>
    <n v="0"/>
    <n v="0"/>
    <b v="1"/>
    <s v="HIT, Yoga, BodyPump"/>
    <d v="1899-12-30T14:06:00"/>
    <d v="1899-12-30T16:58:00"/>
    <n v="172"/>
    <b v="1"/>
    <s v="Jeffrey"/>
  </r>
  <r>
    <n v="447"/>
    <s v="Wittie"/>
    <x v="1"/>
    <d v="1991-04-09T00:00:00"/>
    <s v="31-41"/>
    <n v="33"/>
    <x v="0"/>
    <n v="3"/>
    <s v="Mon, Sun, Wed"/>
    <n v="1"/>
    <n v="1"/>
    <n v="0"/>
    <n v="1"/>
    <n v="0"/>
    <n v="0"/>
    <n v="0"/>
    <b v="0"/>
    <m/>
    <d v="1899-12-30T09:14:00"/>
    <d v="1899-12-30T10:24:00"/>
    <n v="70"/>
    <b v="0"/>
    <m/>
  </r>
  <r>
    <n v="448"/>
    <s v="Jean"/>
    <x v="0"/>
    <d v="1997-07-13T00:00:00"/>
    <s v="20-30"/>
    <n v="27"/>
    <x v="0"/>
    <n v="2"/>
    <s v="Fri, Thu"/>
    <n v="0"/>
    <n v="0"/>
    <n v="0"/>
    <n v="0"/>
    <n v="1"/>
    <n v="1"/>
    <n v="0"/>
    <b v="0"/>
    <m/>
    <d v="1899-12-30T17:22:00"/>
    <d v="1899-12-30T18:04:00"/>
    <n v="42"/>
    <b v="0"/>
    <m/>
  </r>
  <r>
    <n v="449"/>
    <s v="Catriona"/>
    <x v="0"/>
    <d v="2006-07-23T00:00:00"/>
    <s v="below 20"/>
    <n v="18"/>
    <x v="1"/>
    <n v="3"/>
    <s v="Fri, Sun, Thu"/>
    <n v="1"/>
    <n v="0"/>
    <n v="0"/>
    <n v="0"/>
    <n v="1"/>
    <n v="1"/>
    <n v="0"/>
    <b v="1"/>
    <s v="BodyBalance"/>
    <d v="1899-12-30T18:43:00"/>
    <d v="1899-12-30T20:53:00"/>
    <n v="130"/>
    <b v="0"/>
    <m/>
  </r>
  <r>
    <n v="450"/>
    <s v="Hunter"/>
    <x v="1"/>
    <d v="2006-06-24T00:00:00"/>
    <s v="below 20"/>
    <n v="18"/>
    <x v="0"/>
    <n v="4"/>
    <s v="Fri, Sat, Tue, Wed"/>
    <n v="0"/>
    <n v="0"/>
    <n v="1"/>
    <n v="1"/>
    <n v="0"/>
    <n v="1"/>
    <n v="1"/>
    <b v="1"/>
    <s v="Running, Spinning, BodyBalance"/>
    <d v="1899-12-30T19:08:00"/>
    <d v="1899-12-30T20:21:00"/>
    <n v="73"/>
    <b v="0"/>
    <m/>
  </r>
  <r>
    <n v="451"/>
    <s v="Cherish"/>
    <x v="0"/>
    <d v="1994-04-09T00:00:00"/>
    <s v="20-30"/>
    <n v="30"/>
    <x v="0"/>
    <n v="4"/>
    <s v="Mon, Sat, Tue, Wed"/>
    <n v="0"/>
    <n v="1"/>
    <n v="1"/>
    <n v="1"/>
    <n v="0"/>
    <n v="0"/>
    <n v="1"/>
    <b v="1"/>
    <s v="BodyPump"/>
    <d v="1899-12-30T14:27:00"/>
    <d v="1899-12-30T17:01:00"/>
    <n v="154"/>
    <b v="1"/>
    <s v="Jeffrey"/>
  </r>
  <r>
    <n v="452"/>
    <s v="Augusta"/>
    <x v="0"/>
    <d v="1985-06-16T00:00:00"/>
    <s v="31-41"/>
    <n v="39"/>
    <x v="1"/>
    <n v="4"/>
    <s v="Sat, Thu, Tue, Wed"/>
    <n v="0"/>
    <n v="0"/>
    <n v="1"/>
    <n v="1"/>
    <n v="1"/>
    <n v="0"/>
    <n v="1"/>
    <b v="1"/>
    <s v="Spinning, HIT, BodyPump"/>
    <d v="1899-12-30T16:21:00"/>
    <d v="1899-12-30T19:03:00"/>
    <n v="162"/>
    <b v="1"/>
    <s v="Jeffrey"/>
  </r>
  <r>
    <n v="453"/>
    <s v="Malynda"/>
    <x v="0"/>
    <d v="1994-03-25T00:00:00"/>
    <s v="20-30"/>
    <n v="30"/>
    <x v="1"/>
    <n v="3"/>
    <s v="Mon, Sat, Wed"/>
    <n v="0"/>
    <n v="1"/>
    <n v="0"/>
    <n v="1"/>
    <n v="0"/>
    <n v="0"/>
    <n v="1"/>
    <b v="1"/>
    <s v="Yoga, BodyPump"/>
    <d v="1899-12-30T18:36:00"/>
    <d v="1899-12-30T19:35:00"/>
    <n v="59"/>
    <b v="1"/>
    <s v="Jeffrey"/>
  </r>
  <r>
    <n v="454"/>
    <s v="Philippine"/>
    <x v="0"/>
    <d v="1999-01-10T00:00:00"/>
    <s v="20-30"/>
    <n v="25"/>
    <x v="0"/>
    <n v="4"/>
    <s v="Mon, Thu, Tue, Wed"/>
    <n v="0"/>
    <n v="1"/>
    <n v="1"/>
    <n v="1"/>
    <n v="1"/>
    <n v="0"/>
    <n v="0"/>
    <b v="1"/>
    <s v="Running"/>
    <d v="1899-12-30T18:14:00"/>
    <d v="1899-12-30T20:56:00"/>
    <n v="162"/>
    <b v="1"/>
    <s v="Chantal"/>
  </r>
  <r>
    <n v="455"/>
    <s v="Sallie"/>
    <x v="0"/>
    <d v="2008-05-19T00:00:00"/>
    <s v="below 20"/>
    <n v="16"/>
    <x v="1"/>
    <n v="1"/>
    <s v="Sat"/>
    <n v="0"/>
    <n v="0"/>
    <n v="0"/>
    <n v="0"/>
    <n v="0"/>
    <n v="0"/>
    <n v="1"/>
    <b v="1"/>
    <s v="BodyBalance, Running"/>
    <d v="1899-12-30T20:02:00"/>
    <d v="1899-12-30T21:17:00"/>
    <n v="75"/>
    <b v="1"/>
    <s v="Mike"/>
  </r>
  <r>
    <n v="456"/>
    <s v="Preston"/>
    <x v="1"/>
    <d v="1993-12-26T00:00:00"/>
    <s v="20-30"/>
    <n v="30"/>
    <x v="1"/>
    <n v="3"/>
    <s v="Sat, Thu, Wed"/>
    <n v="0"/>
    <n v="0"/>
    <n v="0"/>
    <n v="1"/>
    <n v="1"/>
    <n v="0"/>
    <n v="1"/>
    <b v="1"/>
    <s v="Yoga, Zumba, HIT"/>
    <d v="1899-12-30T14:55:00"/>
    <d v="1899-12-30T15:27:00"/>
    <n v="32"/>
    <b v="1"/>
    <s v="Chantal"/>
  </r>
  <r>
    <n v="457"/>
    <s v="Maggi"/>
    <x v="0"/>
    <d v="1983-03-19T00:00:00"/>
    <s v="41-50"/>
    <n v="41"/>
    <x v="0"/>
    <n v="1"/>
    <s v="Sat"/>
    <n v="0"/>
    <n v="0"/>
    <n v="0"/>
    <n v="0"/>
    <n v="0"/>
    <n v="0"/>
    <n v="1"/>
    <b v="0"/>
    <m/>
    <d v="1899-12-30T16:21:00"/>
    <d v="1899-12-30T17:07:00"/>
    <n v="46"/>
    <b v="1"/>
    <s v="Hanna"/>
  </r>
  <r>
    <n v="458"/>
    <s v="Edi"/>
    <x v="0"/>
    <d v="1986-02-14T00:00:00"/>
    <s v="31-41"/>
    <n v="38"/>
    <x v="1"/>
    <n v="3"/>
    <s v="Fri, Thu, Tue"/>
    <n v="0"/>
    <n v="0"/>
    <n v="1"/>
    <n v="0"/>
    <n v="1"/>
    <n v="1"/>
    <n v="0"/>
    <b v="1"/>
    <s v="Pilates, Kickboxen, Zumba"/>
    <d v="1899-12-30T11:37:00"/>
    <d v="1899-12-30T13:01:00"/>
    <n v="84"/>
    <b v="1"/>
    <s v="Jeffrey"/>
  </r>
  <r>
    <n v="459"/>
    <s v="Ancell"/>
    <x v="1"/>
    <d v="1978-03-02T00:00:00"/>
    <s v="41-50"/>
    <n v="46"/>
    <x v="1"/>
    <n v="3"/>
    <s v="Mon, Thu, Wed"/>
    <n v="0"/>
    <n v="1"/>
    <n v="0"/>
    <n v="1"/>
    <n v="1"/>
    <n v="0"/>
    <n v="0"/>
    <b v="0"/>
    <m/>
    <d v="1899-12-30T18:28:00"/>
    <d v="1899-12-30T20:58:00"/>
    <n v="150"/>
    <b v="1"/>
    <s v="Jeffrey"/>
  </r>
  <r>
    <n v="460"/>
    <s v="Blithe"/>
    <x v="0"/>
    <d v="1995-12-20T00:00:00"/>
    <s v="20-30"/>
    <n v="28"/>
    <x v="0"/>
    <n v="4"/>
    <s v="Fri, Mon, Sun, Thu"/>
    <n v="1"/>
    <n v="1"/>
    <n v="0"/>
    <n v="0"/>
    <n v="1"/>
    <n v="1"/>
    <n v="0"/>
    <b v="0"/>
    <m/>
    <d v="1899-12-30T09:22:00"/>
    <d v="1899-12-30T11:29:00"/>
    <n v="127"/>
    <b v="1"/>
    <s v="Jeffrey"/>
  </r>
  <r>
    <n v="461"/>
    <s v="Gianni"/>
    <x v="1"/>
    <d v="2009-06-23T00:00:00"/>
    <s v="below 20"/>
    <n v="15"/>
    <x v="0"/>
    <n v="2"/>
    <s v="Mon, Wed"/>
    <n v="0"/>
    <n v="1"/>
    <n v="0"/>
    <n v="1"/>
    <n v="0"/>
    <n v="0"/>
    <n v="0"/>
    <b v="1"/>
    <s v="XCore, Pilates, Yoga"/>
    <d v="1899-12-30T19:07:00"/>
    <d v="1899-12-30T20:19:00"/>
    <n v="72"/>
    <b v="0"/>
    <m/>
  </r>
  <r>
    <n v="462"/>
    <s v="Care"/>
    <x v="1"/>
    <d v="1999-06-01T00:00:00"/>
    <s v="20-30"/>
    <n v="25"/>
    <x v="0"/>
    <n v="2"/>
    <s v="Sun, Tue"/>
    <n v="1"/>
    <n v="0"/>
    <n v="1"/>
    <n v="0"/>
    <n v="0"/>
    <n v="0"/>
    <n v="0"/>
    <b v="0"/>
    <m/>
    <d v="1899-12-30T10:55:00"/>
    <d v="1899-12-30T13:51:00"/>
    <n v="176"/>
    <b v="0"/>
    <m/>
  </r>
  <r>
    <n v="463"/>
    <s v="Sidoney"/>
    <x v="0"/>
    <d v="2006-04-22T00:00:00"/>
    <s v="below 20"/>
    <n v="18"/>
    <x v="1"/>
    <n v="2"/>
    <s v="Fri, Thu"/>
    <n v="0"/>
    <n v="0"/>
    <n v="0"/>
    <n v="0"/>
    <n v="1"/>
    <n v="1"/>
    <n v="0"/>
    <b v="0"/>
    <m/>
    <d v="1899-12-30T18:15:00"/>
    <d v="1899-12-30T18:55:00"/>
    <n v="40"/>
    <b v="0"/>
    <m/>
  </r>
  <r>
    <n v="464"/>
    <s v="Arda"/>
    <x v="0"/>
    <d v="1986-09-20T00:00:00"/>
    <s v="31-41"/>
    <n v="38"/>
    <x v="0"/>
    <n v="4"/>
    <s v="Sat, Sun, Thu, Tue"/>
    <n v="1"/>
    <n v="0"/>
    <n v="1"/>
    <n v="0"/>
    <n v="1"/>
    <n v="0"/>
    <n v="1"/>
    <b v="1"/>
    <s v="BodyPump, XCore"/>
    <d v="1899-12-30T20:54:00"/>
    <d v="1899-12-30T21:43:00"/>
    <n v="49"/>
    <b v="1"/>
    <s v="Hanna"/>
  </r>
  <r>
    <n v="465"/>
    <s v="Abagael"/>
    <x v="0"/>
    <d v="2001-10-29T00:00:00"/>
    <s v="20-30"/>
    <n v="22"/>
    <x v="1"/>
    <n v="4"/>
    <s v="Fri, Mon, Sat, Thu"/>
    <n v="0"/>
    <n v="1"/>
    <n v="0"/>
    <n v="0"/>
    <n v="1"/>
    <n v="1"/>
    <n v="1"/>
    <b v="0"/>
    <m/>
    <d v="1899-12-30T14:33:00"/>
    <d v="1899-12-30T16:01:00"/>
    <n v="88"/>
    <b v="0"/>
    <m/>
  </r>
  <r>
    <n v="466"/>
    <s v="Krystle"/>
    <x v="0"/>
    <d v="1980-01-13T00:00:00"/>
    <s v="41-50"/>
    <n v="44"/>
    <x v="0"/>
    <n v="3"/>
    <s v="Fri, Mon, Sun"/>
    <n v="1"/>
    <n v="1"/>
    <n v="0"/>
    <n v="0"/>
    <n v="0"/>
    <n v="1"/>
    <n v="0"/>
    <b v="0"/>
    <m/>
    <d v="1899-12-30T17:47:00"/>
    <d v="1899-12-30T20:30:00"/>
    <n v="163"/>
    <b v="1"/>
    <s v="Jeffrey"/>
  </r>
  <r>
    <n v="467"/>
    <s v="Gregorio"/>
    <x v="1"/>
    <d v="2010-01-27T00:00:00"/>
    <s v="below 20"/>
    <n v="14"/>
    <x v="0"/>
    <n v="5"/>
    <s v="Fri, Sat, Thu, Tue, Wed"/>
    <n v="0"/>
    <n v="0"/>
    <n v="1"/>
    <n v="1"/>
    <n v="1"/>
    <n v="1"/>
    <n v="1"/>
    <b v="1"/>
    <s v="BodyBalance, Kickboxen"/>
    <d v="1899-12-30T08:25:00"/>
    <d v="1899-12-30T10:21:00"/>
    <n v="116"/>
    <b v="1"/>
    <s v="Mike"/>
  </r>
  <r>
    <n v="468"/>
    <s v="Nananne"/>
    <x v="0"/>
    <d v="1983-01-28T00:00:00"/>
    <s v="41-50"/>
    <n v="41"/>
    <x v="0"/>
    <n v="3"/>
    <s v="Mon, Sat, Thu"/>
    <n v="0"/>
    <n v="1"/>
    <n v="0"/>
    <n v="0"/>
    <n v="1"/>
    <n v="0"/>
    <n v="1"/>
    <b v="0"/>
    <m/>
    <d v="1899-12-30T09:56:00"/>
    <d v="1899-12-30T10:40:00"/>
    <n v="44"/>
    <b v="1"/>
    <s v="Chantal"/>
  </r>
  <r>
    <n v="469"/>
    <s v="Decca"/>
    <x v="1"/>
    <d v="1990-06-21T00:00:00"/>
    <s v="31-41"/>
    <n v="34"/>
    <x v="0"/>
    <n v="2"/>
    <s v="Sun, Wed"/>
    <n v="1"/>
    <n v="0"/>
    <n v="0"/>
    <n v="1"/>
    <n v="0"/>
    <n v="0"/>
    <n v="0"/>
    <b v="1"/>
    <s v="LesMiles, Pilates"/>
    <d v="1899-12-30T13:39:00"/>
    <d v="1899-12-30T16:22:00"/>
    <n v="163"/>
    <b v="1"/>
    <s v="Jeffrey"/>
  </r>
  <r>
    <n v="470"/>
    <s v="Gard"/>
    <x v="1"/>
    <d v="1998-10-07T00:00:00"/>
    <s v="20-30"/>
    <n v="25"/>
    <x v="0"/>
    <n v="1"/>
    <s v="Sat"/>
    <n v="0"/>
    <n v="0"/>
    <n v="0"/>
    <n v="0"/>
    <n v="0"/>
    <n v="0"/>
    <n v="1"/>
    <b v="1"/>
    <s v="Pilates, Kickboxen"/>
    <d v="1899-12-30T12:45:00"/>
    <d v="1899-12-30T14:05:00"/>
    <n v="80"/>
    <b v="1"/>
    <s v="Chantal"/>
  </r>
  <r>
    <n v="471"/>
    <s v="Latisha"/>
    <x v="0"/>
    <d v="1976-04-23T00:00:00"/>
    <s v="41-50"/>
    <n v="48"/>
    <x v="1"/>
    <n v="1"/>
    <s v="Sun"/>
    <n v="1"/>
    <n v="0"/>
    <n v="0"/>
    <n v="0"/>
    <n v="0"/>
    <n v="0"/>
    <n v="0"/>
    <b v="0"/>
    <m/>
    <d v="1899-12-30T10:42:00"/>
    <d v="1899-12-30T13:00:00"/>
    <n v="138"/>
    <b v="1"/>
    <s v="Chantal"/>
  </r>
  <r>
    <n v="472"/>
    <s v="Thorvald"/>
    <x v="1"/>
    <d v="1979-01-02T00:00:00"/>
    <s v="41-50"/>
    <n v="45"/>
    <x v="1"/>
    <n v="1"/>
    <s v="Tue"/>
    <n v="0"/>
    <n v="0"/>
    <n v="1"/>
    <n v="0"/>
    <n v="0"/>
    <n v="0"/>
    <n v="0"/>
    <b v="1"/>
    <s v="Running, Zumba"/>
    <d v="1899-12-30T09:31:00"/>
    <d v="1899-12-30T10:10:00"/>
    <n v="39"/>
    <b v="0"/>
    <m/>
  </r>
  <r>
    <n v="473"/>
    <s v="Boniface"/>
    <x v="1"/>
    <d v="2003-11-18T00:00:00"/>
    <s v="20-30"/>
    <n v="20"/>
    <x v="1"/>
    <n v="4"/>
    <s v="Fri, Thu, Tue, Wed"/>
    <n v="0"/>
    <n v="0"/>
    <n v="1"/>
    <n v="1"/>
    <n v="1"/>
    <n v="1"/>
    <n v="0"/>
    <b v="1"/>
    <s v="Running, LesMiles, Yoga"/>
    <d v="1899-12-30T09:46:00"/>
    <d v="1899-12-30T11:43:00"/>
    <n v="117"/>
    <b v="1"/>
    <s v="Mike"/>
  </r>
  <r>
    <n v="474"/>
    <s v="Walker"/>
    <x v="1"/>
    <d v="1991-08-03T00:00:00"/>
    <s v="31-41"/>
    <n v="33"/>
    <x v="1"/>
    <n v="3"/>
    <s v="Sat, Tue, Wed"/>
    <n v="0"/>
    <n v="0"/>
    <n v="1"/>
    <n v="1"/>
    <n v="0"/>
    <n v="0"/>
    <n v="1"/>
    <b v="1"/>
    <s v="BodyBalance, LesMiles, Kickboxen"/>
    <d v="1899-12-30T16:59:00"/>
    <d v="1899-12-30T19:25:00"/>
    <n v="146"/>
    <b v="1"/>
    <s v="Jeffrey"/>
  </r>
  <r>
    <n v="475"/>
    <s v="Lyon"/>
    <x v="1"/>
    <d v="2001-04-04T00:00:00"/>
    <s v="20-30"/>
    <n v="23"/>
    <x v="1"/>
    <n v="2"/>
    <s v="Thu, Wed"/>
    <n v="0"/>
    <n v="0"/>
    <n v="0"/>
    <n v="1"/>
    <n v="1"/>
    <n v="0"/>
    <n v="0"/>
    <b v="0"/>
    <m/>
    <d v="1899-12-30T11:56:00"/>
    <d v="1899-12-30T13:01:00"/>
    <n v="65"/>
    <b v="1"/>
    <s v="Jeffrey"/>
  </r>
  <r>
    <n v="476"/>
    <s v="Mendy"/>
    <x v="1"/>
    <d v="2001-07-09T00:00:00"/>
    <s v="20-30"/>
    <n v="23"/>
    <x v="1"/>
    <n v="2"/>
    <s v="Tue, Wed"/>
    <n v="0"/>
    <n v="0"/>
    <n v="1"/>
    <n v="1"/>
    <n v="0"/>
    <n v="0"/>
    <n v="0"/>
    <b v="1"/>
    <s v="XCore, BodyPump, HIT"/>
    <d v="1899-12-30T17:37:00"/>
    <d v="1899-12-30T19:46:00"/>
    <n v="129"/>
    <b v="1"/>
    <s v="Mike"/>
  </r>
  <r>
    <n v="477"/>
    <s v="Melisa"/>
    <x v="0"/>
    <d v="2002-03-09T00:00:00"/>
    <s v="20-30"/>
    <n v="22"/>
    <x v="0"/>
    <n v="1"/>
    <s v="Sun"/>
    <n v="1"/>
    <n v="0"/>
    <n v="0"/>
    <n v="0"/>
    <n v="0"/>
    <n v="0"/>
    <n v="0"/>
    <b v="0"/>
    <m/>
    <d v="1899-12-30T09:43:00"/>
    <d v="1899-12-30T12:29:00"/>
    <n v="166"/>
    <b v="0"/>
    <m/>
  </r>
  <r>
    <n v="478"/>
    <s v="Claretta"/>
    <x v="0"/>
    <d v="1980-10-31T00:00:00"/>
    <s v="41-50"/>
    <n v="43"/>
    <x v="1"/>
    <n v="3"/>
    <s v="Fri, Mon, Wed"/>
    <n v="0"/>
    <n v="1"/>
    <n v="0"/>
    <n v="1"/>
    <n v="0"/>
    <n v="1"/>
    <n v="0"/>
    <b v="0"/>
    <m/>
    <d v="1899-12-30T11:56:00"/>
    <d v="1899-12-30T12:44:00"/>
    <n v="48"/>
    <b v="1"/>
    <s v="Mike"/>
  </r>
  <r>
    <n v="479"/>
    <s v="Ingamar"/>
    <x v="1"/>
    <d v="2010-03-23T00:00:00"/>
    <s v="below 20"/>
    <n v="14"/>
    <x v="0"/>
    <n v="2"/>
    <s v="Sun, Thu"/>
    <n v="1"/>
    <n v="0"/>
    <n v="0"/>
    <n v="0"/>
    <n v="1"/>
    <n v="0"/>
    <n v="0"/>
    <b v="0"/>
    <m/>
    <d v="1899-12-30T12:23:00"/>
    <d v="1899-12-30T14:55:00"/>
    <n v="152"/>
    <b v="1"/>
    <s v="Chantal"/>
  </r>
  <r>
    <n v="480"/>
    <s v="Ikey"/>
    <x v="1"/>
    <d v="2000-07-25T00:00:00"/>
    <s v="20-30"/>
    <n v="24"/>
    <x v="0"/>
    <n v="2"/>
    <s v="Fri, Sun"/>
    <n v="1"/>
    <n v="0"/>
    <n v="0"/>
    <n v="0"/>
    <n v="0"/>
    <n v="1"/>
    <n v="0"/>
    <b v="1"/>
    <s v="Zumba, Yoga"/>
    <d v="1899-12-30T11:46:00"/>
    <d v="1899-12-30T13:53:00"/>
    <n v="127"/>
    <b v="0"/>
    <m/>
  </r>
  <r>
    <n v="481"/>
    <s v="Felicdad"/>
    <x v="0"/>
    <d v="1979-03-26T00:00:00"/>
    <s v="41-50"/>
    <n v="45"/>
    <x v="1"/>
    <n v="1"/>
    <s v="Sun"/>
    <n v="1"/>
    <n v="0"/>
    <n v="0"/>
    <n v="0"/>
    <n v="0"/>
    <n v="0"/>
    <n v="0"/>
    <b v="0"/>
    <m/>
    <d v="1899-12-30T20:40:00"/>
    <d v="1899-12-30T22:28:00"/>
    <n v="108"/>
    <b v="0"/>
    <m/>
  </r>
  <r>
    <n v="482"/>
    <s v="Edmund"/>
    <x v="1"/>
    <d v="2005-07-27T00:00:00"/>
    <s v="below 20"/>
    <n v="19"/>
    <x v="0"/>
    <n v="2"/>
    <s v="Mon, Tue"/>
    <n v="0"/>
    <n v="1"/>
    <n v="1"/>
    <n v="0"/>
    <n v="0"/>
    <n v="0"/>
    <n v="0"/>
    <b v="1"/>
    <s v="LesMiles"/>
    <d v="1899-12-30T12:50:00"/>
    <d v="1899-12-30T13:29:00"/>
    <n v="39"/>
    <b v="0"/>
    <m/>
  </r>
  <r>
    <n v="483"/>
    <s v="Agatha"/>
    <x v="0"/>
    <d v="1998-03-17T00:00:00"/>
    <s v="20-30"/>
    <n v="26"/>
    <x v="0"/>
    <n v="3"/>
    <s v="Fri, Mon, Thu"/>
    <n v="0"/>
    <n v="1"/>
    <n v="0"/>
    <n v="0"/>
    <n v="1"/>
    <n v="1"/>
    <n v="0"/>
    <b v="1"/>
    <s v="BodyBalance"/>
    <d v="1899-12-30T18:41:00"/>
    <d v="1899-12-30T19:44:00"/>
    <n v="63"/>
    <b v="1"/>
    <s v="Mike"/>
  </r>
  <r>
    <n v="484"/>
    <s v="Shurlock"/>
    <x v="1"/>
    <d v="1996-05-03T00:00:00"/>
    <s v="20-30"/>
    <n v="28"/>
    <x v="1"/>
    <n v="2"/>
    <s v="Mon, Wed"/>
    <n v="0"/>
    <n v="1"/>
    <n v="0"/>
    <n v="1"/>
    <n v="0"/>
    <n v="0"/>
    <n v="0"/>
    <b v="0"/>
    <m/>
    <d v="1899-12-30T14:12:00"/>
    <d v="1899-12-30T16:30:00"/>
    <n v="138"/>
    <b v="0"/>
    <m/>
  </r>
  <r>
    <n v="485"/>
    <s v="Quincey"/>
    <x v="1"/>
    <d v="1979-03-31T00:00:00"/>
    <s v="41-50"/>
    <n v="45"/>
    <x v="1"/>
    <n v="1"/>
    <s v="Tue"/>
    <n v="0"/>
    <n v="0"/>
    <n v="1"/>
    <n v="0"/>
    <n v="0"/>
    <n v="0"/>
    <n v="0"/>
    <b v="1"/>
    <s v="Yoga"/>
    <d v="1899-12-30T18:07:00"/>
    <d v="1899-12-30T21:04:00"/>
    <n v="177"/>
    <b v="0"/>
    <m/>
  </r>
  <r>
    <n v="486"/>
    <s v="Bret"/>
    <x v="1"/>
    <d v="1975-09-16T00:00:00"/>
    <s v="41-50"/>
    <n v="49"/>
    <x v="1"/>
    <n v="3"/>
    <s v="Mon, Sun, Wed"/>
    <n v="1"/>
    <n v="1"/>
    <n v="0"/>
    <n v="1"/>
    <n v="0"/>
    <n v="0"/>
    <n v="0"/>
    <b v="1"/>
    <s v="Pilates, Zumba"/>
    <d v="1899-12-30T17:10:00"/>
    <d v="1899-12-30T18:43:00"/>
    <n v="93"/>
    <b v="1"/>
    <s v="Mike"/>
  </r>
  <r>
    <n v="487"/>
    <s v="Mariam"/>
    <x v="0"/>
    <d v="1998-02-22T00:00:00"/>
    <s v="20-30"/>
    <n v="26"/>
    <x v="1"/>
    <n v="2"/>
    <s v="Fri, Sun"/>
    <n v="1"/>
    <n v="0"/>
    <n v="0"/>
    <n v="0"/>
    <n v="0"/>
    <n v="1"/>
    <n v="0"/>
    <b v="1"/>
    <s v="BodyBalance, Spinning"/>
    <d v="1899-12-30T15:44:00"/>
    <d v="1899-12-30T18:44:00"/>
    <n v="180"/>
    <b v="1"/>
    <s v="Chantal"/>
  </r>
  <r>
    <n v="488"/>
    <s v="Hodge"/>
    <x v="1"/>
    <d v="1981-04-25T00:00:00"/>
    <s v="41-50"/>
    <n v="43"/>
    <x v="0"/>
    <n v="5"/>
    <s v="Fri, Mon, Sat, Sun, Wed"/>
    <n v="1"/>
    <n v="1"/>
    <n v="0"/>
    <n v="1"/>
    <n v="0"/>
    <n v="1"/>
    <n v="1"/>
    <b v="0"/>
    <m/>
    <d v="1899-12-30T17:52:00"/>
    <d v="1899-12-30T19:44:00"/>
    <n v="112"/>
    <b v="1"/>
    <s v="Mike"/>
  </r>
  <r>
    <n v="489"/>
    <s v="Huntley"/>
    <x v="1"/>
    <d v="1991-10-08T00:00:00"/>
    <s v="31-41"/>
    <n v="32"/>
    <x v="0"/>
    <n v="2"/>
    <s v="Mon, Sun"/>
    <n v="1"/>
    <n v="1"/>
    <n v="0"/>
    <n v="0"/>
    <n v="0"/>
    <n v="0"/>
    <n v="0"/>
    <b v="0"/>
    <m/>
    <d v="1899-12-30T12:42:00"/>
    <d v="1899-12-30T15:05:00"/>
    <n v="143"/>
    <b v="1"/>
    <s v="Mike"/>
  </r>
  <r>
    <n v="490"/>
    <s v="Sheilakathryn"/>
    <x v="0"/>
    <d v="1996-06-14T00:00:00"/>
    <s v="20-30"/>
    <n v="28"/>
    <x v="1"/>
    <n v="3"/>
    <s v="Fri, Sun, Thu"/>
    <n v="1"/>
    <n v="0"/>
    <n v="0"/>
    <n v="0"/>
    <n v="1"/>
    <n v="1"/>
    <n v="0"/>
    <b v="0"/>
    <m/>
    <d v="1899-12-30T09:55:00"/>
    <d v="1899-12-30T12:11:00"/>
    <n v="136"/>
    <b v="1"/>
    <s v="Chantal"/>
  </r>
  <r>
    <n v="491"/>
    <s v="Crysta"/>
    <x v="0"/>
    <d v="1975-07-18T00:00:00"/>
    <s v="41-50"/>
    <n v="49"/>
    <x v="0"/>
    <n v="1"/>
    <s v="Sun"/>
    <n v="1"/>
    <n v="0"/>
    <n v="0"/>
    <n v="0"/>
    <n v="0"/>
    <n v="0"/>
    <n v="0"/>
    <b v="1"/>
    <s v="Running"/>
    <d v="1899-12-30T08:06:00"/>
    <d v="1899-12-30T08:45:00"/>
    <n v="39"/>
    <b v="1"/>
    <s v="Jeffrey"/>
  </r>
  <r>
    <n v="492"/>
    <s v="Angel"/>
    <x v="1"/>
    <d v="2007-11-19T00:00:00"/>
    <s v="below 20"/>
    <n v="16"/>
    <x v="1"/>
    <n v="2"/>
    <s v="Sat, Thu"/>
    <n v="0"/>
    <n v="0"/>
    <n v="0"/>
    <n v="0"/>
    <n v="1"/>
    <n v="0"/>
    <n v="1"/>
    <b v="0"/>
    <m/>
    <d v="1899-12-30T11:43:00"/>
    <d v="1899-12-30T14:21:00"/>
    <n v="158"/>
    <b v="0"/>
    <m/>
  </r>
  <r>
    <n v="493"/>
    <s v="Elka"/>
    <x v="0"/>
    <d v="1984-11-15T00:00:00"/>
    <s v="31-41"/>
    <n v="39"/>
    <x v="1"/>
    <n v="2"/>
    <s v="Sat, Thu"/>
    <n v="0"/>
    <n v="0"/>
    <n v="0"/>
    <n v="0"/>
    <n v="1"/>
    <n v="0"/>
    <n v="1"/>
    <b v="1"/>
    <s v="Yoga, Kickboxen, Running"/>
    <d v="1899-12-30T15:14:00"/>
    <d v="1899-12-30T17:15:00"/>
    <n v="121"/>
    <b v="0"/>
    <m/>
  </r>
  <r>
    <n v="494"/>
    <s v="Mil"/>
    <x v="0"/>
    <d v="2012-07-22T00:00:00"/>
    <s v="below 20"/>
    <n v="12"/>
    <x v="1"/>
    <n v="3"/>
    <s v="Fri, Mon, Wed"/>
    <n v="0"/>
    <n v="1"/>
    <n v="0"/>
    <n v="1"/>
    <n v="0"/>
    <n v="1"/>
    <n v="0"/>
    <b v="1"/>
    <s v="BodyPump, Yoga"/>
    <d v="1899-12-30T11:50:00"/>
    <d v="1899-12-30T13:40:00"/>
    <n v="110"/>
    <b v="0"/>
    <m/>
  </r>
  <r>
    <n v="495"/>
    <s v="Efren"/>
    <x v="1"/>
    <d v="1984-03-30T00:00:00"/>
    <s v="31-41"/>
    <n v="40"/>
    <x v="1"/>
    <n v="3"/>
    <s v="Mon, Thu, Tue"/>
    <n v="0"/>
    <n v="1"/>
    <n v="1"/>
    <n v="0"/>
    <n v="1"/>
    <n v="0"/>
    <n v="0"/>
    <b v="0"/>
    <m/>
    <d v="1899-12-30T08:41:00"/>
    <d v="1899-12-30T09:28:00"/>
    <n v="47"/>
    <b v="0"/>
    <m/>
  </r>
  <r>
    <n v="496"/>
    <s v="Butch"/>
    <x v="1"/>
    <d v="1979-12-03T00:00:00"/>
    <s v="41-50"/>
    <n v="44"/>
    <x v="0"/>
    <n v="1"/>
    <s v="Wed"/>
    <n v="0"/>
    <n v="0"/>
    <n v="0"/>
    <n v="1"/>
    <n v="0"/>
    <n v="0"/>
    <n v="0"/>
    <b v="0"/>
    <m/>
    <d v="1899-12-30T15:34:00"/>
    <d v="1899-12-30T18:25:00"/>
    <n v="171"/>
    <b v="1"/>
    <s v="Jeffrey"/>
  </r>
  <r>
    <n v="497"/>
    <s v="Elbertine"/>
    <x v="0"/>
    <d v="2012-09-19T00:00:00"/>
    <s v="below 20"/>
    <n v="12"/>
    <x v="0"/>
    <n v="2"/>
    <s v="Sat, Wed"/>
    <n v="0"/>
    <n v="0"/>
    <n v="0"/>
    <n v="1"/>
    <n v="0"/>
    <n v="0"/>
    <n v="1"/>
    <b v="0"/>
    <m/>
    <d v="1899-12-30T08:05:00"/>
    <d v="1899-12-30T09:11:00"/>
    <n v="66"/>
    <b v="0"/>
    <m/>
  </r>
  <r>
    <n v="498"/>
    <s v="Dall"/>
    <x v="1"/>
    <d v="1981-08-07T00:00:00"/>
    <s v="41-50"/>
    <n v="43"/>
    <x v="0"/>
    <n v="4"/>
    <s v="Fri, Sat, Thu, Wed"/>
    <n v="0"/>
    <n v="0"/>
    <n v="0"/>
    <n v="1"/>
    <n v="1"/>
    <n v="1"/>
    <n v="1"/>
    <b v="1"/>
    <s v="BodyBalance, Spinning, BodyPump"/>
    <d v="1899-12-30T10:38:00"/>
    <d v="1899-12-30T12:34:00"/>
    <n v="116"/>
    <b v="1"/>
    <s v="Jeffrey"/>
  </r>
  <r>
    <n v="499"/>
    <s v="Cecilia"/>
    <x v="0"/>
    <d v="1995-09-22T00:00:00"/>
    <s v="20-30"/>
    <n v="29"/>
    <x v="0"/>
    <n v="3"/>
    <s v="Fri, Sat, Tue"/>
    <n v="0"/>
    <n v="0"/>
    <n v="1"/>
    <n v="0"/>
    <n v="0"/>
    <n v="1"/>
    <n v="1"/>
    <b v="1"/>
    <s v="XCore, Zumba, Kickboxen"/>
    <d v="1899-12-30T20:43:00"/>
    <d v="1899-12-30T21:18:00"/>
    <n v="35"/>
    <b v="0"/>
    <m/>
  </r>
  <r>
    <n v="500"/>
    <s v="Esdras"/>
    <x v="1"/>
    <d v="2005-10-14T00:00:00"/>
    <s v="below 20"/>
    <n v="18"/>
    <x v="1"/>
    <n v="3"/>
    <s v="Mon, Tue, Wed"/>
    <n v="0"/>
    <n v="1"/>
    <n v="1"/>
    <n v="1"/>
    <n v="0"/>
    <n v="0"/>
    <n v="0"/>
    <b v="0"/>
    <m/>
    <d v="1899-12-30T14:34:00"/>
    <d v="1899-12-30T15:34:00"/>
    <n v="60"/>
    <b v="0"/>
    <m/>
  </r>
  <r>
    <n v="501"/>
    <s v="Gib"/>
    <x v="1"/>
    <d v="2005-03-14T00:00:00"/>
    <s v="below 20"/>
    <n v="19"/>
    <x v="0"/>
    <n v="2"/>
    <s v="Mon, Tue"/>
    <n v="0"/>
    <n v="1"/>
    <n v="1"/>
    <n v="0"/>
    <n v="0"/>
    <n v="0"/>
    <n v="0"/>
    <b v="1"/>
    <s v="Pilates, Spinning, HIT"/>
    <d v="1899-12-30T19:22:00"/>
    <d v="1899-12-30T20:45:00"/>
    <n v="83"/>
    <b v="0"/>
    <m/>
  </r>
  <r>
    <n v="502"/>
    <s v="Nolly"/>
    <x v="1"/>
    <d v="2010-11-29T00:00:00"/>
    <s v="below 20"/>
    <n v="13"/>
    <x v="0"/>
    <n v="1"/>
    <s v="Sat"/>
    <n v="0"/>
    <n v="0"/>
    <n v="0"/>
    <n v="0"/>
    <n v="0"/>
    <n v="0"/>
    <n v="1"/>
    <b v="0"/>
    <m/>
    <d v="1899-12-30T16:10:00"/>
    <d v="1899-12-30T18:57:00"/>
    <n v="167"/>
    <b v="0"/>
    <m/>
  </r>
  <r>
    <n v="503"/>
    <s v="Sib"/>
    <x v="0"/>
    <d v="2007-10-19T00:00:00"/>
    <s v="below 20"/>
    <n v="16"/>
    <x v="1"/>
    <n v="3"/>
    <s v="Sat, Tue, Wed"/>
    <n v="0"/>
    <n v="0"/>
    <n v="1"/>
    <n v="1"/>
    <n v="0"/>
    <n v="0"/>
    <n v="1"/>
    <b v="0"/>
    <m/>
    <d v="1899-12-30T15:10:00"/>
    <d v="1899-12-30T17:07:00"/>
    <n v="117"/>
    <b v="1"/>
    <s v="Chantal"/>
  </r>
  <r>
    <n v="504"/>
    <s v="Filia"/>
    <x v="0"/>
    <d v="2000-12-01T00:00:00"/>
    <s v="20-30"/>
    <n v="23"/>
    <x v="1"/>
    <n v="3"/>
    <s v="Fri, Sat, Wed"/>
    <n v="0"/>
    <n v="0"/>
    <n v="0"/>
    <n v="1"/>
    <n v="0"/>
    <n v="1"/>
    <n v="1"/>
    <b v="1"/>
    <s v="HIT, BodyBalance, BodyPump"/>
    <d v="1899-12-30T12:33:00"/>
    <d v="1899-12-30T15:05:00"/>
    <n v="152"/>
    <b v="0"/>
    <m/>
  </r>
  <r>
    <n v="505"/>
    <s v="Remus"/>
    <x v="1"/>
    <d v="1989-05-02T00:00:00"/>
    <s v="31-41"/>
    <n v="35"/>
    <x v="1"/>
    <n v="1"/>
    <s v="Tue"/>
    <n v="0"/>
    <n v="0"/>
    <n v="1"/>
    <n v="0"/>
    <n v="0"/>
    <n v="0"/>
    <n v="0"/>
    <b v="0"/>
    <m/>
    <d v="1899-12-30T16:19:00"/>
    <d v="1899-12-30T17:12:00"/>
    <n v="53"/>
    <b v="0"/>
    <m/>
  </r>
  <r>
    <n v="506"/>
    <s v="Dasie"/>
    <x v="0"/>
    <d v="1997-07-09T00:00:00"/>
    <s v="20-30"/>
    <n v="27"/>
    <x v="0"/>
    <n v="2"/>
    <s v="Tue, Wed"/>
    <n v="0"/>
    <n v="0"/>
    <n v="1"/>
    <n v="1"/>
    <n v="0"/>
    <n v="0"/>
    <n v="0"/>
    <b v="0"/>
    <m/>
    <d v="1899-12-30T18:28:00"/>
    <d v="1899-12-30T19:33:00"/>
    <n v="65"/>
    <b v="0"/>
    <m/>
  </r>
  <r>
    <n v="507"/>
    <s v="Anna-diane"/>
    <x v="0"/>
    <d v="1977-05-24T00:00:00"/>
    <s v="41-50"/>
    <n v="47"/>
    <x v="0"/>
    <n v="2"/>
    <s v="Mon, Sun"/>
    <n v="1"/>
    <n v="1"/>
    <n v="0"/>
    <n v="0"/>
    <n v="0"/>
    <n v="0"/>
    <n v="0"/>
    <b v="1"/>
    <s v="LesMiles, BodyPump, Zumba"/>
    <d v="1899-12-30T15:09:00"/>
    <d v="1899-12-30T16:45:00"/>
    <n v="96"/>
    <b v="1"/>
    <s v="Chantal"/>
  </r>
  <r>
    <n v="508"/>
    <s v="Josh"/>
    <x v="1"/>
    <d v="1979-09-18T00:00:00"/>
    <s v="41-50"/>
    <n v="45"/>
    <x v="1"/>
    <n v="1"/>
    <s v="Sat"/>
    <n v="0"/>
    <n v="0"/>
    <n v="0"/>
    <n v="0"/>
    <n v="0"/>
    <n v="0"/>
    <n v="1"/>
    <b v="0"/>
    <m/>
    <d v="1899-12-30T19:23:00"/>
    <d v="1899-12-30T21:15:00"/>
    <n v="112"/>
    <b v="1"/>
    <s v="Jeffrey"/>
  </r>
  <r>
    <n v="509"/>
    <s v="Joly"/>
    <x v="0"/>
    <d v="1997-03-21T00:00:00"/>
    <s v="20-30"/>
    <n v="27"/>
    <x v="0"/>
    <n v="1"/>
    <s v="Fri"/>
    <n v="0"/>
    <n v="0"/>
    <n v="0"/>
    <n v="0"/>
    <n v="0"/>
    <n v="1"/>
    <n v="0"/>
    <b v="0"/>
    <m/>
    <d v="1899-12-30T14:17:00"/>
    <d v="1899-12-30T15:27:00"/>
    <n v="70"/>
    <b v="0"/>
    <m/>
  </r>
  <r>
    <n v="510"/>
    <s v="Minor"/>
    <x v="1"/>
    <d v="2005-03-23T00:00:00"/>
    <s v="below 20"/>
    <n v="19"/>
    <x v="1"/>
    <n v="3"/>
    <s v="Thu, Tue, Wed"/>
    <n v="0"/>
    <n v="0"/>
    <n v="1"/>
    <n v="1"/>
    <n v="1"/>
    <n v="0"/>
    <n v="0"/>
    <b v="1"/>
    <s v="LesMiles, Running"/>
    <d v="1899-12-30T12:56:00"/>
    <d v="1899-12-30T14:02:00"/>
    <n v="66"/>
    <b v="1"/>
    <s v="Jeffrey"/>
  </r>
  <r>
    <n v="511"/>
    <s v="Finley"/>
    <x v="1"/>
    <d v="1988-01-16T00:00:00"/>
    <s v="31-41"/>
    <n v="36"/>
    <x v="1"/>
    <n v="1"/>
    <s v="Mon"/>
    <n v="0"/>
    <n v="1"/>
    <n v="0"/>
    <n v="0"/>
    <n v="0"/>
    <n v="0"/>
    <n v="0"/>
    <b v="1"/>
    <s v="XCore"/>
    <d v="1899-12-30T11:56:00"/>
    <d v="1899-12-30T14:34:00"/>
    <n v="158"/>
    <b v="1"/>
    <s v="Mike"/>
  </r>
  <r>
    <n v="512"/>
    <s v="Jarred"/>
    <x v="1"/>
    <d v="2000-12-23T00:00:00"/>
    <s v="20-30"/>
    <n v="23"/>
    <x v="1"/>
    <n v="3"/>
    <s v="Mon, Tue, Wed"/>
    <n v="0"/>
    <n v="1"/>
    <n v="1"/>
    <n v="1"/>
    <n v="0"/>
    <n v="0"/>
    <n v="0"/>
    <b v="1"/>
    <s v="XCore, Pilates, Spinning"/>
    <d v="1899-12-30T19:02:00"/>
    <d v="1899-12-30T21:29:00"/>
    <n v="147"/>
    <b v="0"/>
    <m/>
  </r>
  <r>
    <n v="513"/>
    <s v="Kermy"/>
    <x v="1"/>
    <d v="1999-05-03T00:00:00"/>
    <s v="20-30"/>
    <n v="25"/>
    <x v="0"/>
    <n v="1"/>
    <s v="Mon"/>
    <n v="0"/>
    <n v="1"/>
    <n v="0"/>
    <n v="0"/>
    <n v="0"/>
    <n v="0"/>
    <n v="0"/>
    <b v="1"/>
    <s v="Kickboxen, Zumba"/>
    <d v="1899-12-30T14:30:00"/>
    <d v="1899-12-30T15:32:00"/>
    <n v="62"/>
    <b v="1"/>
    <s v="Hanna"/>
  </r>
  <r>
    <n v="514"/>
    <s v="Darcee"/>
    <x v="0"/>
    <d v="2001-05-13T00:00:00"/>
    <s v="20-30"/>
    <n v="23"/>
    <x v="1"/>
    <n v="3"/>
    <s v="Sat, Thu, Tue"/>
    <n v="0"/>
    <n v="0"/>
    <n v="1"/>
    <n v="0"/>
    <n v="1"/>
    <n v="0"/>
    <n v="1"/>
    <b v="1"/>
    <s v="Zumba, Kickboxen"/>
    <d v="1899-12-30T12:43:00"/>
    <d v="1899-12-30T14:11:00"/>
    <n v="88"/>
    <b v="0"/>
    <m/>
  </r>
  <r>
    <n v="515"/>
    <s v="Laney"/>
    <x v="0"/>
    <d v="2002-10-23T00:00:00"/>
    <s v="20-30"/>
    <n v="21"/>
    <x v="1"/>
    <n v="1"/>
    <s v="Fri"/>
    <n v="0"/>
    <n v="0"/>
    <n v="0"/>
    <n v="0"/>
    <n v="0"/>
    <n v="1"/>
    <n v="0"/>
    <b v="0"/>
    <m/>
    <d v="1899-12-30T08:29:00"/>
    <d v="1899-12-30T10:46:00"/>
    <n v="137"/>
    <b v="0"/>
    <m/>
  </r>
  <r>
    <n v="516"/>
    <s v="Corella"/>
    <x v="0"/>
    <d v="1975-10-30T00:00:00"/>
    <s v="41-50"/>
    <n v="48"/>
    <x v="0"/>
    <n v="1"/>
    <s v="Sun"/>
    <n v="1"/>
    <n v="0"/>
    <n v="0"/>
    <n v="0"/>
    <n v="0"/>
    <n v="0"/>
    <n v="0"/>
    <b v="1"/>
    <s v="Yoga, Spinning, BodyBalance"/>
    <d v="1899-12-30T14:44:00"/>
    <d v="1899-12-30T15:19:00"/>
    <n v="35"/>
    <b v="1"/>
    <s v="Chantal"/>
  </r>
  <r>
    <n v="517"/>
    <s v="Alec"/>
    <x v="1"/>
    <d v="1998-06-19T00:00:00"/>
    <s v="20-30"/>
    <n v="26"/>
    <x v="1"/>
    <n v="4"/>
    <s v="Fri, Mon, Sat, Sun"/>
    <n v="1"/>
    <n v="1"/>
    <n v="0"/>
    <n v="0"/>
    <n v="0"/>
    <n v="1"/>
    <n v="1"/>
    <b v="0"/>
    <m/>
    <d v="1899-12-30T08:44:00"/>
    <d v="1899-12-30T09:58:00"/>
    <n v="74"/>
    <b v="0"/>
    <m/>
  </r>
  <r>
    <n v="518"/>
    <s v="Torey"/>
    <x v="1"/>
    <d v="2007-06-28T00:00:00"/>
    <s v="below 20"/>
    <n v="17"/>
    <x v="1"/>
    <n v="2"/>
    <s v="Thu, Wed"/>
    <n v="0"/>
    <n v="0"/>
    <n v="0"/>
    <n v="1"/>
    <n v="1"/>
    <n v="0"/>
    <n v="0"/>
    <b v="1"/>
    <s v="BodyPump, XCore, Yoga"/>
    <d v="1899-12-30T08:24:00"/>
    <d v="1899-12-30T09:41:00"/>
    <n v="77"/>
    <b v="0"/>
    <m/>
  </r>
  <r>
    <n v="519"/>
    <s v="Hollis"/>
    <x v="1"/>
    <d v="2010-11-26T00:00:00"/>
    <s v="below 20"/>
    <n v="13"/>
    <x v="1"/>
    <n v="2"/>
    <s v="Tue, Wed"/>
    <n v="0"/>
    <n v="0"/>
    <n v="1"/>
    <n v="1"/>
    <n v="0"/>
    <n v="0"/>
    <n v="0"/>
    <b v="1"/>
    <s v="XCore, BodyPump, Yoga"/>
    <d v="1899-12-30T10:34:00"/>
    <d v="1899-12-30T13:30:00"/>
    <n v="176"/>
    <b v="0"/>
    <m/>
  </r>
  <r>
    <n v="520"/>
    <s v="Jo-anne"/>
    <x v="0"/>
    <d v="1991-09-12T00:00:00"/>
    <s v="31-41"/>
    <n v="33"/>
    <x v="1"/>
    <n v="3"/>
    <s v="Mon, Sat, Wed"/>
    <n v="0"/>
    <n v="1"/>
    <n v="0"/>
    <n v="1"/>
    <n v="0"/>
    <n v="0"/>
    <n v="1"/>
    <b v="0"/>
    <m/>
    <d v="1899-12-30T19:30:00"/>
    <d v="1899-12-30T22:15:00"/>
    <n v="165"/>
    <b v="0"/>
    <m/>
  </r>
  <r>
    <n v="521"/>
    <s v="Mikaela"/>
    <x v="0"/>
    <d v="1993-03-01T00:00:00"/>
    <s v="31-41"/>
    <n v="31"/>
    <x v="0"/>
    <n v="4"/>
    <s v="Fri, Mon, Sun, Tue"/>
    <n v="1"/>
    <n v="1"/>
    <n v="1"/>
    <n v="0"/>
    <n v="0"/>
    <n v="1"/>
    <n v="0"/>
    <b v="0"/>
    <m/>
    <d v="1899-12-30T20:33:00"/>
    <d v="1899-12-30T22:09:00"/>
    <n v="96"/>
    <b v="0"/>
    <m/>
  </r>
  <r>
    <n v="522"/>
    <s v="Calypso"/>
    <x v="0"/>
    <d v="2000-03-03T00:00:00"/>
    <s v="20-30"/>
    <n v="24"/>
    <x v="1"/>
    <n v="2"/>
    <s v="Sat, Tue"/>
    <n v="0"/>
    <n v="0"/>
    <n v="1"/>
    <n v="0"/>
    <n v="0"/>
    <n v="0"/>
    <n v="1"/>
    <b v="1"/>
    <s v="Zumba, Kickboxen"/>
    <d v="1899-12-30T20:25:00"/>
    <d v="1899-12-30T22:20:00"/>
    <n v="115"/>
    <b v="0"/>
    <m/>
  </r>
  <r>
    <n v="523"/>
    <s v="Klarika"/>
    <x v="0"/>
    <d v="1994-01-12T00:00:00"/>
    <s v="20-30"/>
    <n v="30"/>
    <x v="0"/>
    <n v="1"/>
    <s v="Fri"/>
    <n v="0"/>
    <n v="0"/>
    <n v="0"/>
    <n v="0"/>
    <n v="0"/>
    <n v="1"/>
    <n v="0"/>
    <b v="0"/>
    <m/>
    <d v="1899-12-30T17:59:00"/>
    <d v="1899-12-30T19:38:00"/>
    <n v="99"/>
    <b v="1"/>
    <s v="Chantal"/>
  </r>
  <r>
    <n v="524"/>
    <s v="Sofie"/>
    <x v="0"/>
    <d v="2009-07-17T00:00:00"/>
    <s v="below 20"/>
    <n v="15"/>
    <x v="1"/>
    <n v="2"/>
    <s v="Sat, Thu"/>
    <n v="0"/>
    <n v="0"/>
    <n v="0"/>
    <n v="0"/>
    <n v="1"/>
    <n v="0"/>
    <n v="1"/>
    <b v="1"/>
    <s v="XCore"/>
    <d v="1899-12-30T14:20:00"/>
    <d v="1899-12-30T14:54:00"/>
    <n v="34"/>
    <b v="0"/>
    <m/>
  </r>
  <r>
    <n v="525"/>
    <s v="Charisse"/>
    <x v="0"/>
    <d v="1997-04-07T00:00:00"/>
    <s v="20-30"/>
    <n v="27"/>
    <x v="0"/>
    <n v="5"/>
    <s v="Sat, Sun, Thu, Tue, Wed"/>
    <n v="1"/>
    <n v="0"/>
    <n v="1"/>
    <n v="1"/>
    <n v="1"/>
    <n v="0"/>
    <n v="1"/>
    <b v="0"/>
    <m/>
    <d v="1899-12-30T18:22:00"/>
    <d v="1899-12-30T18:58:00"/>
    <n v="36"/>
    <b v="0"/>
    <m/>
  </r>
  <r>
    <n v="526"/>
    <s v="Tailor"/>
    <x v="1"/>
    <d v="2008-01-07T00:00:00"/>
    <s v="below 20"/>
    <n v="16"/>
    <x v="1"/>
    <n v="4"/>
    <s v="Mon, Sat, Thu, Wed"/>
    <n v="0"/>
    <n v="1"/>
    <n v="0"/>
    <n v="1"/>
    <n v="1"/>
    <n v="0"/>
    <n v="1"/>
    <b v="1"/>
    <s v="Zumba"/>
    <d v="1899-12-30T13:43:00"/>
    <d v="1899-12-30T15:48:00"/>
    <n v="125"/>
    <b v="1"/>
    <s v="Mike"/>
  </r>
  <r>
    <n v="527"/>
    <s v="Flora"/>
    <x v="0"/>
    <d v="1990-08-20T00:00:00"/>
    <s v="31-41"/>
    <n v="34"/>
    <x v="0"/>
    <n v="3"/>
    <s v="Fri, Sun, Wed"/>
    <n v="1"/>
    <n v="0"/>
    <n v="0"/>
    <n v="1"/>
    <n v="0"/>
    <n v="1"/>
    <n v="0"/>
    <b v="0"/>
    <m/>
    <d v="1899-12-30T11:15:00"/>
    <d v="1899-12-30T12:14:00"/>
    <n v="59"/>
    <b v="1"/>
    <s v="Chantal"/>
  </r>
  <r>
    <n v="528"/>
    <s v="Yetty"/>
    <x v="0"/>
    <d v="1998-07-30T00:00:00"/>
    <s v="20-30"/>
    <n v="26"/>
    <x v="1"/>
    <n v="3"/>
    <s v="Sun, Thu, Wed"/>
    <n v="1"/>
    <n v="0"/>
    <n v="0"/>
    <n v="1"/>
    <n v="1"/>
    <n v="0"/>
    <n v="0"/>
    <b v="1"/>
    <s v="BodyBalance"/>
    <d v="1899-12-30T08:27:00"/>
    <d v="1899-12-30T10:46:00"/>
    <n v="139"/>
    <b v="0"/>
    <m/>
  </r>
  <r>
    <n v="529"/>
    <s v="Errol"/>
    <x v="1"/>
    <d v="2004-09-13T00:00:00"/>
    <s v="20-30"/>
    <n v="20"/>
    <x v="0"/>
    <n v="2"/>
    <s v="Mon, Wed"/>
    <n v="0"/>
    <n v="1"/>
    <n v="0"/>
    <n v="1"/>
    <n v="0"/>
    <n v="0"/>
    <n v="0"/>
    <b v="0"/>
    <m/>
    <d v="1899-12-30T08:50:00"/>
    <d v="1899-12-30T10:35:00"/>
    <n v="105"/>
    <b v="0"/>
    <m/>
  </r>
  <r>
    <n v="530"/>
    <s v="Sandy"/>
    <x v="0"/>
    <d v="1979-04-17T00:00:00"/>
    <s v="41-50"/>
    <n v="45"/>
    <x v="0"/>
    <n v="3"/>
    <s v="Fri, Sat, Thu"/>
    <n v="0"/>
    <n v="0"/>
    <n v="0"/>
    <n v="0"/>
    <n v="1"/>
    <n v="1"/>
    <n v="1"/>
    <b v="1"/>
    <s v="Kickboxen, Running, Pilates"/>
    <d v="1899-12-30T19:59:00"/>
    <d v="1899-12-30T20:43:00"/>
    <n v="44"/>
    <b v="0"/>
    <m/>
  </r>
  <r>
    <n v="531"/>
    <s v="Zacharie"/>
    <x v="1"/>
    <d v="1993-06-10T00:00:00"/>
    <s v="31-41"/>
    <n v="31"/>
    <x v="0"/>
    <n v="2"/>
    <s v="Sat, Sun"/>
    <n v="1"/>
    <n v="0"/>
    <n v="0"/>
    <n v="0"/>
    <n v="0"/>
    <n v="0"/>
    <n v="1"/>
    <b v="1"/>
    <s v="Kickboxen, Yoga, Running"/>
    <d v="1899-12-30T14:51:00"/>
    <d v="1899-12-30T15:46:00"/>
    <n v="55"/>
    <b v="1"/>
    <s v="Mike"/>
  </r>
  <r>
    <n v="532"/>
    <s v="Skell"/>
    <x v="1"/>
    <d v="1976-09-28T00:00:00"/>
    <s v="41-50"/>
    <n v="48"/>
    <x v="0"/>
    <n v="4"/>
    <s v="Fri, Mon, Sat, Tue"/>
    <n v="0"/>
    <n v="1"/>
    <n v="1"/>
    <n v="0"/>
    <n v="0"/>
    <n v="1"/>
    <n v="1"/>
    <b v="1"/>
    <s v="BodyPump, Kickboxen"/>
    <d v="1899-12-30T16:04:00"/>
    <d v="1899-12-30T16:43:00"/>
    <n v="39"/>
    <b v="1"/>
    <s v="Chantal"/>
  </r>
  <r>
    <n v="533"/>
    <s v="Cyndie"/>
    <x v="0"/>
    <d v="1985-08-29T00:00:00"/>
    <s v="31-41"/>
    <n v="39"/>
    <x v="0"/>
    <n v="4"/>
    <s v="Fri, Mon, Sat, Wed"/>
    <n v="0"/>
    <n v="1"/>
    <n v="0"/>
    <n v="1"/>
    <n v="0"/>
    <n v="1"/>
    <n v="1"/>
    <b v="0"/>
    <m/>
    <d v="1899-12-30T18:58:00"/>
    <d v="1899-12-30T21:37:00"/>
    <n v="159"/>
    <b v="0"/>
    <m/>
  </r>
  <r>
    <n v="534"/>
    <s v="Rabbi"/>
    <x v="1"/>
    <d v="1996-01-31T00:00:00"/>
    <s v="20-30"/>
    <n v="28"/>
    <x v="1"/>
    <n v="5"/>
    <s v="Fri, Sat, Sun, Tue, Wed"/>
    <n v="1"/>
    <n v="0"/>
    <n v="1"/>
    <n v="1"/>
    <n v="0"/>
    <n v="1"/>
    <n v="1"/>
    <b v="0"/>
    <m/>
    <d v="1899-12-30T14:53:00"/>
    <d v="1899-12-30T17:41:00"/>
    <n v="168"/>
    <b v="0"/>
    <m/>
  </r>
  <r>
    <n v="535"/>
    <s v="Enos"/>
    <x v="1"/>
    <d v="2006-09-25T00:00:00"/>
    <s v="below 20"/>
    <n v="18"/>
    <x v="0"/>
    <n v="3"/>
    <s v="Fri, Tue, Wed"/>
    <n v="0"/>
    <n v="0"/>
    <n v="1"/>
    <n v="1"/>
    <n v="0"/>
    <n v="1"/>
    <n v="0"/>
    <b v="1"/>
    <s v="BodyPump, XCore"/>
    <d v="1899-12-30T17:46:00"/>
    <d v="1899-12-30T19:22:00"/>
    <n v="96"/>
    <b v="1"/>
    <s v="Jeffrey"/>
  </r>
  <r>
    <n v="536"/>
    <s v="Giselbert"/>
    <x v="1"/>
    <d v="1988-03-25T00:00:00"/>
    <s v="31-41"/>
    <n v="36"/>
    <x v="0"/>
    <n v="3"/>
    <s v="Fri, Mon, Thu"/>
    <n v="0"/>
    <n v="1"/>
    <n v="0"/>
    <n v="0"/>
    <n v="1"/>
    <n v="1"/>
    <n v="0"/>
    <b v="0"/>
    <m/>
    <d v="1899-12-30T16:05:00"/>
    <d v="1899-12-30T16:43:00"/>
    <n v="38"/>
    <b v="0"/>
    <m/>
  </r>
  <r>
    <n v="537"/>
    <s v="Jane"/>
    <x v="0"/>
    <d v="1997-12-18T00:00:00"/>
    <s v="20-30"/>
    <n v="26"/>
    <x v="1"/>
    <n v="3"/>
    <s v="Fri, Sat, Thu"/>
    <n v="0"/>
    <n v="0"/>
    <n v="0"/>
    <n v="0"/>
    <n v="1"/>
    <n v="1"/>
    <n v="1"/>
    <b v="1"/>
    <s v="BodyPump, HIT, Zumba"/>
    <d v="1899-12-30T10:22:00"/>
    <d v="1899-12-30T11:11:00"/>
    <n v="49"/>
    <b v="1"/>
    <s v="Chantal"/>
  </r>
  <r>
    <n v="538"/>
    <s v="Jethro"/>
    <x v="1"/>
    <d v="1980-06-26T00:00:00"/>
    <s v="41-50"/>
    <n v="44"/>
    <x v="0"/>
    <n v="2"/>
    <s v="Fri, Thu"/>
    <n v="0"/>
    <n v="0"/>
    <n v="0"/>
    <n v="0"/>
    <n v="1"/>
    <n v="1"/>
    <n v="0"/>
    <b v="0"/>
    <m/>
    <d v="1899-12-30T08:10:00"/>
    <d v="1899-12-30T10:42:00"/>
    <n v="152"/>
    <b v="1"/>
    <s v="Jeffrey"/>
  </r>
  <r>
    <n v="539"/>
    <s v="Dru"/>
    <x v="1"/>
    <d v="2012-08-18T00:00:00"/>
    <s v="below 20"/>
    <n v="12"/>
    <x v="0"/>
    <n v="1"/>
    <s v="Fri"/>
    <n v="0"/>
    <n v="0"/>
    <n v="0"/>
    <n v="0"/>
    <n v="0"/>
    <n v="1"/>
    <n v="0"/>
    <b v="1"/>
    <s v="XCore, Pilates"/>
    <d v="1899-12-30T17:08:00"/>
    <d v="1899-12-30T17:40:00"/>
    <n v="32"/>
    <b v="0"/>
    <m/>
  </r>
  <r>
    <n v="540"/>
    <s v="Ermanno"/>
    <x v="1"/>
    <d v="2000-02-12T00:00:00"/>
    <s v="20-30"/>
    <n v="24"/>
    <x v="1"/>
    <n v="1"/>
    <s v="Mon"/>
    <n v="0"/>
    <n v="1"/>
    <n v="0"/>
    <n v="0"/>
    <n v="0"/>
    <n v="0"/>
    <n v="0"/>
    <b v="1"/>
    <s v="Yoga"/>
    <d v="1899-12-30T08:58:00"/>
    <d v="1899-12-30T10:09:00"/>
    <n v="71"/>
    <b v="1"/>
    <s v="Hanna"/>
  </r>
  <r>
    <n v="541"/>
    <s v="Solomon"/>
    <x v="1"/>
    <d v="1976-09-04T00:00:00"/>
    <s v="41-50"/>
    <n v="48"/>
    <x v="0"/>
    <n v="2"/>
    <s v="Mon, Tue"/>
    <n v="0"/>
    <n v="1"/>
    <n v="1"/>
    <n v="0"/>
    <n v="0"/>
    <n v="0"/>
    <n v="0"/>
    <b v="0"/>
    <m/>
    <d v="1899-12-30T16:59:00"/>
    <d v="1899-12-30T17:48:00"/>
    <n v="49"/>
    <b v="0"/>
    <m/>
  </r>
  <r>
    <n v="542"/>
    <s v="Cicily"/>
    <x v="0"/>
    <d v="2011-10-11T00:00:00"/>
    <s v="below 20"/>
    <n v="12"/>
    <x v="0"/>
    <n v="1"/>
    <s v="Tue"/>
    <n v="0"/>
    <n v="0"/>
    <n v="1"/>
    <n v="0"/>
    <n v="0"/>
    <n v="0"/>
    <n v="0"/>
    <b v="1"/>
    <s v="XCore"/>
    <d v="1899-12-30T11:55:00"/>
    <d v="1899-12-30T14:42:00"/>
    <n v="167"/>
    <b v="0"/>
    <m/>
  </r>
  <r>
    <n v="543"/>
    <s v="Perle"/>
    <x v="0"/>
    <d v="1995-08-03T00:00:00"/>
    <s v="20-30"/>
    <n v="29"/>
    <x v="1"/>
    <n v="2"/>
    <s v="Sat, Sun"/>
    <n v="1"/>
    <n v="0"/>
    <n v="0"/>
    <n v="0"/>
    <n v="0"/>
    <n v="0"/>
    <n v="1"/>
    <b v="0"/>
    <m/>
    <d v="1899-12-30T14:45:00"/>
    <d v="1899-12-30T15:42:00"/>
    <n v="57"/>
    <b v="1"/>
    <s v="Jeffrey"/>
  </r>
  <r>
    <n v="544"/>
    <s v="Bianca"/>
    <x v="0"/>
    <d v="2012-09-21T00:00:00"/>
    <s v="below 20"/>
    <n v="12"/>
    <x v="0"/>
    <n v="2"/>
    <s v="Fri, Mon"/>
    <n v="0"/>
    <n v="1"/>
    <n v="0"/>
    <n v="0"/>
    <n v="0"/>
    <n v="1"/>
    <n v="0"/>
    <b v="1"/>
    <s v="BodyBalance, BodyPump"/>
    <d v="1899-12-30T09:49:00"/>
    <d v="1899-12-30T10:36:00"/>
    <n v="47"/>
    <b v="1"/>
    <s v="Hanna"/>
  </r>
  <r>
    <n v="545"/>
    <s v="Ddene"/>
    <x v="0"/>
    <d v="1987-06-02T00:00:00"/>
    <s v="31-41"/>
    <n v="37"/>
    <x v="0"/>
    <n v="1"/>
    <s v="Tue"/>
    <n v="0"/>
    <n v="0"/>
    <n v="1"/>
    <n v="0"/>
    <n v="0"/>
    <n v="0"/>
    <n v="0"/>
    <b v="1"/>
    <s v="BodyBalance"/>
    <d v="1899-12-30T15:26:00"/>
    <d v="1899-12-30T18:01:00"/>
    <n v="155"/>
    <b v="0"/>
    <m/>
  </r>
  <r>
    <n v="546"/>
    <s v="Agnesse"/>
    <x v="0"/>
    <d v="2003-11-04T00:00:00"/>
    <s v="20-30"/>
    <n v="20"/>
    <x v="1"/>
    <n v="1"/>
    <s v="Wed"/>
    <n v="0"/>
    <n v="0"/>
    <n v="0"/>
    <n v="1"/>
    <n v="0"/>
    <n v="0"/>
    <n v="0"/>
    <b v="0"/>
    <m/>
    <d v="1899-12-30T08:55:00"/>
    <d v="1899-12-30T09:55:00"/>
    <n v="60"/>
    <b v="1"/>
    <s v="Hanna"/>
  </r>
  <r>
    <n v="547"/>
    <s v="Papageno"/>
    <x v="1"/>
    <d v="2002-09-08T00:00:00"/>
    <s v="20-30"/>
    <n v="22"/>
    <x v="1"/>
    <n v="2"/>
    <s v="Fri, Sat"/>
    <n v="0"/>
    <n v="0"/>
    <n v="0"/>
    <n v="0"/>
    <n v="0"/>
    <n v="1"/>
    <n v="1"/>
    <b v="0"/>
    <m/>
    <d v="1899-12-30T16:19:00"/>
    <d v="1899-12-30T19:01:00"/>
    <n v="162"/>
    <b v="0"/>
    <m/>
  </r>
  <r>
    <n v="548"/>
    <s v="Alvina"/>
    <x v="0"/>
    <d v="2011-05-04T00:00:00"/>
    <s v="below 20"/>
    <n v="13"/>
    <x v="1"/>
    <n v="2"/>
    <s v="Mon, Wed"/>
    <n v="0"/>
    <n v="1"/>
    <n v="0"/>
    <n v="1"/>
    <n v="0"/>
    <n v="0"/>
    <n v="0"/>
    <b v="1"/>
    <s v="Pilates, BodyPump"/>
    <d v="1899-12-30T16:36:00"/>
    <d v="1899-12-30T18:18:00"/>
    <n v="102"/>
    <b v="0"/>
    <m/>
  </r>
  <r>
    <n v="549"/>
    <s v="Sebastiano"/>
    <x v="1"/>
    <d v="1989-07-31T00:00:00"/>
    <s v="31-41"/>
    <n v="35"/>
    <x v="0"/>
    <n v="1"/>
    <s v="Mon"/>
    <n v="0"/>
    <n v="1"/>
    <n v="0"/>
    <n v="0"/>
    <n v="0"/>
    <n v="0"/>
    <n v="0"/>
    <b v="1"/>
    <s v="BodyPump, Spinning, BodyBalance"/>
    <d v="1899-12-30T16:27:00"/>
    <d v="1899-12-30T17:50:00"/>
    <n v="83"/>
    <b v="1"/>
    <s v="Jeffrey"/>
  </r>
  <r>
    <n v="550"/>
    <s v="Charyl"/>
    <x v="0"/>
    <d v="2006-08-31T00:00:00"/>
    <s v="below 20"/>
    <n v="18"/>
    <x v="0"/>
    <n v="1"/>
    <s v="Fri"/>
    <n v="0"/>
    <n v="0"/>
    <n v="0"/>
    <n v="0"/>
    <n v="0"/>
    <n v="1"/>
    <n v="0"/>
    <b v="0"/>
    <m/>
    <d v="1899-12-30T18:01:00"/>
    <d v="1899-12-30T19:25:00"/>
    <n v="84"/>
    <b v="1"/>
    <s v="Jeffrey"/>
  </r>
  <r>
    <n v="551"/>
    <s v="Manda"/>
    <x v="0"/>
    <d v="1988-09-21T00:00:00"/>
    <s v="31-41"/>
    <n v="36"/>
    <x v="1"/>
    <n v="2"/>
    <s v="Mon, Wed"/>
    <n v="0"/>
    <n v="1"/>
    <n v="0"/>
    <n v="1"/>
    <n v="0"/>
    <n v="0"/>
    <n v="0"/>
    <b v="0"/>
    <m/>
    <d v="1899-12-30T15:38:00"/>
    <d v="1899-12-30T16:42:00"/>
    <n v="64"/>
    <b v="1"/>
    <s v="Mike"/>
  </r>
  <r>
    <n v="552"/>
    <s v="Bernetta"/>
    <x v="0"/>
    <d v="1986-11-05T00:00:00"/>
    <s v="31-41"/>
    <n v="37"/>
    <x v="1"/>
    <n v="1"/>
    <s v="Sun"/>
    <n v="1"/>
    <n v="0"/>
    <n v="0"/>
    <n v="0"/>
    <n v="0"/>
    <n v="0"/>
    <n v="0"/>
    <b v="1"/>
    <s v="Spinning, HIT"/>
    <d v="1899-12-30T15:55:00"/>
    <d v="1899-12-30T17:06:00"/>
    <n v="71"/>
    <b v="0"/>
    <m/>
  </r>
  <r>
    <n v="553"/>
    <s v="Consalve"/>
    <x v="1"/>
    <d v="1986-12-14T00:00:00"/>
    <s v="31-41"/>
    <n v="37"/>
    <x v="1"/>
    <n v="3"/>
    <s v="Mon, Sat, Thu"/>
    <n v="0"/>
    <n v="1"/>
    <n v="0"/>
    <n v="0"/>
    <n v="1"/>
    <n v="0"/>
    <n v="1"/>
    <b v="1"/>
    <s v="Kickboxen, Spinning, BodyBalance"/>
    <d v="1899-12-30T18:23:00"/>
    <d v="1899-12-30T20:10:00"/>
    <n v="107"/>
    <b v="0"/>
    <m/>
  </r>
  <r>
    <n v="554"/>
    <s v="Kit"/>
    <x v="0"/>
    <d v="1978-01-19T00:00:00"/>
    <s v="41-50"/>
    <n v="46"/>
    <x v="0"/>
    <n v="3"/>
    <s v="Fri, Sun, Tue"/>
    <n v="1"/>
    <n v="0"/>
    <n v="1"/>
    <n v="0"/>
    <n v="0"/>
    <n v="1"/>
    <n v="0"/>
    <b v="1"/>
    <s v="BodyPump, Kickboxen, LesMiles"/>
    <d v="1899-12-30T18:15:00"/>
    <d v="1899-12-30T19:07:00"/>
    <n v="52"/>
    <b v="1"/>
    <s v="Jeffrey"/>
  </r>
  <r>
    <n v="555"/>
    <s v="Garner"/>
    <x v="1"/>
    <d v="1985-05-27T00:00:00"/>
    <s v="31-41"/>
    <n v="39"/>
    <x v="0"/>
    <n v="4"/>
    <s v="Fri, Mon, Sun, Tue"/>
    <n v="1"/>
    <n v="1"/>
    <n v="1"/>
    <n v="0"/>
    <n v="0"/>
    <n v="1"/>
    <n v="0"/>
    <b v="1"/>
    <s v="BodyPump"/>
    <d v="1899-12-30T19:22:00"/>
    <d v="1899-12-30T20:59:00"/>
    <n v="97"/>
    <b v="0"/>
    <m/>
  </r>
  <r>
    <n v="556"/>
    <s v="Audra"/>
    <x v="0"/>
    <d v="1985-04-20T00:00:00"/>
    <s v="31-41"/>
    <n v="39"/>
    <x v="1"/>
    <n v="2"/>
    <s v="Sat, Thu"/>
    <n v="0"/>
    <n v="0"/>
    <n v="0"/>
    <n v="0"/>
    <n v="1"/>
    <n v="0"/>
    <n v="1"/>
    <b v="0"/>
    <m/>
    <d v="1899-12-30T10:32:00"/>
    <d v="1899-12-30T11:50:00"/>
    <n v="78"/>
    <b v="0"/>
    <m/>
  </r>
  <r>
    <n v="557"/>
    <s v="Hatti"/>
    <x v="0"/>
    <d v="1987-03-26T00:00:00"/>
    <s v="31-41"/>
    <n v="37"/>
    <x v="1"/>
    <n v="1"/>
    <s v="Thu"/>
    <n v="0"/>
    <n v="0"/>
    <n v="0"/>
    <n v="0"/>
    <n v="1"/>
    <n v="0"/>
    <n v="0"/>
    <b v="1"/>
    <s v="LesMiles, Zumba, Pilates"/>
    <d v="1899-12-30T10:36:00"/>
    <d v="1899-12-30T11:30:00"/>
    <n v="54"/>
    <b v="0"/>
    <m/>
  </r>
  <r>
    <n v="558"/>
    <s v="Theodoric"/>
    <x v="1"/>
    <d v="1975-11-26T00:00:00"/>
    <s v="41-50"/>
    <n v="48"/>
    <x v="1"/>
    <n v="3"/>
    <s v="Fri, Sat, Sun"/>
    <n v="1"/>
    <n v="0"/>
    <n v="0"/>
    <n v="0"/>
    <n v="0"/>
    <n v="1"/>
    <n v="1"/>
    <b v="0"/>
    <m/>
    <d v="1899-12-30T15:32:00"/>
    <d v="1899-12-30T16:21:00"/>
    <n v="49"/>
    <b v="1"/>
    <s v="Hanna"/>
  </r>
  <r>
    <n v="559"/>
    <s v="Bride"/>
    <x v="0"/>
    <d v="1978-08-08T00:00:00"/>
    <s v="41-50"/>
    <n v="46"/>
    <x v="0"/>
    <n v="2"/>
    <s v="Sat, Sun"/>
    <n v="1"/>
    <n v="0"/>
    <n v="0"/>
    <n v="0"/>
    <n v="0"/>
    <n v="0"/>
    <n v="1"/>
    <b v="0"/>
    <m/>
    <d v="1899-12-30T17:54:00"/>
    <d v="1899-12-30T19:43:00"/>
    <n v="109"/>
    <b v="0"/>
    <m/>
  </r>
  <r>
    <n v="560"/>
    <s v="Marietta"/>
    <x v="0"/>
    <d v="1979-07-13T00:00:00"/>
    <s v="41-50"/>
    <n v="45"/>
    <x v="1"/>
    <n v="2"/>
    <s v="Thu, Wed"/>
    <n v="0"/>
    <n v="0"/>
    <n v="0"/>
    <n v="1"/>
    <n v="1"/>
    <n v="0"/>
    <n v="0"/>
    <b v="0"/>
    <m/>
    <d v="1899-12-30T15:36:00"/>
    <d v="1899-12-30T17:50:00"/>
    <n v="134"/>
    <b v="1"/>
    <s v="Hanna"/>
  </r>
  <r>
    <n v="561"/>
    <s v="Monique"/>
    <x v="0"/>
    <d v="1981-09-23T00:00:00"/>
    <s v="41-50"/>
    <n v="43"/>
    <x v="0"/>
    <n v="5"/>
    <s v="Fri, Mon, Sat, Thu, Tue"/>
    <n v="0"/>
    <n v="1"/>
    <n v="1"/>
    <n v="0"/>
    <n v="1"/>
    <n v="1"/>
    <n v="1"/>
    <b v="1"/>
    <s v="BodyPump, Yoga, Kickboxen"/>
    <d v="1899-12-30T13:20:00"/>
    <d v="1899-12-30T14:50:00"/>
    <n v="90"/>
    <b v="0"/>
    <m/>
  </r>
  <r>
    <n v="562"/>
    <s v="Gerladina"/>
    <x v="0"/>
    <d v="1986-10-09T00:00:00"/>
    <s v="31-41"/>
    <n v="37"/>
    <x v="1"/>
    <n v="1"/>
    <s v="Sat"/>
    <n v="0"/>
    <n v="0"/>
    <n v="0"/>
    <n v="0"/>
    <n v="0"/>
    <n v="0"/>
    <n v="1"/>
    <b v="1"/>
    <s v="Yoga"/>
    <d v="1899-12-30T12:52:00"/>
    <d v="1899-12-30T15:39:00"/>
    <n v="167"/>
    <b v="0"/>
    <m/>
  </r>
  <r>
    <n v="563"/>
    <s v="Filippa"/>
    <x v="0"/>
    <d v="2008-06-20T00:00:00"/>
    <s v="below 20"/>
    <n v="16"/>
    <x v="0"/>
    <n v="5"/>
    <s v="Fri, Mon, Sat, Sun, Wed"/>
    <n v="1"/>
    <n v="1"/>
    <n v="0"/>
    <n v="1"/>
    <n v="0"/>
    <n v="1"/>
    <n v="1"/>
    <b v="0"/>
    <m/>
    <d v="1899-12-30T18:39:00"/>
    <d v="1899-12-30T20:03:00"/>
    <n v="84"/>
    <b v="1"/>
    <s v="Jeffrey"/>
  </r>
  <r>
    <n v="564"/>
    <s v="Helaina"/>
    <x v="0"/>
    <d v="2007-03-15T00:00:00"/>
    <s v="below 20"/>
    <n v="17"/>
    <x v="1"/>
    <n v="2"/>
    <s v="Fri, Sun"/>
    <n v="1"/>
    <n v="0"/>
    <n v="0"/>
    <n v="0"/>
    <n v="0"/>
    <n v="1"/>
    <n v="0"/>
    <b v="0"/>
    <m/>
    <d v="1899-12-30T16:59:00"/>
    <d v="1899-12-30T18:57:00"/>
    <n v="118"/>
    <b v="0"/>
    <m/>
  </r>
  <r>
    <n v="565"/>
    <s v="Thorsten"/>
    <x v="1"/>
    <d v="1982-03-19T00:00:00"/>
    <s v="41-50"/>
    <n v="42"/>
    <x v="1"/>
    <n v="1"/>
    <s v="Sat"/>
    <n v="0"/>
    <n v="0"/>
    <n v="0"/>
    <n v="0"/>
    <n v="0"/>
    <n v="0"/>
    <n v="1"/>
    <b v="1"/>
    <s v="Kickboxen, Pilates, Yoga"/>
    <d v="1899-12-30T12:52:00"/>
    <d v="1899-12-30T13:23:00"/>
    <n v="31"/>
    <b v="0"/>
    <m/>
  </r>
  <r>
    <n v="566"/>
    <s v="Kathy"/>
    <x v="0"/>
    <d v="1991-07-05T00:00:00"/>
    <s v="31-41"/>
    <n v="33"/>
    <x v="1"/>
    <n v="2"/>
    <s v="Fri, Tue"/>
    <n v="0"/>
    <n v="0"/>
    <n v="1"/>
    <n v="0"/>
    <n v="0"/>
    <n v="1"/>
    <n v="0"/>
    <b v="0"/>
    <m/>
    <d v="1899-12-30T09:56:00"/>
    <d v="1899-12-30T12:44:00"/>
    <n v="168"/>
    <b v="1"/>
    <s v="Hanna"/>
  </r>
  <r>
    <n v="567"/>
    <s v="Verile"/>
    <x v="0"/>
    <d v="1979-11-24T00:00:00"/>
    <s v="41-50"/>
    <n v="44"/>
    <x v="0"/>
    <n v="4"/>
    <s v="Fri, Mon, Thu, Tue"/>
    <n v="0"/>
    <n v="1"/>
    <n v="1"/>
    <n v="0"/>
    <n v="1"/>
    <n v="1"/>
    <n v="0"/>
    <b v="1"/>
    <s v="Kickboxen"/>
    <d v="1899-12-30T19:09:00"/>
    <d v="1899-12-30T20:37:00"/>
    <n v="88"/>
    <b v="0"/>
    <m/>
  </r>
  <r>
    <n v="568"/>
    <s v="Amye"/>
    <x v="0"/>
    <d v="1989-08-26T00:00:00"/>
    <s v="31-41"/>
    <n v="35"/>
    <x v="0"/>
    <n v="5"/>
    <s v="Mon, Sat, Thu, Tue, Wed"/>
    <n v="0"/>
    <n v="1"/>
    <n v="1"/>
    <n v="1"/>
    <n v="1"/>
    <n v="0"/>
    <n v="1"/>
    <b v="0"/>
    <m/>
    <d v="1899-12-30T10:41:00"/>
    <d v="1899-12-30T11:43:00"/>
    <n v="62"/>
    <b v="0"/>
    <m/>
  </r>
  <r>
    <n v="569"/>
    <s v="Pasquale"/>
    <x v="1"/>
    <d v="1993-07-21T00:00:00"/>
    <s v="31-41"/>
    <n v="31"/>
    <x v="0"/>
    <n v="2"/>
    <s v="Mon, Sat"/>
    <n v="0"/>
    <n v="1"/>
    <n v="0"/>
    <n v="0"/>
    <n v="0"/>
    <n v="0"/>
    <n v="1"/>
    <b v="1"/>
    <s v="Yoga, LesMiles, BodyPump"/>
    <d v="1899-12-30T20:28:00"/>
    <d v="1899-12-30T22:53:00"/>
    <n v="145"/>
    <b v="1"/>
    <s v="Hanna"/>
  </r>
  <r>
    <n v="570"/>
    <s v="Dewitt"/>
    <x v="1"/>
    <d v="1983-11-16T00:00:00"/>
    <s v="31-41"/>
    <n v="40"/>
    <x v="1"/>
    <n v="1"/>
    <s v="Sat"/>
    <n v="0"/>
    <n v="0"/>
    <n v="0"/>
    <n v="0"/>
    <n v="0"/>
    <n v="0"/>
    <n v="1"/>
    <b v="0"/>
    <m/>
    <d v="1899-12-30T18:30:00"/>
    <d v="1899-12-30T20:35:00"/>
    <n v="125"/>
    <b v="0"/>
    <m/>
  </r>
  <r>
    <n v="571"/>
    <s v="Emmalynne"/>
    <x v="0"/>
    <d v="1975-04-20T00:00:00"/>
    <s v="41-50"/>
    <n v="49"/>
    <x v="0"/>
    <n v="2"/>
    <s v="Fri, Wed"/>
    <n v="0"/>
    <n v="0"/>
    <n v="0"/>
    <n v="1"/>
    <n v="0"/>
    <n v="1"/>
    <n v="0"/>
    <b v="0"/>
    <m/>
    <d v="1899-12-30T10:11:00"/>
    <d v="1899-12-30T11:21:00"/>
    <n v="70"/>
    <b v="1"/>
    <s v="Hanna"/>
  </r>
  <r>
    <n v="572"/>
    <s v="Sheila"/>
    <x v="0"/>
    <d v="2008-07-26T00:00:00"/>
    <s v="below 20"/>
    <n v="16"/>
    <x v="1"/>
    <n v="5"/>
    <s v="Mon, Sat, Sun, Thu, Tue"/>
    <n v="1"/>
    <n v="1"/>
    <n v="1"/>
    <n v="0"/>
    <n v="1"/>
    <n v="0"/>
    <n v="1"/>
    <b v="1"/>
    <s v="Spinning"/>
    <d v="1899-12-30T17:04:00"/>
    <d v="1899-12-30T17:34:00"/>
    <n v="30"/>
    <b v="0"/>
    <m/>
  </r>
  <r>
    <n v="573"/>
    <s v="Iggie"/>
    <x v="1"/>
    <d v="1997-04-19T00:00:00"/>
    <s v="20-30"/>
    <n v="27"/>
    <x v="0"/>
    <n v="3"/>
    <s v="Mon, Sun, Wed"/>
    <n v="1"/>
    <n v="1"/>
    <n v="0"/>
    <n v="1"/>
    <n v="0"/>
    <n v="0"/>
    <n v="0"/>
    <b v="0"/>
    <m/>
    <d v="1899-12-30T18:16:00"/>
    <d v="1899-12-30T19:13:00"/>
    <n v="57"/>
    <b v="0"/>
    <m/>
  </r>
  <r>
    <n v="574"/>
    <s v="Stafani"/>
    <x v="0"/>
    <d v="1975-03-30T00:00:00"/>
    <s v="41-50"/>
    <n v="49"/>
    <x v="0"/>
    <n v="2"/>
    <s v="Sat, Tue"/>
    <n v="0"/>
    <n v="0"/>
    <n v="1"/>
    <n v="0"/>
    <n v="0"/>
    <n v="0"/>
    <n v="1"/>
    <b v="0"/>
    <m/>
    <d v="1899-12-30T19:30:00"/>
    <d v="1899-12-30T22:29:00"/>
    <n v="179"/>
    <b v="1"/>
    <s v="Chantal"/>
  </r>
  <r>
    <n v="575"/>
    <s v="Laurice"/>
    <x v="0"/>
    <d v="1991-03-09T00:00:00"/>
    <s v="31-41"/>
    <n v="33"/>
    <x v="0"/>
    <n v="1"/>
    <s v="Mon"/>
    <n v="0"/>
    <n v="1"/>
    <n v="0"/>
    <n v="0"/>
    <n v="0"/>
    <n v="0"/>
    <n v="0"/>
    <b v="0"/>
    <m/>
    <d v="1899-12-30T16:29:00"/>
    <d v="1899-12-30T18:47:00"/>
    <n v="138"/>
    <b v="1"/>
    <s v="Hanna"/>
  </r>
  <r>
    <n v="576"/>
    <s v="Brade"/>
    <x v="1"/>
    <d v="2008-06-10T00:00:00"/>
    <s v="below 20"/>
    <n v="16"/>
    <x v="0"/>
    <n v="2"/>
    <s v="Tue, Wed"/>
    <n v="0"/>
    <n v="0"/>
    <n v="1"/>
    <n v="1"/>
    <n v="0"/>
    <n v="0"/>
    <n v="0"/>
    <b v="1"/>
    <s v="Running, BodyPump"/>
    <d v="1899-12-30T12:40:00"/>
    <d v="1899-12-30T14:33:00"/>
    <n v="113"/>
    <b v="1"/>
    <s v="Chantal"/>
  </r>
  <r>
    <n v="577"/>
    <s v="Yelena"/>
    <x v="0"/>
    <d v="2002-11-24T00:00:00"/>
    <s v="20-30"/>
    <n v="21"/>
    <x v="1"/>
    <n v="2"/>
    <s v="Fri, Mon"/>
    <n v="0"/>
    <n v="1"/>
    <n v="0"/>
    <n v="0"/>
    <n v="0"/>
    <n v="1"/>
    <n v="0"/>
    <b v="0"/>
    <m/>
    <d v="1899-12-30T10:26:00"/>
    <d v="1899-12-30T12:27:00"/>
    <n v="121"/>
    <b v="1"/>
    <s v="Mike"/>
  </r>
  <r>
    <n v="578"/>
    <s v="Lester"/>
    <x v="1"/>
    <d v="1983-04-02T00:00:00"/>
    <s v="41-50"/>
    <n v="41"/>
    <x v="0"/>
    <n v="5"/>
    <s v="Fri, Sun, Thu, Tue, Wed"/>
    <n v="1"/>
    <n v="0"/>
    <n v="1"/>
    <n v="1"/>
    <n v="1"/>
    <n v="1"/>
    <n v="0"/>
    <b v="0"/>
    <m/>
    <d v="1899-12-30T20:35:00"/>
    <d v="1899-12-30T23:32:00"/>
    <n v="177"/>
    <b v="0"/>
    <m/>
  </r>
  <r>
    <n v="579"/>
    <s v="Nickey"/>
    <x v="1"/>
    <d v="1988-10-22T00:00:00"/>
    <s v="31-41"/>
    <n v="35"/>
    <x v="0"/>
    <n v="2"/>
    <s v="Sat, Sun"/>
    <n v="1"/>
    <n v="0"/>
    <n v="0"/>
    <n v="0"/>
    <n v="0"/>
    <n v="0"/>
    <n v="1"/>
    <b v="0"/>
    <m/>
    <d v="1899-12-30T19:50:00"/>
    <d v="1899-12-30T21:54:00"/>
    <n v="124"/>
    <b v="1"/>
    <s v="Hanna"/>
  </r>
  <r>
    <n v="580"/>
    <s v="Freedman"/>
    <x v="1"/>
    <d v="2006-07-29T00:00:00"/>
    <s v="below 20"/>
    <n v="18"/>
    <x v="1"/>
    <n v="3"/>
    <s v="Mon, Thu, Wed"/>
    <n v="0"/>
    <n v="1"/>
    <n v="0"/>
    <n v="1"/>
    <n v="1"/>
    <n v="0"/>
    <n v="0"/>
    <b v="1"/>
    <s v="Running"/>
    <d v="1899-12-30T16:10:00"/>
    <d v="1899-12-30T18:43:00"/>
    <n v="153"/>
    <b v="0"/>
    <m/>
  </r>
  <r>
    <n v="581"/>
    <s v="Albert"/>
    <x v="1"/>
    <d v="1975-09-09T00:00:00"/>
    <s v="41-50"/>
    <n v="49"/>
    <x v="0"/>
    <n v="3"/>
    <s v="Fri, Thu, Tue"/>
    <n v="0"/>
    <n v="0"/>
    <n v="1"/>
    <n v="0"/>
    <n v="1"/>
    <n v="1"/>
    <n v="0"/>
    <b v="0"/>
    <m/>
    <d v="1899-12-30T15:25:00"/>
    <d v="1899-12-30T17:54:00"/>
    <n v="149"/>
    <b v="0"/>
    <m/>
  </r>
  <r>
    <n v="582"/>
    <s v="Avie"/>
    <x v="0"/>
    <d v="1980-08-22T00:00:00"/>
    <s v="41-50"/>
    <n v="44"/>
    <x v="0"/>
    <n v="2"/>
    <s v="Mon, Tue"/>
    <n v="0"/>
    <n v="1"/>
    <n v="1"/>
    <n v="0"/>
    <n v="0"/>
    <n v="0"/>
    <n v="0"/>
    <b v="1"/>
    <s v="BodyPump, Spinning"/>
    <d v="1899-12-30T14:41:00"/>
    <d v="1899-12-30T15:12:00"/>
    <n v="31"/>
    <b v="0"/>
    <m/>
  </r>
  <r>
    <n v="583"/>
    <s v="Giacinta"/>
    <x v="0"/>
    <d v="1994-01-26T00:00:00"/>
    <s v="20-30"/>
    <n v="30"/>
    <x v="1"/>
    <n v="1"/>
    <s v="Wed"/>
    <n v="0"/>
    <n v="0"/>
    <n v="0"/>
    <n v="1"/>
    <n v="0"/>
    <n v="0"/>
    <n v="0"/>
    <b v="0"/>
    <m/>
    <d v="1899-12-30T16:34:00"/>
    <d v="1899-12-30T17:28:00"/>
    <n v="54"/>
    <b v="0"/>
    <m/>
  </r>
  <r>
    <n v="584"/>
    <s v="Dallis"/>
    <x v="1"/>
    <d v="1995-10-21T00:00:00"/>
    <s v="20-30"/>
    <n v="28"/>
    <x v="1"/>
    <n v="3"/>
    <s v="Fri, Sat, Tue"/>
    <n v="0"/>
    <n v="0"/>
    <n v="1"/>
    <n v="0"/>
    <n v="0"/>
    <n v="1"/>
    <n v="1"/>
    <b v="0"/>
    <m/>
    <d v="1899-12-30T10:48:00"/>
    <d v="1899-12-30T12:54:00"/>
    <n v="126"/>
    <b v="0"/>
    <m/>
  </r>
  <r>
    <n v="585"/>
    <s v="Courtenay"/>
    <x v="0"/>
    <d v="1997-11-09T00:00:00"/>
    <s v="20-30"/>
    <n v="26"/>
    <x v="0"/>
    <n v="2"/>
    <s v="Sat, Sun"/>
    <n v="1"/>
    <n v="0"/>
    <n v="0"/>
    <n v="0"/>
    <n v="0"/>
    <n v="0"/>
    <n v="1"/>
    <b v="1"/>
    <s v="Kickboxen, BodyPump, Zumba"/>
    <d v="1899-12-30T20:45:00"/>
    <d v="1899-12-30T22:10:00"/>
    <n v="85"/>
    <b v="1"/>
    <s v="Chantal"/>
  </r>
  <r>
    <n v="586"/>
    <s v="Roosevelt"/>
    <x v="1"/>
    <d v="1991-11-13T00:00:00"/>
    <s v="31-41"/>
    <n v="32"/>
    <x v="1"/>
    <n v="3"/>
    <s v="Fri, Sat, Tue"/>
    <n v="0"/>
    <n v="0"/>
    <n v="1"/>
    <n v="0"/>
    <n v="0"/>
    <n v="1"/>
    <n v="1"/>
    <b v="0"/>
    <m/>
    <d v="1899-12-30T08:13:00"/>
    <d v="1899-12-30T09:23:00"/>
    <n v="70"/>
    <b v="0"/>
    <m/>
  </r>
  <r>
    <n v="587"/>
    <s v="Cammy"/>
    <x v="1"/>
    <d v="1998-03-16T00:00:00"/>
    <s v="20-30"/>
    <n v="26"/>
    <x v="0"/>
    <n v="5"/>
    <s v="Fri, Mon, Sun, Tue, Wed"/>
    <n v="1"/>
    <n v="1"/>
    <n v="1"/>
    <n v="1"/>
    <n v="0"/>
    <n v="1"/>
    <n v="0"/>
    <b v="1"/>
    <s v="Spinning, Zumba"/>
    <d v="1899-12-30T15:57:00"/>
    <d v="1899-12-30T18:11:00"/>
    <n v="134"/>
    <b v="0"/>
    <m/>
  </r>
  <r>
    <n v="588"/>
    <s v="Rochester"/>
    <x v="1"/>
    <d v="2004-12-08T00:00:00"/>
    <s v="below 20"/>
    <n v="19"/>
    <x v="0"/>
    <n v="3"/>
    <s v="Fri, Sun, Thu"/>
    <n v="1"/>
    <n v="0"/>
    <n v="0"/>
    <n v="0"/>
    <n v="1"/>
    <n v="1"/>
    <n v="0"/>
    <b v="1"/>
    <s v="BodyPump, HIT, Pilates"/>
    <d v="1899-12-30T08:22:00"/>
    <d v="1899-12-30T10:46:00"/>
    <n v="144"/>
    <b v="1"/>
    <s v="Hanna"/>
  </r>
  <r>
    <n v="589"/>
    <s v="Adham"/>
    <x v="1"/>
    <d v="2009-06-28T00:00:00"/>
    <s v="below 20"/>
    <n v="15"/>
    <x v="1"/>
    <n v="4"/>
    <s v="Mon, Thu, Tue, Wed"/>
    <n v="0"/>
    <n v="1"/>
    <n v="1"/>
    <n v="1"/>
    <n v="1"/>
    <n v="0"/>
    <n v="0"/>
    <b v="0"/>
    <m/>
    <d v="1899-12-30T14:06:00"/>
    <d v="1899-12-30T16:29:00"/>
    <n v="143"/>
    <b v="0"/>
    <m/>
  </r>
  <r>
    <n v="590"/>
    <s v="Toby"/>
    <x v="1"/>
    <d v="1993-08-29T00:00:00"/>
    <s v="31-41"/>
    <n v="31"/>
    <x v="1"/>
    <n v="2"/>
    <s v="Mon, Tue"/>
    <n v="0"/>
    <n v="1"/>
    <n v="1"/>
    <n v="0"/>
    <n v="0"/>
    <n v="0"/>
    <n v="0"/>
    <b v="1"/>
    <s v="XCore, Running, BodyBalance"/>
    <d v="1899-12-30T09:51:00"/>
    <d v="1899-12-30T11:53:00"/>
    <n v="122"/>
    <b v="1"/>
    <s v="Chantal"/>
  </r>
  <r>
    <n v="591"/>
    <s v="Waylen"/>
    <x v="1"/>
    <d v="1984-10-22T00:00:00"/>
    <s v="31-41"/>
    <n v="39"/>
    <x v="1"/>
    <n v="5"/>
    <s v="Fri, Mon, Sat, Tue, Wed"/>
    <n v="0"/>
    <n v="1"/>
    <n v="1"/>
    <n v="1"/>
    <n v="0"/>
    <n v="1"/>
    <n v="1"/>
    <b v="1"/>
    <s v="HIT"/>
    <d v="1899-12-30T12:50:00"/>
    <d v="1899-12-30T13:21:00"/>
    <n v="31"/>
    <b v="1"/>
    <s v="Jeffrey"/>
  </r>
  <r>
    <n v="592"/>
    <s v="Aurie"/>
    <x v="0"/>
    <d v="1980-11-21T00:00:00"/>
    <s v="41-50"/>
    <n v="43"/>
    <x v="1"/>
    <n v="3"/>
    <s v="Fri, Mon, Tue"/>
    <n v="0"/>
    <n v="1"/>
    <n v="1"/>
    <n v="0"/>
    <n v="0"/>
    <n v="1"/>
    <n v="0"/>
    <b v="1"/>
    <s v="BodyBalance"/>
    <d v="1899-12-30T10:17:00"/>
    <d v="1899-12-30T12:43:00"/>
    <n v="146"/>
    <b v="1"/>
    <s v="Mike"/>
  </r>
  <r>
    <n v="593"/>
    <s v="Honor"/>
    <x v="0"/>
    <d v="1998-07-23T00:00:00"/>
    <s v="20-30"/>
    <n v="26"/>
    <x v="1"/>
    <n v="5"/>
    <s v="Mon, Sun, Thu, Tue, Wed"/>
    <n v="1"/>
    <n v="1"/>
    <n v="1"/>
    <n v="1"/>
    <n v="1"/>
    <n v="0"/>
    <n v="0"/>
    <b v="0"/>
    <m/>
    <d v="1899-12-30T19:51:00"/>
    <d v="1899-12-30T21:41:00"/>
    <n v="110"/>
    <b v="1"/>
    <s v="Chantal"/>
  </r>
  <r>
    <n v="594"/>
    <s v="Clare"/>
    <x v="1"/>
    <d v="2009-05-04T00:00:00"/>
    <s v="below 20"/>
    <n v="15"/>
    <x v="1"/>
    <n v="1"/>
    <s v="Fri"/>
    <n v="0"/>
    <n v="0"/>
    <n v="0"/>
    <n v="0"/>
    <n v="0"/>
    <n v="1"/>
    <n v="0"/>
    <b v="1"/>
    <s v="BodyPump, LesMiles, XCore"/>
    <d v="1899-12-30T08:01:00"/>
    <d v="1899-12-30T10:51:00"/>
    <n v="170"/>
    <b v="1"/>
    <s v="Hanna"/>
  </r>
  <r>
    <n v="595"/>
    <s v="Orazio"/>
    <x v="1"/>
    <d v="1991-05-13T00:00:00"/>
    <s v="31-41"/>
    <n v="33"/>
    <x v="1"/>
    <n v="2"/>
    <s v="Sat, Tue"/>
    <n v="0"/>
    <n v="0"/>
    <n v="1"/>
    <n v="0"/>
    <n v="0"/>
    <n v="0"/>
    <n v="1"/>
    <b v="1"/>
    <s v="BodyPump, Yoga, XCore"/>
    <d v="1899-12-30T17:06:00"/>
    <d v="1899-12-30T19:10:00"/>
    <n v="124"/>
    <b v="1"/>
    <s v="Hanna"/>
  </r>
  <r>
    <n v="596"/>
    <s v="Darius"/>
    <x v="1"/>
    <d v="1978-07-25T00:00:00"/>
    <s v="41-50"/>
    <n v="46"/>
    <x v="0"/>
    <n v="5"/>
    <s v="Fri, Mon, Sat, Sun, Tue"/>
    <n v="1"/>
    <n v="1"/>
    <n v="1"/>
    <n v="0"/>
    <n v="0"/>
    <n v="1"/>
    <n v="1"/>
    <b v="0"/>
    <m/>
    <d v="1899-12-30T20:46:00"/>
    <d v="1899-12-30T23:18:00"/>
    <n v="152"/>
    <b v="1"/>
    <s v="Hanna"/>
  </r>
  <r>
    <n v="597"/>
    <s v="Holly"/>
    <x v="1"/>
    <d v="1975-12-22T00:00:00"/>
    <s v="41-50"/>
    <n v="48"/>
    <x v="0"/>
    <n v="1"/>
    <s v="Sat"/>
    <n v="0"/>
    <n v="0"/>
    <n v="0"/>
    <n v="0"/>
    <n v="0"/>
    <n v="0"/>
    <n v="1"/>
    <b v="0"/>
    <m/>
    <d v="1899-12-30T18:52:00"/>
    <d v="1899-12-30T21:06:00"/>
    <n v="134"/>
    <b v="1"/>
    <s v="Mike"/>
  </r>
  <r>
    <n v="598"/>
    <s v="Ami"/>
    <x v="0"/>
    <d v="2009-11-05T00:00:00"/>
    <s v="below 20"/>
    <n v="14"/>
    <x v="1"/>
    <n v="2"/>
    <s v="Fri, Tue"/>
    <n v="0"/>
    <n v="0"/>
    <n v="1"/>
    <n v="0"/>
    <n v="0"/>
    <n v="1"/>
    <n v="0"/>
    <b v="1"/>
    <s v="BodyBalance, Running"/>
    <d v="1899-12-30T09:21:00"/>
    <d v="1899-12-30T11:54:00"/>
    <n v="153"/>
    <b v="1"/>
    <s v="Mike"/>
  </r>
  <r>
    <n v="599"/>
    <s v="Weber"/>
    <x v="1"/>
    <d v="1985-11-28T00:00:00"/>
    <s v="31-41"/>
    <n v="38"/>
    <x v="1"/>
    <n v="5"/>
    <s v="Fri, Mon, Thu, Tue, Wed"/>
    <n v="0"/>
    <n v="1"/>
    <n v="1"/>
    <n v="1"/>
    <n v="1"/>
    <n v="1"/>
    <n v="0"/>
    <b v="0"/>
    <m/>
    <d v="1899-12-30T08:35:00"/>
    <d v="1899-12-30T10:57:00"/>
    <n v="142"/>
    <b v="1"/>
    <s v="Jeffrey"/>
  </r>
  <r>
    <n v="600"/>
    <s v="Meyer"/>
    <x v="1"/>
    <d v="1979-10-17T00:00:00"/>
    <s v="41-50"/>
    <n v="44"/>
    <x v="0"/>
    <n v="3"/>
    <s v="Fri, Sun, Tue"/>
    <n v="1"/>
    <n v="0"/>
    <n v="1"/>
    <n v="0"/>
    <n v="0"/>
    <n v="1"/>
    <n v="0"/>
    <b v="0"/>
    <m/>
    <d v="1899-12-30T19:40:00"/>
    <d v="1899-12-30T21:01:00"/>
    <n v="81"/>
    <b v="1"/>
    <s v="Jeffrey"/>
  </r>
  <r>
    <n v="601"/>
    <s v="Germaine"/>
    <x v="0"/>
    <d v="1984-11-19T00:00:00"/>
    <s v="31-41"/>
    <n v="39"/>
    <x v="1"/>
    <n v="2"/>
    <s v="Tue, Wed"/>
    <n v="0"/>
    <n v="0"/>
    <n v="1"/>
    <n v="1"/>
    <n v="0"/>
    <n v="0"/>
    <n v="0"/>
    <b v="0"/>
    <m/>
    <d v="1899-12-30T12:10:00"/>
    <d v="1899-12-30T13:27:00"/>
    <n v="77"/>
    <b v="1"/>
    <s v="Mike"/>
  </r>
  <r>
    <n v="602"/>
    <s v="Germayne"/>
    <x v="1"/>
    <d v="1975-04-28T00:00:00"/>
    <s v="41-50"/>
    <n v="49"/>
    <x v="1"/>
    <n v="2"/>
    <s v="Tue, Wed"/>
    <n v="0"/>
    <n v="0"/>
    <n v="1"/>
    <n v="1"/>
    <n v="0"/>
    <n v="0"/>
    <n v="0"/>
    <b v="0"/>
    <m/>
    <d v="1899-12-30T15:41:00"/>
    <d v="1899-12-30T18:34:00"/>
    <n v="173"/>
    <b v="0"/>
    <m/>
  </r>
  <r>
    <n v="603"/>
    <s v="Ingamar"/>
    <x v="1"/>
    <d v="2007-04-03T00:00:00"/>
    <s v="below 20"/>
    <n v="17"/>
    <x v="1"/>
    <n v="3"/>
    <s v="Mon, Thu, Tue"/>
    <n v="0"/>
    <n v="1"/>
    <n v="1"/>
    <n v="0"/>
    <n v="1"/>
    <n v="0"/>
    <n v="0"/>
    <b v="0"/>
    <m/>
    <d v="1899-12-30T15:24:00"/>
    <d v="1899-12-30T16:49:00"/>
    <n v="85"/>
    <b v="0"/>
    <m/>
  </r>
  <r>
    <n v="604"/>
    <s v="Mirella"/>
    <x v="0"/>
    <d v="1989-02-20T00:00:00"/>
    <s v="31-41"/>
    <n v="35"/>
    <x v="1"/>
    <n v="2"/>
    <s v="Sun, Wed"/>
    <n v="1"/>
    <n v="0"/>
    <n v="0"/>
    <n v="1"/>
    <n v="0"/>
    <n v="0"/>
    <n v="0"/>
    <b v="0"/>
    <m/>
    <d v="1899-12-30T18:42:00"/>
    <d v="1899-12-30T21:30:00"/>
    <n v="168"/>
    <b v="1"/>
    <s v="Jeffrey"/>
  </r>
  <r>
    <n v="605"/>
    <s v="Joey"/>
    <x v="1"/>
    <d v="1979-02-18T00:00:00"/>
    <s v="41-50"/>
    <n v="45"/>
    <x v="1"/>
    <n v="3"/>
    <s v="Thu, Tue, Wed"/>
    <n v="0"/>
    <n v="0"/>
    <n v="1"/>
    <n v="1"/>
    <n v="1"/>
    <n v="0"/>
    <n v="0"/>
    <b v="1"/>
    <s v="HIT"/>
    <d v="1899-12-30T17:42:00"/>
    <d v="1899-12-30T19:42:00"/>
    <n v="120"/>
    <b v="0"/>
    <m/>
  </r>
  <r>
    <n v="606"/>
    <s v="Ruben"/>
    <x v="1"/>
    <d v="1995-02-23T00:00:00"/>
    <s v="20-30"/>
    <n v="29"/>
    <x v="1"/>
    <n v="3"/>
    <s v="Sat, Tue, Wed"/>
    <n v="0"/>
    <n v="0"/>
    <n v="1"/>
    <n v="1"/>
    <n v="0"/>
    <n v="0"/>
    <n v="1"/>
    <b v="1"/>
    <s v="XCore"/>
    <d v="1899-12-30T20:39:00"/>
    <d v="1899-12-30T21:21:00"/>
    <n v="42"/>
    <b v="1"/>
    <s v="Hanna"/>
  </r>
  <r>
    <n v="607"/>
    <s v="Maureene"/>
    <x v="0"/>
    <d v="1982-09-29T00:00:00"/>
    <s v="41-50"/>
    <n v="42"/>
    <x v="0"/>
    <n v="3"/>
    <s v="Mon, Thu, Wed"/>
    <n v="0"/>
    <n v="1"/>
    <n v="0"/>
    <n v="1"/>
    <n v="1"/>
    <n v="0"/>
    <n v="0"/>
    <b v="0"/>
    <m/>
    <d v="1899-12-30T16:20:00"/>
    <d v="1899-12-30T17:27:00"/>
    <n v="67"/>
    <b v="1"/>
    <s v="Mike"/>
  </r>
  <r>
    <n v="608"/>
    <s v="Ekaterina"/>
    <x v="0"/>
    <d v="2006-05-09T00:00:00"/>
    <s v="below 20"/>
    <n v="18"/>
    <x v="1"/>
    <n v="3"/>
    <s v="Sat, Tue, Wed"/>
    <n v="0"/>
    <n v="0"/>
    <n v="1"/>
    <n v="1"/>
    <n v="0"/>
    <n v="0"/>
    <n v="1"/>
    <b v="1"/>
    <s v="HIT"/>
    <d v="1899-12-30T08:46:00"/>
    <d v="1899-12-30T10:56:00"/>
    <n v="130"/>
    <b v="0"/>
    <m/>
  </r>
  <r>
    <n v="609"/>
    <s v="Marrissa"/>
    <x v="0"/>
    <d v="1988-05-20T00:00:00"/>
    <s v="31-41"/>
    <n v="36"/>
    <x v="1"/>
    <n v="3"/>
    <s v="Mon, Sun, Thu"/>
    <n v="1"/>
    <n v="1"/>
    <n v="0"/>
    <n v="0"/>
    <n v="1"/>
    <n v="0"/>
    <n v="0"/>
    <b v="1"/>
    <s v="BodyBalance"/>
    <d v="1899-12-30T17:33:00"/>
    <d v="1899-12-30T20:00:00"/>
    <n v="147"/>
    <b v="0"/>
    <m/>
  </r>
  <r>
    <n v="610"/>
    <s v="Neda"/>
    <x v="0"/>
    <d v="1990-07-20T00:00:00"/>
    <s v="31-41"/>
    <n v="34"/>
    <x v="1"/>
    <n v="2"/>
    <s v="Thu, Tue"/>
    <n v="0"/>
    <n v="0"/>
    <n v="1"/>
    <n v="0"/>
    <n v="1"/>
    <n v="0"/>
    <n v="0"/>
    <b v="1"/>
    <s v="Yoga, Running"/>
    <d v="1899-12-30T14:03:00"/>
    <d v="1899-12-30T16:19:00"/>
    <n v="136"/>
    <b v="0"/>
    <m/>
  </r>
  <r>
    <n v="611"/>
    <s v="Arly"/>
    <x v="0"/>
    <d v="1987-12-04T00:00:00"/>
    <s v="31-41"/>
    <n v="36"/>
    <x v="0"/>
    <n v="1"/>
    <s v="Fri"/>
    <n v="0"/>
    <n v="0"/>
    <n v="0"/>
    <n v="0"/>
    <n v="0"/>
    <n v="1"/>
    <n v="0"/>
    <b v="1"/>
    <s v="Yoga"/>
    <d v="1899-12-30T14:49:00"/>
    <d v="1899-12-30T15:28:00"/>
    <n v="39"/>
    <b v="1"/>
    <s v="Chantal"/>
  </r>
  <r>
    <n v="612"/>
    <s v="Alameda"/>
    <x v="0"/>
    <d v="1979-05-08T00:00:00"/>
    <s v="41-50"/>
    <n v="45"/>
    <x v="1"/>
    <n v="3"/>
    <s v="Sun, Thu, Tue"/>
    <n v="1"/>
    <n v="0"/>
    <n v="1"/>
    <n v="0"/>
    <n v="1"/>
    <n v="0"/>
    <n v="0"/>
    <b v="0"/>
    <m/>
    <d v="1899-12-30T13:42:00"/>
    <d v="1899-12-30T15:41:00"/>
    <n v="119"/>
    <b v="0"/>
    <m/>
  </r>
  <r>
    <n v="613"/>
    <s v="Emlen"/>
    <x v="1"/>
    <d v="1981-07-25T00:00:00"/>
    <s v="41-50"/>
    <n v="43"/>
    <x v="1"/>
    <n v="5"/>
    <s v="Fri, Sat, Sun, Thu, Wed"/>
    <n v="1"/>
    <n v="0"/>
    <n v="0"/>
    <n v="1"/>
    <n v="1"/>
    <n v="1"/>
    <n v="1"/>
    <b v="1"/>
    <s v="XCore"/>
    <d v="1899-12-30T17:32:00"/>
    <d v="1899-12-30T19:46:00"/>
    <n v="134"/>
    <b v="1"/>
    <s v="Mike"/>
  </r>
  <r>
    <n v="614"/>
    <s v="Phineas"/>
    <x v="1"/>
    <d v="2008-08-09T00:00:00"/>
    <s v="below 20"/>
    <n v="16"/>
    <x v="0"/>
    <n v="3"/>
    <s v="Mon, Thu, Tue"/>
    <n v="0"/>
    <n v="1"/>
    <n v="1"/>
    <n v="0"/>
    <n v="1"/>
    <n v="0"/>
    <n v="0"/>
    <b v="0"/>
    <m/>
    <d v="1899-12-30T09:37:00"/>
    <d v="1899-12-30T10:58:00"/>
    <n v="81"/>
    <b v="0"/>
    <m/>
  </r>
  <r>
    <n v="615"/>
    <s v="Norbie"/>
    <x v="1"/>
    <d v="1985-06-28T00:00:00"/>
    <s v="31-41"/>
    <n v="39"/>
    <x v="0"/>
    <n v="3"/>
    <s v="Thu, Tue, Wed"/>
    <n v="0"/>
    <n v="0"/>
    <n v="1"/>
    <n v="1"/>
    <n v="1"/>
    <n v="0"/>
    <n v="0"/>
    <b v="0"/>
    <m/>
    <d v="1899-12-30T18:07:00"/>
    <d v="1899-12-30T18:50:00"/>
    <n v="43"/>
    <b v="0"/>
    <m/>
  </r>
  <r>
    <n v="616"/>
    <s v="Dennis"/>
    <x v="1"/>
    <d v="1987-09-01T00:00:00"/>
    <s v="31-41"/>
    <n v="37"/>
    <x v="1"/>
    <n v="2"/>
    <s v="Sat, Tue"/>
    <n v="0"/>
    <n v="0"/>
    <n v="1"/>
    <n v="0"/>
    <n v="0"/>
    <n v="0"/>
    <n v="1"/>
    <b v="0"/>
    <m/>
    <d v="1899-12-30T11:30:00"/>
    <d v="1899-12-30T13:22:00"/>
    <n v="112"/>
    <b v="0"/>
    <m/>
  </r>
  <r>
    <n v="617"/>
    <s v="Duffie"/>
    <x v="1"/>
    <d v="2000-01-17T00:00:00"/>
    <s v="20-30"/>
    <n v="24"/>
    <x v="1"/>
    <n v="4"/>
    <s v="Fri, Sun, Thu, Wed"/>
    <n v="1"/>
    <n v="0"/>
    <n v="0"/>
    <n v="1"/>
    <n v="1"/>
    <n v="1"/>
    <n v="0"/>
    <b v="0"/>
    <m/>
    <d v="1899-12-30T15:28:00"/>
    <d v="1899-12-30T17:59:00"/>
    <n v="151"/>
    <b v="1"/>
    <s v="Chantal"/>
  </r>
  <r>
    <n v="618"/>
    <s v="Earlie"/>
    <x v="1"/>
    <d v="1986-10-27T00:00:00"/>
    <s v="31-41"/>
    <n v="37"/>
    <x v="0"/>
    <n v="3"/>
    <s v="Fri, Mon, Wed"/>
    <n v="0"/>
    <n v="1"/>
    <n v="0"/>
    <n v="1"/>
    <n v="0"/>
    <n v="1"/>
    <n v="0"/>
    <b v="0"/>
    <m/>
    <d v="1899-12-30T20:35:00"/>
    <d v="1899-12-30T23:35:00"/>
    <n v="180"/>
    <b v="1"/>
    <s v="Jeffrey"/>
  </r>
  <r>
    <n v="619"/>
    <s v="Phillip"/>
    <x v="1"/>
    <d v="1976-01-20T00:00:00"/>
    <s v="41-50"/>
    <n v="48"/>
    <x v="0"/>
    <n v="3"/>
    <s v="Fri, Sun, Tue"/>
    <n v="1"/>
    <n v="0"/>
    <n v="1"/>
    <n v="0"/>
    <n v="0"/>
    <n v="1"/>
    <n v="0"/>
    <b v="0"/>
    <m/>
    <d v="1899-12-30T14:29:00"/>
    <d v="1899-12-30T17:07:00"/>
    <n v="158"/>
    <b v="1"/>
    <s v="Jeffrey"/>
  </r>
  <r>
    <n v="620"/>
    <s v="Geneva"/>
    <x v="0"/>
    <d v="2000-04-22T00:00:00"/>
    <s v="20-30"/>
    <n v="24"/>
    <x v="1"/>
    <n v="2"/>
    <s v="Mon, Thu"/>
    <n v="0"/>
    <n v="1"/>
    <n v="0"/>
    <n v="0"/>
    <n v="1"/>
    <n v="0"/>
    <n v="0"/>
    <b v="1"/>
    <s v="Zumba, Spinning"/>
    <d v="1899-12-30T10:26:00"/>
    <d v="1899-12-30T12:06:00"/>
    <n v="100"/>
    <b v="0"/>
    <m/>
  </r>
  <r>
    <n v="621"/>
    <s v="Haley"/>
    <x v="1"/>
    <d v="1983-10-10T00:00:00"/>
    <s v="31-41"/>
    <n v="40"/>
    <x v="1"/>
    <n v="1"/>
    <s v="Thu"/>
    <n v="0"/>
    <n v="0"/>
    <n v="0"/>
    <n v="0"/>
    <n v="1"/>
    <n v="0"/>
    <n v="0"/>
    <b v="0"/>
    <m/>
    <d v="1899-12-30T10:52:00"/>
    <d v="1899-12-30T11:27:00"/>
    <n v="35"/>
    <b v="0"/>
    <m/>
  </r>
  <r>
    <n v="622"/>
    <s v="Glory"/>
    <x v="0"/>
    <d v="1976-04-24T00:00:00"/>
    <s v="41-50"/>
    <n v="48"/>
    <x v="0"/>
    <n v="3"/>
    <s v="Mon, Sat, Wed"/>
    <n v="0"/>
    <n v="1"/>
    <n v="0"/>
    <n v="1"/>
    <n v="0"/>
    <n v="0"/>
    <n v="1"/>
    <b v="1"/>
    <s v="Kickboxen, Zumba, Pilates"/>
    <d v="1899-12-30T15:30:00"/>
    <d v="1899-12-30T17:48:00"/>
    <n v="138"/>
    <b v="1"/>
    <s v="Hanna"/>
  </r>
  <r>
    <n v="623"/>
    <s v="Merralee"/>
    <x v="0"/>
    <d v="2011-03-26T00:00:00"/>
    <s v="below 20"/>
    <n v="13"/>
    <x v="0"/>
    <n v="2"/>
    <s v="Fri, Tue"/>
    <n v="0"/>
    <n v="0"/>
    <n v="1"/>
    <n v="0"/>
    <n v="0"/>
    <n v="1"/>
    <n v="0"/>
    <b v="1"/>
    <s v="Yoga, BodyPump, Spinning"/>
    <d v="1899-12-30T08:25:00"/>
    <d v="1899-12-30T09:36:00"/>
    <n v="71"/>
    <b v="1"/>
    <s v="Jeffrey"/>
  </r>
  <r>
    <n v="624"/>
    <s v="Willie"/>
    <x v="1"/>
    <d v="1980-10-30T00:00:00"/>
    <s v="41-50"/>
    <n v="43"/>
    <x v="0"/>
    <n v="3"/>
    <s v="Sun, Tue, Wed"/>
    <n v="1"/>
    <n v="0"/>
    <n v="1"/>
    <n v="1"/>
    <n v="0"/>
    <n v="0"/>
    <n v="0"/>
    <b v="0"/>
    <m/>
    <d v="1899-12-30T08:39:00"/>
    <d v="1899-12-30T10:03:00"/>
    <n v="84"/>
    <b v="0"/>
    <m/>
  </r>
  <r>
    <n v="625"/>
    <s v="Olympie"/>
    <x v="0"/>
    <d v="2002-10-07T00:00:00"/>
    <s v="20-30"/>
    <n v="21"/>
    <x v="0"/>
    <n v="4"/>
    <s v="Fri, Mon, Sat, Sun"/>
    <n v="1"/>
    <n v="1"/>
    <n v="0"/>
    <n v="0"/>
    <n v="0"/>
    <n v="1"/>
    <n v="1"/>
    <b v="0"/>
    <m/>
    <d v="1899-12-30T19:28:00"/>
    <d v="1899-12-30T21:19:00"/>
    <n v="111"/>
    <b v="1"/>
    <s v="Hanna"/>
  </r>
  <r>
    <n v="626"/>
    <s v="Warren"/>
    <x v="1"/>
    <d v="2003-10-02T00:00:00"/>
    <s v="20-30"/>
    <n v="21"/>
    <x v="1"/>
    <n v="5"/>
    <s v="Fri, Mon, Sun, Thu, Tue"/>
    <n v="1"/>
    <n v="1"/>
    <n v="1"/>
    <n v="0"/>
    <n v="1"/>
    <n v="1"/>
    <n v="0"/>
    <b v="1"/>
    <s v="LesMiles, Running"/>
    <d v="1899-12-30T16:57:00"/>
    <d v="1899-12-30T19:06:00"/>
    <n v="129"/>
    <b v="0"/>
    <m/>
  </r>
  <r>
    <n v="627"/>
    <s v="Tiffani"/>
    <x v="0"/>
    <d v="1995-06-19T00:00:00"/>
    <s v="20-30"/>
    <n v="29"/>
    <x v="0"/>
    <n v="2"/>
    <s v="Thu, Wed"/>
    <n v="0"/>
    <n v="0"/>
    <n v="0"/>
    <n v="1"/>
    <n v="1"/>
    <n v="0"/>
    <n v="0"/>
    <b v="1"/>
    <s v="Spinning, BodyPump"/>
    <d v="1899-12-30T20:00:00"/>
    <d v="1899-12-30T22:20:00"/>
    <n v="140"/>
    <b v="1"/>
    <s v="Chantal"/>
  </r>
  <r>
    <n v="628"/>
    <s v="Welbie"/>
    <x v="1"/>
    <d v="1985-02-07T00:00:00"/>
    <s v="31-41"/>
    <n v="39"/>
    <x v="1"/>
    <n v="2"/>
    <s v="Thu, Wed"/>
    <n v="0"/>
    <n v="0"/>
    <n v="0"/>
    <n v="1"/>
    <n v="1"/>
    <n v="0"/>
    <n v="0"/>
    <b v="0"/>
    <m/>
    <d v="1899-12-30T16:53:00"/>
    <d v="1899-12-30T19:23:00"/>
    <n v="150"/>
    <b v="1"/>
    <s v="Mike"/>
  </r>
  <r>
    <n v="629"/>
    <s v="Jean"/>
    <x v="1"/>
    <d v="2007-08-08T00:00:00"/>
    <s v="below 20"/>
    <n v="17"/>
    <x v="1"/>
    <n v="3"/>
    <s v="Fri, Sat, Wed"/>
    <n v="0"/>
    <n v="0"/>
    <n v="0"/>
    <n v="1"/>
    <n v="0"/>
    <n v="1"/>
    <n v="1"/>
    <b v="0"/>
    <m/>
    <d v="1899-12-30T11:02:00"/>
    <d v="1899-12-30T13:11:00"/>
    <n v="129"/>
    <b v="1"/>
    <s v="Chantal"/>
  </r>
  <r>
    <n v="630"/>
    <s v="Pablo"/>
    <x v="1"/>
    <d v="2003-07-25T00:00:00"/>
    <s v="20-30"/>
    <n v="21"/>
    <x v="1"/>
    <n v="5"/>
    <s v="Fri, Sat, Sun, Thu, Tue"/>
    <n v="1"/>
    <n v="0"/>
    <n v="1"/>
    <n v="0"/>
    <n v="1"/>
    <n v="1"/>
    <n v="1"/>
    <b v="0"/>
    <m/>
    <d v="1899-12-30T14:29:00"/>
    <d v="1899-12-30T16:42:00"/>
    <n v="133"/>
    <b v="1"/>
    <s v="Chantal"/>
  </r>
  <r>
    <n v="631"/>
    <s v="Cordy"/>
    <x v="0"/>
    <d v="1996-03-05T00:00:00"/>
    <s v="20-30"/>
    <n v="28"/>
    <x v="1"/>
    <n v="3"/>
    <s v="Fri, Sun, Thu"/>
    <n v="1"/>
    <n v="0"/>
    <n v="0"/>
    <n v="0"/>
    <n v="1"/>
    <n v="1"/>
    <n v="0"/>
    <b v="0"/>
    <m/>
    <d v="1899-12-30T08:50:00"/>
    <d v="1899-12-30T10:15:00"/>
    <n v="85"/>
    <b v="1"/>
    <s v="Hanna"/>
  </r>
  <r>
    <n v="632"/>
    <s v="Holmes"/>
    <x v="1"/>
    <d v="1987-03-27T00:00:00"/>
    <s v="31-41"/>
    <n v="37"/>
    <x v="0"/>
    <n v="1"/>
    <s v="Sat"/>
    <n v="0"/>
    <n v="0"/>
    <n v="0"/>
    <n v="0"/>
    <n v="0"/>
    <n v="0"/>
    <n v="1"/>
    <b v="1"/>
    <s v="Zumba"/>
    <d v="1899-12-30T12:16:00"/>
    <d v="1899-12-30T13:35:00"/>
    <n v="79"/>
    <b v="0"/>
    <m/>
  </r>
  <r>
    <n v="633"/>
    <s v="Trula"/>
    <x v="0"/>
    <d v="1997-10-13T00:00:00"/>
    <s v="20-30"/>
    <n v="26"/>
    <x v="0"/>
    <n v="5"/>
    <s v="Fri, Mon, Sat, Sun, Tue"/>
    <n v="1"/>
    <n v="1"/>
    <n v="1"/>
    <n v="0"/>
    <n v="0"/>
    <n v="1"/>
    <n v="1"/>
    <b v="1"/>
    <s v="Running, XCore, Zumba"/>
    <d v="1899-12-30T14:42:00"/>
    <d v="1899-12-30T16:59:00"/>
    <n v="137"/>
    <b v="0"/>
    <m/>
  </r>
  <r>
    <n v="634"/>
    <s v="Nina"/>
    <x v="0"/>
    <d v="1999-12-22T00:00:00"/>
    <s v="20-30"/>
    <n v="24"/>
    <x v="0"/>
    <n v="1"/>
    <s v="Thu"/>
    <n v="0"/>
    <n v="0"/>
    <n v="0"/>
    <n v="0"/>
    <n v="1"/>
    <n v="0"/>
    <n v="0"/>
    <b v="0"/>
    <m/>
    <d v="1899-12-30T16:51:00"/>
    <d v="1899-12-30T17:51:00"/>
    <n v="60"/>
    <b v="1"/>
    <s v="Mike"/>
  </r>
  <r>
    <n v="635"/>
    <s v="Alverta"/>
    <x v="0"/>
    <d v="2005-12-03T00:00:00"/>
    <s v="below 20"/>
    <n v="18"/>
    <x v="0"/>
    <n v="1"/>
    <s v="Fri"/>
    <n v="0"/>
    <n v="0"/>
    <n v="0"/>
    <n v="0"/>
    <n v="0"/>
    <n v="1"/>
    <n v="0"/>
    <b v="0"/>
    <m/>
    <d v="1899-12-30T09:13:00"/>
    <d v="1899-12-30T12:00:00"/>
    <n v="167"/>
    <b v="1"/>
    <s v="Hanna"/>
  </r>
  <r>
    <n v="636"/>
    <s v="Georgeanne"/>
    <x v="0"/>
    <d v="1998-01-07T00:00:00"/>
    <s v="20-30"/>
    <n v="26"/>
    <x v="1"/>
    <n v="3"/>
    <s v="Thu, Tue, Wed"/>
    <n v="0"/>
    <n v="0"/>
    <n v="1"/>
    <n v="1"/>
    <n v="1"/>
    <n v="0"/>
    <n v="0"/>
    <b v="1"/>
    <s v="XCore, Spinning, Yoga"/>
    <d v="1899-12-30T13:24:00"/>
    <d v="1899-12-30T15:02:00"/>
    <n v="98"/>
    <b v="1"/>
    <s v="Mike"/>
  </r>
  <r>
    <n v="637"/>
    <s v="Steward"/>
    <x v="1"/>
    <d v="2001-06-15T00:00:00"/>
    <s v="20-30"/>
    <n v="23"/>
    <x v="1"/>
    <n v="1"/>
    <s v="Sat"/>
    <n v="0"/>
    <n v="0"/>
    <n v="0"/>
    <n v="0"/>
    <n v="0"/>
    <n v="0"/>
    <n v="1"/>
    <b v="0"/>
    <m/>
    <d v="1899-12-30T10:01:00"/>
    <d v="1899-12-30T10:35:00"/>
    <n v="34"/>
    <b v="0"/>
    <m/>
  </r>
  <r>
    <n v="638"/>
    <s v="Timothea"/>
    <x v="0"/>
    <d v="2005-11-02T00:00:00"/>
    <s v="below 20"/>
    <n v="18"/>
    <x v="0"/>
    <n v="2"/>
    <s v="Fri, Mon"/>
    <n v="0"/>
    <n v="1"/>
    <n v="0"/>
    <n v="0"/>
    <n v="0"/>
    <n v="1"/>
    <n v="0"/>
    <b v="0"/>
    <m/>
    <d v="1899-12-30T19:45:00"/>
    <d v="1899-12-30T21:41:00"/>
    <n v="116"/>
    <b v="1"/>
    <s v="Chantal"/>
  </r>
  <r>
    <n v="639"/>
    <s v="Shea"/>
    <x v="0"/>
    <d v="1999-10-07T00:00:00"/>
    <s v="20-30"/>
    <n v="24"/>
    <x v="0"/>
    <n v="4"/>
    <s v="Mon, Sun, Tue, Wed"/>
    <n v="1"/>
    <n v="1"/>
    <n v="1"/>
    <n v="1"/>
    <n v="0"/>
    <n v="0"/>
    <n v="0"/>
    <b v="1"/>
    <s v="Kickboxen, BodyPump, Yoga"/>
    <d v="1899-12-30T09:25:00"/>
    <d v="1899-12-30T12:08:00"/>
    <n v="163"/>
    <b v="0"/>
    <m/>
  </r>
  <r>
    <n v="640"/>
    <s v="Romola"/>
    <x v="0"/>
    <d v="2007-04-06T00:00:00"/>
    <s v="below 20"/>
    <n v="17"/>
    <x v="0"/>
    <n v="5"/>
    <s v="Mon, Sun, Thu, Tue, Wed"/>
    <n v="1"/>
    <n v="1"/>
    <n v="1"/>
    <n v="1"/>
    <n v="1"/>
    <n v="0"/>
    <n v="0"/>
    <b v="1"/>
    <s v="BodyBalance, HIT"/>
    <d v="1899-12-30T10:00:00"/>
    <d v="1899-12-30T12:50:00"/>
    <n v="170"/>
    <b v="0"/>
    <m/>
  </r>
  <r>
    <n v="641"/>
    <s v="Elladine"/>
    <x v="0"/>
    <d v="1999-08-17T00:00:00"/>
    <s v="20-30"/>
    <n v="25"/>
    <x v="0"/>
    <n v="1"/>
    <s v="Sat"/>
    <n v="0"/>
    <n v="0"/>
    <n v="0"/>
    <n v="0"/>
    <n v="0"/>
    <n v="0"/>
    <n v="1"/>
    <b v="0"/>
    <m/>
    <d v="1899-12-30T08:37:00"/>
    <d v="1899-12-30T11:18:00"/>
    <n v="161"/>
    <b v="1"/>
    <s v="Chantal"/>
  </r>
  <r>
    <n v="642"/>
    <s v="Noelle"/>
    <x v="0"/>
    <d v="1976-11-06T00:00:00"/>
    <s v="41-50"/>
    <n v="47"/>
    <x v="1"/>
    <n v="2"/>
    <s v="Fri, Sat"/>
    <n v="0"/>
    <n v="0"/>
    <n v="0"/>
    <n v="0"/>
    <n v="0"/>
    <n v="1"/>
    <n v="1"/>
    <b v="1"/>
    <s v="Yoga"/>
    <d v="1899-12-30T12:42:00"/>
    <d v="1899-12-30T13:41:00"/>
    <n v="59"/>
    <b v="1"/>
    <s v="Mike"/>
  </r>
  <r>
    <n v="643"/>
    <s v="Dilan"/>
    <x v="1"/>
    <d v="1999-07-25T00:00:00"/>
    <s v="20-30"/>
    <n v="25"/>
    <x v="0"/>
    <n v="2"/>
    <s v="Sat, Wed"/>
    <n v="0"/>
    <n v="0"/>
    <n v="0"/>
    <n v="1"/>
    <n v="0"/>
    <n v="0"/>
    <n v="1"/>
    <b v="1"/>
    <s v="HIT"/>
    <d v="1899-12-30T20:31:00"/>
    <d v="1899-12-30T22:06:00"/>
    <n v="95"/>
    <b v="1"/>
    <s v="Jeffrey"/>
  </r>
  <r>
    <n v="644"/>
    <s v="Catlee"/>
    <x v="0"/>
    <d v="2010-07-16T00:00:00"/>
    <s v="below 20"/>
    <n v="14"/>
    <x v="0"/>
    <n v="5"/>
    <s v="Fri, Mon, Sat, Thu, Tue"/>
    <n v="0"/>
    <n v="1"/>
    <n v="1"/>
    <n v="0"/>
    <n v="1"/>
    <n v="1"/>
    <n v="1"/>
    <b v="1"/>
    <s v="Running"/>
    <d v="1899-12-30T12:54:00"/>
    <d v="1899-12-30T14:45:00"/>
    <n v="111"/>
    <b v="1"/>
    <s v="Chantal"/>
  </r>
  <r>
    <n v="645"/>
    <s v="Padget"/>
    <x v="1"/>
    <d v="2010-10-02T00:00:00"/>
    <s v="below 20"/>
    <n v="14"/>
    <x v="0"/>
    <n v="3"/>
    <s v="Fri, Sat, Sun"/>
    <n v="1"/>
    <n v="0"/>
    <n v="0"/>
    <n v="0"/>
    <n v="0"/>
    <n v="1"/>
    <n v="1"/>
    <b v="1"/>
    <s v="BodyBalance, Yoga"/>
    <d v="1899-12-30T17:23:00"/>
    <d v="1899-12-30T18:35:00"/>
    <n v="72"/>
    <b v="0"/>
    <m/>
  </r>
  <r>
    <n v="646"/>
    <s v="Toiboid"/>
    <x v="1"/>
    <d v="1975-08-16T00:00:00"/>
    <s v="41-50"/>
    <n v="49"/>
    <x v="0"/>
    <n v="3"/>
    <s v="Sat, Thu, Tue"/>
    <n v="0"/>
    <n v="0"/>
    <n v="1"/>
    <n v="0"/>
    <n v="1"/>
    <n v="0"/>
    <n v="1"/>
    <b v="0"/>
    <m/>
    <d v="1899-12-30T17:16:00"/>
    <d v="1899-12-30T20:14:00"/>
    <n v="178"/>
    <b v="0"/>
    <m/>
  </r>
  <r>
    <n v="647"/>
    <s v="Rodd"/>
    <x v="1"/>
    <d v="2000-07-26T00:00:00"/>
    <s v="20-30"/>
    <n v="24"/>
    <x v="1"/>
    <n v="2"/>
    <s v="Sat, Sun"/>
    <n v="1"/>
    <n v="0"/>
    <n v="0"/>
    <n v="0"/>
    <n v="0"/>
    <n v="0"/>
    <n v="1"/>
    <b v="1"/>
    <s v="Yoga, HIT, Spinning"/>
    <d v="1899-12-30T18:58:00"/>
    <d v="1899-12-30T21:53:00"/>
    <n v="175"/>
    <b v="0"/>
    <m/>
  </r>
  <r>
    <n v="648"/>
    <s v="Kikelia"/>
    <x v="0"/>
    <d v="1998-09-22T00:00:00"/>
    <s v="20-30"/>
    <n v="26"/>
    <x v="1"/>
    <n v="1"/>
    <s v="Tue"/>
    <n v="0"/>
    <n v="0"/>
    <n v="1"/>
    <n v="0"/>
    <n v="0"/>
    <n v="0"/>
    <n v="0"/>
    <b v="1"/>
    <s v="Kickboxen, BodyPump"/>
    <d v="1899-12-30T12:44:00"/>
    <d v="1899-12-30T15:27:00"/>
    <n v="163"/>
    <b v="0"/>
    <m/>
  </r>
  <r>
    <n v="649"/>
    <s v="Noelani"/>
    <x v="0"/>
    <d v="2002-05-28T00:00:00"/>
    <s v="20-30"/>
    <n v="22"/>
    <x v="1"/>
    <n v="5"/>
    <s v="Fri, Mon, Sun, Tue, Wed"/>
    <n v="1"/>
    <n v="1"/>
    <n v="1"/>
    <n v="1"/>
    <n v="0"/>
    <n v="1"/>
    <n v="0"/>
    <b v="0"/>
    <m/>
    <d v="1899-12-30T13:50:00"/>
    <d v="1899-12-30T14:51:00"/>
    <n v="61"/>
    <b v="0"/>
    <m/>
  </r>
  <r>
    <n v="650"/>
    <s v="Holly"/>
    <x v="1"/>
    <d v="2012-09-15T00:00:00"/>
    <s v="below 20"/>
    <n v="12"/>
    <x v="0"/>
    <n v="3"/>
    <s v="Sun, Thu, Wed"/>
    <n v="1"/>
    <n v="0"/>
    <n v="0"/>
    <n v="1"/>
    <n v="1"/>
    <n v="0"/>
    <n v="0"/>
    <b v="1"/>
    <s v="Kickboxen, Spinning"/>
    <d v="1899-12-30T14:54:00"/>
    <d v="1899-12-30T15:59:00"/>
    <n v="65"/>
    <b v="0"/>
    <m/>
  </r>
  <r>
    <n v="651"/>
    <s v="Bradley"/>
    <x v="1"/>
    <d v="2010-09-13T00:00:00"/>
    <s v="below 20"/>
    <n v="14"/>
    <x v="0"/>
    <n v="4"/>
    <s v="Fri, Sat, Thu, Wed"/>
    <n v="0"/>
    <n v="0"/>
    <n v="0"/>
    <n v="1"/>
    <n v="1"/>
    <n v="1"/>
    <n v="1"/>
    <b v="0"/>
    <m/>
    <d v="1899-12-30T20:36:00"/>
    <d v="1899-12-30T21:38:00"/>
    <n v="62"/>
    <b v="0"/>
    <m/>
  </r>
  <r>
    <n v="652"/>
    <s v="Jermayne"/>
    <x v="1"/>
    <d v="2006-08-22T00:00:00"/>
    <s v="below 20"/>
    <n v="18"/>
    <x v="0"/>
    <n v="3"/>
    <s v="Fri, Thu, Wed"/>
    <n v="0"/>
    <n v="0"/>
    <n v="0"/>
    <n v="1"/>
    <n v="1"/>
    <n v="1"/>
    <n v="0"/>
    <b v="0"/>
    <m/>
    <d v="1899-12-30T11:06:00"/>
    <d v="1899-12-30T12:50:00"/>
    <n v="104"/>
    <b v="0"/>
    <m/>
  </r>
  <r>
    <n v="653"/>
    <s v="Bradford"/>
    <x v="1"/>
    <d v="1997-10-25T00:00:00"/>
    <s v="20-30"/>
    <n v="26"/>
    <x v="1"/>
    <n v="3"/>
    <s v="Sun, Tue, Wed"/>
    <n v="1"/>
    <n v="0"/>
    <n v="1"/>
    <n v="1"/>
    <n v="0"/>
    <n v="0"/>
    <n v="0"/>
    <b v="0"/>
    <m/>
    <d v="1899-12-30T13:11:00"/>
    <d v="1899-12-30T15:05:00"/>
    <n v="114"/>
    <b v="0"/>
    <m/>
  </r>
  <r>
    <n v="654"/>
    <s v="Fabian"/>
    <x v="1"/>
    <d v="1978-01-01T00:00:00"/>
    <s v="41-50"/>
    <n v="46"/>
    <x v="0"/>
    <n v="1"/>
    <s v="Sun"/>
    <n v="1"/>
    <n v="0"/>
    <n v="0"/>
    <n v="0"/>
    <n v="0"/>
    <n v="0"/>
    <n v="0"/>
    <b v="0"/>
    <m/>
    <d v="1899-12-30T14:38:00"/>
    <d v="1899-12-30T16:07:00"/>
    <n v="89"/>
    <b v="0"/>
    <m/>
  </r>
  <r>
    <n v="655"/>
    <s v="Demetris"/>
    <x v="1"/>
    <d v="1996-07-22T00:00:00"/>
    <s v="20-30"/>
    <n v="28"/>
    <x v="1"/>
    <n v="2"/>
    <s v="Sat, Thu"/>
    <n v="0"/>
    <n v="0"/>
    <n v="0"/>
    <n v="0"/>
    <n v="1"/>
    <n v="0"/>
    <n v="1"/>
    <b v="0"/>
    <m/>
    <d v="1899-12-30T09:20:00"/>
    <d v="1899-12-30T11:19:00"/>
    <n v="119"/>
    <b v="1"/>
    <s v="Jeffrey"/>
  </r>
  <r>
    <n v="656"/>
    <s v="Barbabas"/>
    <x v="1"/>
    <d v="2011-09-24T00:00:00"/>
    <s v="below 20"/>
    <n v="13"/>
    <x v="1"/>
    <n v="5"/>
    <s v="Fri, Sat, Thu, Tue, Wed"/>
    <n v="0"/>
    <n v="0"/>
    <n v="1"/>
    <n v="1"/>
    <n v="1"/>
    <n v="1"/>
    <n v="1"/>
    <b v="1"/>
    <s v="Yoga, BodyBalance"/>
    <d v="1899-12-30T17:13:00"/>
    <d v="1899-12-30T17:50:00"/>
    <n v="37"/>
    <b v="0"/>
    <m/>
  </r>
  <r>
    <n v="657"/>
    <s v="Ricoriki"/>
    <x v="1"/>
    <d v="1984-06-15T00:00:00"/>
    <s v="31-41"/>
    <n v="40"/>
    <x v="0"/>
    <n v="2"/>
    <s v="Thu, Wed"/>
    <n v="0"/>
    <n v="0"/>
    <n v="0"/>
    <n v="1"/>
    <n v="1"/>
    <n v="0"/>
    <n v="0"/>
    <b v="1"/>
    <s v="BodyPump, HIT"/>
    <d v="1899-12-30T14:58:00"/>
    <d v="1899-12-30T15:44:00"/>
    <n v="46"/>
    <b v="0"/>
    <m/>
  </r>
  <r>
    <n v="658"/>
    <s v="Westleigh"/>
    <x v="1"/>
    <d v="1999-01-01T00:00:00"/>
    <s v="20-30"/>
    <n v="25"/>
    <x v="1"/>
    <n v="4"/>
    <s v="Fri, Sat, Sun, Tue"/>
    <n v="1"/>
    <n v="0"/>
    <n v="1"/>
    <n v="0"/>
    <n v="0"/>
    <n v="1"/>
    <n v="1"/>
    <b v="0"/>
    <m/>
    <d v="1899-12-30T19:23:00"/>
    <d v="1899-12-30T20:33:00"/>
    <n v="70"/>
    <b v="0"/>
    <m/>
  </r>
  <r>
    <n v="659"/>
    <s v="Ailina"/>
    <x v="0"/>
    <d v="2006-10-15T00:00:00"/>
    <s v="below 20"/>
    <n v="17"/>
    <x v="1"/>
    <n v="3"/>
    <s v="Fri, Tue, Wed"/>
    <n v="0"/>
    <n v="0"/>
    <n v="1"/>
    <n v="1"/>
    <n v="0"/>
    <n v="1"/>
    <n v="0"/>
    <b v="0"/>
    <m/>
    <d v="1899-12-30T18:02:00"/>
    <d v="1899-12-30T20:33:00"/>
    <n v="151"/>
    <b v="0"/>
    <m/>
  </r>
  <r>
    <n v="660"/>
    <s v="Bronson"/>
    <x v="1"/>
    <d v="1977-06-17T00:00:00"/>
    <s v="41-50"/>
    <n v="47"/>
    <x v="0"/>
    <n v="2"/>
    <s v="Sat, Wed"/>
    <n v="0"/>
    <n v="0"/>
    <n v="0"/>
    <n v="1"/>
    <n v="0"/>
    <n v="0"/>
    <n v="1"/>
    <b v="0"/>
    <m/>
    <d v="1899-12-30T09:58:00"/>
    <d v="1899-12-30T12:28:00"/>
    <n v="150"/>
    <b v="0"/>
    <m/>
  </r>
  <r>
    <n v="661"/>
    <s v="Aaron"/>
    <x v="1"/>
    <d v="2009-12-05T00:00:00"/>
    <s v="below 20"/>
    <n v="14"/>
    <x v="1"/>
    <n v="3"/>
    <s v="Sat, Sun, Tue"/>
    <n v="1"/>
    <n v="0"/>
    <n v="1"/>
    <n v="0"/>
    <n v="0"/>
    <n v="0"/>
    <n v="1"/>
    <b v="1"/>
    <s v="XCore, Yoga"/>
    <d v="1899-12-30T17:02:00"/>
    <d v="1899-12-30T18:27:00"/>
    <n v="85"/>
    <b v="0"/>
    <m/>
  </r>
  <r>
    <n v="662"/>
    <s v="Giffer"/>
    <x v="1"/>
    <d v="1985-12-07T00:00:00"/>
    <s v="31-41"/>
    <n v="38"/>
    <x v="0"/>
    <n v="2"/>
    <s v="Fri, Thu"/>
    <n v="0"/>
    <n v="0"/>
    <n v="0"/>
    <n v="0"/>
    <n v="1"/>
    <n v="1"/>
    <n v="0"/>
    <b v="1"/>
    <s v="Kickboxen, Pilates"/>
    <d v="1899-12-30T11:41:00"/>
    <d v="1899-12-30T13:51:00"/>
    <n v="130"/>
    <b v="1"/>
    <s v="Hanna"/>
  </r>
  <r>
    <n v="663"/>
    <s v="Elisa"/>
    <x v="0"/>
    <d v="1992-10-12T00:00:00"/>
    <s v="31-41"/>
    <n v="31"/>
    <x v="1"/>
    <n v="3"/>
    <s v="Mon, Tue, Wed"/>
    <n v="0"/>
    <n v="1"/>
    <n v="1"/>
    <n v="1"/>
    <n v="0"/>
    <n v="0"/>
    <n v="0"/>
    <b v="0"/>
    <m/>
    <d v="1899-12-30T14:01:00"/>
    <d v="1899-12-30T14:58:00"/>
    <n v="57"/>
    <b v="0"/>
    <m/>
  </r>
  <r>
    <n v="664"/>
    <s v="Myrle"/>
    <x v="0"/>
    <d v="2011-03-27T00:00:00"/>
    <s v="below 20"/>
    <n v="13"/>
    <x v="1"/>
    <n v="1"/>
    <s v="Sat"/>
    <n v="0"/>
    <n v="0"/>
    <n v="0"/>
    <n v="0"/>
    <n v="0"/>
    <n v="0"/>
    <n v="1"/>
    <b v="0"/>
    <m/>
    <d v="1899-12-30T10:20:00"/>
    <d v="1899-12-30T12:47:00"/>
    <n v="147"/>
    <b v="0"/>
    <m/>
  </r>
  <r>
    <n v="665"/>
    <s v="Myrah"/>
    <x v="0"/>
    <d v="1982-11-23T00:00:00"/>
    <s v="41-50"/>
    <n v="41"/>
    <x v="1"/>
    <n v="1"/>
    <s v="Wed"/>
    <n v="0"/>
    <n v="0"/>
    <n v="0"/>
    <n v="1"/>
    <n v="0"/>
    <n v="0"/>
    <n v="0"/>
    <b v="1"/>
    <s v="BodyPump, LesMiles, Kickboxen"/>
    <d v="1899-12-30T11:45:00"/>
    <d v="1899-12-30T14:24:00"/>
    <n v="159"/>
    <b v="1"/>
    <s v="Chantal"/>
  </r>
  <r>
    <n v="666"/>
    <s v="Hesther"/>
    <x v="0"/>
    <d v="2005-02-18T00:00:00"/>
    <s v="below 20"/>
    <n v="19"/>
    <x v="0"/>
    <n v="2"/>
    <s v="Sat, Thu"/>
    <n v="0"/>
    <n v="0"/>
    <n v="0"/>
    <n v="0"/>
    <n v="1"/>
    <n v="0"/>
    <n v="1"/>
    <b v="1"/>
    <s v="Pilates, Spinning"/>
    <d v="1899-12-30T10:42:00"/>
    <d v="1899-12-30T12:48:00"/>
    <n v="126"/>
    <b v="1"/>
    <s v="Mike"/>
  </r>
  <r>
    <n v="667"/>
    <s v="Lewie"/>
    <x v="1"/>
    <d v="1976-03-12T00:00:00"/>
    <s v="41-50"/>
    <n v="48"/>
    <x v="0"/>
    <n v="2"/>
    <s v="Sat, Sun"/>
    <n v="1"/>
    <n v="0"/>
    <n v="0"/>
    <n v="0"/>
    <n v="0"/>
    <n v="0"/>
    <n v="1"/>
    <b v="1"/>
    <s v="Spinning, HIT, LesMiles"/>
    <d v="1899-12-30T11:46:00"/>
    <d v="1899-12-30T13:27:00"/>
    <n v="101"/>
    <b v="0"/>
    <m/>
  </r>
  <r>
    <n v="668"/>
    <s v="Nessy"/>
    <x v="0"/>
    <d v="1988-11-30T00:00:00"/>
    <s v="31-41"/>
    <n v="35"/>
    <x v="1"/>
    <n v="3"/>
    <s v="Mon, Sun, Thu"/>
    <n v="1"/>
    <n v="1"/>
    <n v="0"/>
    <n v="0"/>
    <n v="1"/>
    <n v="0"/>
    <n v="0"/>
    <b v="1"/>
    <s v="Pilates, Zumba"/>
    <d v="1899-12-30T15:00:00"/>
    <d v="1899-12-30T16:45:00"/>
    <n v="105"/>
    <b v="0"/>
    <m/>
  </r>
  <r>
    <n v="669"/>
    <s v="Ashia"/>
    <x v="0"/>
    <d v="1985-04-07T00:00:00"/>
    <s v="31-41"/>
    <n v="39"/>
    <x v="1"/>
    <n v="5"/>
    <s v="Mon, Sat, Sun, Thu, Tue"/>
    <n v="1"/>
    <n v="1"/>
    <n v="1"/>
    <n v="0"/>
    <n v="1"/>
    <n v="0"/>
    <n v="1"/>
    <b v="1"/>
    <s v="HIT, BodyPump"/>
    <d v="1899-12-30T19:04:00"/>
    <d v="1899-12-30T22:04:00"/>
    <n v="180"/>
    <b v="0"/>
    <m/>
  </r>
  <r>
    <n v="670"/>
    <s v="Carmencita"/>
    <x v="0"/>
    <d v="2001-01-16T00:00:00"/>
    <s v="20-30"/>
    <n v="23"/>
    <x v="0"/>
    <n v="4"/>
    <s v="Fri, Mon, Thu, Tue"/>
    <n v="0"/>
    <n v="1"/>
    <n v="1"/>
    <n v="0"/>
    <n v="1"/>
    <n v="1"/>
    <n v="0"/>
    <b v="1"/>
    <s v="Spinning, BodyPump, LesMiles"/>
    <d v="1899-12-30T09:17:00"/>
    <d v="1899-12-30T11:31:00"/>
    <n v="134"/>
    <b v="0"/>
    <m/>
  </r>
  <r>
    <n v="671"/>
    <s v="Gery"/>
    <x v="1"/>
    <d v="1985-06-11T00:00:00"/>
    <s v="31-41"/>
    <n v="39"/>
    <x v="0"/>
    <n v="3"/>
    <s v="Fri, Tue, Wed"/>
    <n v="0"/>
    <n v="0"/>
    <n v="1"/>
    <n v="1"/>
    <n v="0"/>
    <n v="1"/>
    <n v="0"/>
    <b v="0"/>
    <m/>
    <d v="1899-12-30T12:36:00"/>
    <d v="1899-12-30T13:31:00"/>
    <n v="55"/>
    <b v="1"/>
    <s v="Chantal"/>
  </r>
  <r>
    <n v="672"/>
    <s v="Duffie"/>
    <x v="1"/>
    <d v="1977-01-08T00:00:00"/>
    <s v="41-50"/>
    <n v="47"/>
    <x v="1"/>
    <n v="2"/>
    <s v="Fri, Thu"/>
    <n v="0"/>
    <n v="0"/>
    <n v="0"/>
    <n v="0"/>
    <n v="1"/>
    <n v="1"/>
    <n v="0"/>
    <b v="1"/>
    <s v="LesMiles, Running"/>
    <d v="1899-12-30T08:13:00"/>
    <d v="1899-12-30T09:41:00"/>
    <n v="88"/>
    <b v="1"/>
    <s v="Jeffrey"/>
  </r>
  <r>
    <n v="673"/>
    <s v="Tomi"/>
    <x v="0"/>
    <d v="2009-11-17T00:00:00"/>
    <s v="below 20"/>
    <n v="14"/>
    <x v="0"/>
    <n v="5"/>
    <s v="Sat, Sun, Thu, Tue, Wed"/>
    <n v="1"/>
    <n v="0"/>
    <n v="1"/>
    <n v="1"/>
    <n v="1"/>
    <n v="0"/>
    <n v="1"/>
    <b v="1"/>
    <s v="Yoga, Zumba"/>
    <d v="1899-12-30T10:49:00"/>
    <d v="1899-12-30T12:46:00"/>
    <n v="117"/>
    <b v="0"/>
    <m/>
  </r>
  <r>
    <n v="674"/>
    <s v="Yehudit"/>
    <x v="1"/>
    <d v="2010-04-14T00:00:00"/>
    <s v="below 20"/>
    <n v="14"/>
    <x v="1"/>
    <n v="5"/>
    <s v="Fri, Mon, Sun, Thu, Wed"/>
    <n v="1"/>
    <n v="1"/>
    <n v="0"/>
    <n v="1"/>
    <n v="1"/>
    <n v="1"/>
    <n v="0"/>
    <b v="1"/>
    <s v="HIT, Pilates, BodyBalance"/>
    <d v="1899-12-30T20:16:00"/>
    <d v="1899-12-30T20:51:00"/>
    <n v="35"/>
    <b v="0"/>
    <m/>
  </r>
  <r>
    <n v="675"/>
    <s v="Sidonia"/>
    <x v="0"/>
    <d v="1983-02-26T00:00:00"/>
    <s v="41-50"/>
    <n v="41"/>
    <x v="1"/>
    <n v="1"/>
    <s v="Thu"/>
    <n v="0"/>
    <n v="0"/>
    <n v="0"/>
    <n v="0"/>
    <n v="1"/>
    <n v="0"/>
    <n v="0"/>
    <b v="0"/>
    <m/>
    <d v="1899-12-30T11:52:00"/>
    <d v="1899-12-30T13:52:00"/>
    <n v="120"/>
    <b v="0"/>
    <m/>
  </r>
  <r>
    <n v="676"/>
    <s v="Bari"/>
    <x v="0"/>
    <d v="1980-06-13T00:00:00"/>
    <s v="41-50"/>
    <n v="44"/>
    <x v="1"/>
    <n v="1"/>
    <s v="Sun"/>
    <n v="1"/>
    <n v="0"/>
    <n v="0"/>
    <n v="0"/>
    <n v="0"/>
    <n v="0"/>
    <n v="0"/>
    <b v="1"/>
    <s v="Yoga"/>
    <d v="1899-12-30T08:17:00"/>
    <d v="1899-12-30T10:45:00"/>
    <n v="148"/>
    <b v="1"/>
    <s v="Jeffrey"/>
  </r>
  <r>
    <n v="677"/>
    <s v="Tonia"/>
    <x v="0"/>
    <d v="2000-05-16T00:00:00"/>
    <s v="20-30"/>
    <n v="24"/>
    <x v="0"/>
    <n v="5"/>
    <s v="Fri, Mon, Sun, Thu, Wed"/>
    <n v="1"/>
    <n v="1"/>
    <n v="0"/>
    <n v="1"/>
    <n v="1"/>
    <n v="1"/>
    <n v="0"/>
    <b v="1"/>
    <s v="BodyPump, Kickboxen, LesMiles"/>
    <d v="1899-12-30T09:06:00"/>
    <d v="1899-12-30T09:49:00"/>
    <n v="43"/>
    <b v="0"/>
    <m/>
  </r>
  <r>
    <n v="678"/>
    <s v="Jessie"/>
    <x v="0"/>
    <d v="1984-11-21T00:00:00"/>
    <s v="31-41"/>
    <n v="39"/>
    <x v="1"/>
    <n v="4"/>
    <s v="Fri, Sat, Thu, Wed"/>
    <n v="0"/>
    <n v="0"/>
    <n v="0"/>
    <n v="1"/>
    <n v="1"/>
    <n v="1"/>
    <n v="1"/>
    <b v="0"/>
    <m/>
    <d v="1899-12-30T13:57:00"/>
    <d v="1899-12-30T16:46:00"/>
    <n v="169"/>
    <b v="1"/>
    <s v="Hanna"/>
  </r>
  <r>
    <n v="679"/>
    <s v="Terrill"/>
    <x v="1"/>
    <d v="1987-01-11T00:00:00"/>
    <s v="31-41"/>
    <n v="37"/>
    <x v="0"/>
    <n v="1"/>
    <s v="Tue"/>
    <n v="0"/>
    <n v="0"/>
    <n v="1"/>
    <n v="0"/>
    <n v="0"/>
    <n v="0"/>
    <n v="0"/>
    <b v="1"/>
    <s v="LesMiles, BodyPump, Running"/>
    <d v="1899-12-30T09:10:00"/>
    <d v="1899-12-30T09:49:00"/>
    <n v="39"/>
    <b v="0"/>
    <m/>
  </r>
  <r>
    <n v="680"/>
    <s v="Farlee"/>
    <x v="1"/>
    <d v="1999-08-20T00:00:00"/>
    <s v="20-30"/>
    <n v="25"/>
    <x v="1"/>
    <n v="3"/>
    <s v="Mon, Sat, Wed"/>
    <n v="0"/>
    <n v="1"/>
    <n v="0"/>
    <n v="1"/>
    <n v="0"/>
    <n v="0"/>
    <n v="1"/>
    <b v="1"/>
    <s v="Pilates"/>
    <d v="1899-12-30T16:33:00"/>
    <d v="1899-12-30T17:08:00"/>
    <n v="35"/>
    <b v="1"/>
    <s v="Jeffrey"/>
  </r>
  <r>
    <n v="681"/>
    <s v="Aura"/>
    <x v="0"/>
    <d v="1986-11-21T00:00:00"/>
    <s v="31-41"/>
    <n v="37"/>
    <x v="0"/>
    <n v="1"/>
    <s v="Mon"/>
    <n v="0"/>
    <n v="1"/>
    <n v="0"/>
    <n v="0"/>
    <n v="0"/>
    <n v="0"/>
    <n v="0"/>
    <b v="0"/>
    <m/>
    <d v="1899-12-30T09:11:00"/>
    <d v="1899-12-30T11:08:00"/>
    <n v="117"/>
    <b v="1"/>
    <s v="Mike"/>
  </r>
  <r>
    <n v="682"/>
    <s v="Maximilien"/>
    <x v="1"/>
    <d v="1989-10-27T00:00:00"/>
    <s v="31-41"/>
    <n v="34"/>
    <x v="0"/>
    <n v="3"/>
    <s v="Mon, Sun, Thu"/>
    <n v="1"/>
    <n v="1"/>
    <n v="0"/>
    <n v="0"/>
    <n v="1"/>
    <n v="0"/>
    <n v="0"/>
    <b v="0"/>
    <m/>
    <d v="1899-12-30T10:54:00"/>
    <d v="1899-12-30T12:18:00"/>
    <n v="84"/>
    <b v="1"/>
    <s v="Hanna"/>
  </r>
  <r>
    <n v="683"/>
    <s v="Kenneth"/>
    <x v="1"/>
    <d v="1975-06-05T00:00:00"/>
    <s v="41-50"/>
    <n v="49"/>
    <x v="1"/>
    <n v="1"/>
    <s v="Mon"/>
    <n v="0"/>
    <n v="1"/>
    <n v="0"/>
    <n v="0"/>
    <n v="0"/>
    <n v="0"/>
    <n v="0"/>
    <b v="1"/>
    <s v="HIT, Zumba"/>
    <d v="1899-12-30T20:23:00"/>
    <d v="1899-12-30T23:12:00"/>
    <n v="169"/>
    <b v="0"/>
    <m/>
  </r>
  <r>
    <n v="684"/>
    <s v="Joella"/>
    <x v="0"/>
    <d v="2005-12-25T00:00:00"/>
    <s v="below 20"/>
    <n v="18"/>
    <x v="1"/>
    <n v="1"/>
    <s v="Fri"/>
    <n v="0"/>
    <n v="0"/>
    <n v="0"/>
    <n v="0"/>
    <n v="0"/>
    <n v="1"/>
    <n v="0"/>
    <b v="1"/>
    <s v="Kickboxen"/>
    <d v="1899-12-30T17:51:00"/>
    <d v="1899-12-30T18:31:00"/>
    <n v="40"/>
    <b v="0"/>
    <m/>
  </r>
  <r>
    <n v="685"/>
    <s v="Norbie"/>
    <x v="1"/>
    <d v="1981-08-15T00:00:00"/>
    <s v="41-50"/>
    <n v="43"/>
    <x v="1"/>
    <n v="2"/>
    <s v="Fri, Sun"/>
    <n v="1"/>
    <n v="0"/>
    <n v="0"/>
    <n v="0"/>
    <n v="0"/>
    <n v="1"/>
    <n v="0"/>
    <b v="0"/>
    <m/>
    <d v="1899-12-30T18:35:00"/>
    <d v="1899-12-30T20:40:00"/>
    <n v="125"/>
    <b v="1"/>
    <s v="Chantal"/>
  </r>
  <r>
    <n v="686"/>
    <s v="Nessa"/>
    <x v="0"/>
    <d v="1994-05-04T00:00:00"/>
    <s v="20-30"/>
    <n v="30"/>
    <x v="0"/>
    <n v="3"/>
    <s v="Sat, Thu, Tue"/>
    <n v="0"/>
    <n v="0"/>
    <n v="1"/>
    <n v="0"/>
    <n v="1"/>
    <n v="0"/>
    <n v="1"/>
    <b v="0"/>
    <m/>
    <d v="1899-12-30T10:16:00"/>
    <d v="1899-12-30T12:59:00"/>
    <n v="163"/>
    <b v="0"/>
    <m/>
  </r>
  <r>
    <n v="687"/>
    <s v="Wendall"/>
    <x v="1"/>
    <d v="1995-02-23T00:00:00"/>
    <s v="20-30"/>
    <n v="29"/>
    <x v="1"/>
    <n v="3"/>
    <s v="Fri, Sat, Sun"/>
    <n v="1"/>
    <n v="0"/>
    <n v="0"/>
    <n v="0"/>
    <n v="0"/>
    <n v="1"/>
    <n v="1"/>
    <b v="1"/>
    <s v="Kickboxen"/>
    <d v="1899-12-30T09:13:00"/>
    <d v="1899-12-30T10:58:00"/>
    <n v="105"/>
    <b v="0"/>
    <m/>
  </r>
  <r>
    <n v="688"/>
    <s v="Lyn"/>
    <x v="1"/>
    <d v="2011-08-05T00:00:00"/>
    <s v="below 20"/>
    <n v="13"/>
    <x v="0"/>
    <n v="3"/>
    <s v="Mon, Sun, Tue"/>
    <n v="1"/>
    <n v="1"/>
    <n v="1"/>
    <n v="0"/>
    <n v="0"/>
    <n v="0"/>
    <n v="0"/>
    <b v="0"/>
    <m/>
    <d v="1899-12-30T20:25:00"/>
    <d v="1899-12-30T23:02:00"/>
    <n v="157"/>
    <b v="1"/>
    <s v="Chantal"/>
  </r>
  <r>
    <n v="689"/>
    <s v="Elke"/>
    <x v="0"/>
    <d v="2011-05-02T00:00:00"/>
    <s v="below 20"/>
    <n v="13"/>
    <x v="1"/>
    <n v="5"/>
    <s v="Fri, Sat, Sun, Thu, Wed"/>
    <n v="1"/>
    <n v="0"/>
    <n v="0"/>
    <n v="1"/>
    <n v="1"/>
    <n v="1"/>
    <n v="1"/>
    <b v="0"/>
    <m/>
    <d v="1899-12-30T09:47:00"/>
    <d v="1899-12-30T11:20:00"/>
    <n v="93"/>
    <b v="1"/>
    <s v="Jeffrey"/>
  </r>
  <r>
    <n v="690"/>
    <s v="Simmonds"/>
    <x v="1"/>
    <d v="1979-08-28T00:00:00"/>
    <s v="41-50"/>
    <n v="45"/>
    <x v="0"/>
    <n v="3"/>
    <s v="Fri, Thu, Tue"/>
    <n v="0"/>
    <n v="0"/>
    <n v="1"/>
    <n v="0"/>
    <n v="1"/>
    <n v="1"/>
    <n v="0"/>
    <b v="0"/>
    <m/>
    <d v="1899-12-30T13:10:00"/>
    <d v="1899-12-30T14:30:00"/>
    <n v="80"/>
    <b v="0"/>
    <m/>
  </r>
  <r>
    <n v="691"/>
    <s v="Guss"/>
    <x v="1"/>
    <d v="1996-05-06T00:00:00"/>
    <s v="20-30"/>
    <n v="28"/>
    <x v="0"/>
    <n v="3"/>
    <s v="Mon, Sat, Thu"/>
    <n v="0"/>
    <n v="1"/>
    <n v="0"/>
    <n v="0"/>
    <n v="1"/>
    <n v="0"/>
    <n v="1"/>
    <b v="0"/>
    <m/>
    <d v="1899-12-30T10:17:00"/>
    <d v="1899-12-30T11:29:00"/>
    <n v="72"/>
    <b v="1"/>
    <s v="Hanna"/>
  </r>
  <r>
    <n v="692"/>
    <s v="Matelda"/>
    <x v="0"/>
    <d v="2007-11-30T00:00:00"/>
    <s v="below 20"/>
    <n v="16"/>
    <x v="0"/>
    <n v="4"/>
    <s v="Mon, Sat, Thu, Wed"/>
    <n v="0"/>
    <n v="1"/>
    <n v="0"/>
    <n v="1"/>
    <n v="1"/>
    <n v="0"/>
    <n v="1"/>
    <b v="1"/>
    <s v="BodyPump, BodyBalance"/>
    <d v="1899-12-30T16:21:00"/>
    <d v="1899-12-30T18:27:00"/>
    <n v="126"/>
    <b v="1"/>
    <s v="Hanna"/>
  </r>
  <r>
    <n v="693"/>
    <s v="Mignonne"/>
    <x v="0"/>
    <d v="1987-12-14T00:00:00"/>
    <s v="31-41"/>
    <n v="36"/>
    <x v="1"/>
    <n v="4"/>
    <s v="Mon, Thu, Tue, Wed"/>
    <n v="0"/>
    <n v="1"/>
    <n v="1"/>
    <n v="1"/>
    <n v="1"/>
    <n v="0"/>
    <n v="0"/>
    <b v="0"/>
    <m/>
    <d v="1899-12-30T17:34:00"/>
    <d v="1899-12-30T18:19:00"/>
    <n v="45"/>
    <b v="1"/>
    <s v="Jeffrey"/>
  </r>
  <r>
    <n v="694"/>
    <s v="Shirline"/>
    <x v="0"/>
    <d v="2005-01-29T00:00:00"/>
    <s v="below 20"/>
    <n v="19"/>
    <x v="1"/>
    <n v="2"/>
    <s v="Tue, Wed"/>
    <n v="0"/>
    <n v="0"/>
    <n v="1"/>
    <n v="1"/>
    <n v="0"/>
    <n v="0"/>
    <n v="0"/>
    <b v="0"/>
    <m/>
    <d v="1899-12-30T16:40:00"/>
    <d v="1899-12-30T17:36:00"/>
    <n v="56"/>
    <b v="1"/>
    <s v="Mike"/>
  </r>
  <r>
    <n v="695"/>
    <s v="Gabriell"/>
    <x v="0"/>
    <d v="1997-07-24T00:00:00"/>
    <s v="20-30"/>
    <n v="27"/>
    <x v="1"/>
    <n v="1"/>
    <s v="Wed"/>
    <n v="0"/>
    <n v="0"/>
    <n v="0"/>
    <n v="1"/>
    <n v="0"/>
    <n v="0"/>
    <n v="0"/>
    <b v="0"/>
    <m/>
    <d v="1899-12-30T12:30:00"/>
    <d v="1899-12-30T15:10:00"/>
    <n v="160"/>
    <b v="0"/>
    <m/>
  </r>
  <r>
    <n v="696"/>
    <s v="Janean"/>
    <x v="0"/>
    <d v="2000-08-02T00:00:00"/>
    <s v="20-30"/>
    <n v="24"/>
    <x v="1"/>
    <n v="4"/>
    <s v="Fri, Mon, Thu, Tue"/>
    <n v="0"/>
    <n v="1"/>
    <n v="1"/>
    <n v="0"/>
    <n v="1"/>
    <n v="1"/>
    <n v="0"/>
    <b v="1"/>
    <s v="BodyPump, Spinning"/>
    <d v="1899-12-30T11:43:00"/>
    <d v="1899-12-30T13:15:00"/>
    <n v="92"/>
    <b v="0"/>
    <m/>
  </r>
  <r>
    <n v="697"/>
    <s v="Alejandro"/>
    <x v="1"/>
    <d v="2002-03-11T00:00:00"/>
    <s v="20-30"/>
    <n v="22"/>
    <x v="1"/>
    <n v="5"/>
    <s v="Sat, Sun, Thu, Tue, Wed"/>
    <n v="1"/>
    <n v="0"/>
    <n v="1"/>
    <n v="1"/>
    <n v="1"/>
    <n v="0"/>
    <n v="1"/>
    <b v="1"/>
    <s v="BodyBalance"/>
    <d v="1899-12-30T10:31:00"/>
    <d v="1899-12-30T12:46:00"/>
    <n v="135"/>
    <b v="1"/>
    <s v="Mike"/>
  </r>
  <r>
    <n v="698"/>
    <s v="Morgan"/>
    <x v="1"/>
    <d v="1975-03-21T00:00:00"/>
    <s v="41-50"/>
    <n v="49"/>
    <x v="1"/>
    <n v="3"/>
    <s v="Thu, Tue, Wed"/>
    <n v="0"/>
    <n v="0"/>
    <n v="1"/>
    <n v="1"/>
    <n v="1"/>
    <n v="0"/>
    <n v="0"/>
    <b v="0"/>
    <m/>
    <d v="1899-12-30T14:52:00"/>
    <d v="1899-12-30T17:14:00"/>
    <n v="142"/>
    <b v="1"/>
    <s v="Chantal"/>
  </r>
  <r>
    <n v="699"/>
    <s v="Peadar"/>
    <x v="1"/>
    <d v="2009-05-06T00:00:00"/>
    <s v="below 20"/>
    <n v="15"/>
    <x v="0"/>
    <n v="3"/>
    <s v="Mon, Sat, Thu"/>
    <n v="0"/>
    <n v="1"/>
    <n v="0"/>
    <n v="0"/>
    <n v="1"/>
    <n v="0"/>
    <n v="1"/>
    <b v="1"/>
    <s v="Yoga"/>
    <d v="1899-12-30T18:06:00"/>
    <d v="1899-12-30T19:51:00"/>
    <n v="105"/>
    <b v="1"/>
    <s v="Jeffrey"/>
  </r>
  <r>
    <n v="700"/>
    <s v="Alana"/>
    <x v="0"/>
    <d v="1988-12-13T00:00:00"/>
    <s v="31-41"/>
    <n v="35"/>
    <x v="0"/>
    <n v="3"/>
    <s v="Sat, Thu, Tue"/>
    <n v="0"/>
    <n v="0"/>
    <n v="1"/>
    <n v="0"/>
    <n v="1"/>
    <n v="0"/>
    <n v="1"/>
    <b v="0"/>
    <m/>
    <d v="1899-12-30T16:35:00"/>
    <d v="1899-12-30T17:37:00"/>
    <n v="62"/>
    <b v="0"/>
    <m/>
  </r>
  <r>
    <n v="701"/>
    <s v="Julia"/>
    <x v="0"/>
    <d v="2000-10-14T00:00:00"/>
    <s v="20-30"/>
    <n v="23"/>
    <x v="1"/>
    <n v="5"/>
    <s v="Mon, Sat, Sun, Thu, Tue"/>
    <n v="1"/>
    <n v="1"/>
    <n v="1"/>
    <n v="0"/>
    <n v="1"/>
    <n v="0"/>
    <n v="1"/>
    <b v="1"/>
    <s v="Yoga, Zumba"/>
    <d v="1899-12-30T11:19:00"/>
    <d v="1899-12-30T13:52:00"/>
    <n v="153"/>
    <b v="0"/>
    <m/>
  </r>
  <r>
    <n v="702"/>
    <s v="Rudiger"/>
    <x v="1"/>
    <d v="1983-09-05T00:00:00"/>
    <s v="41-50"/>
    <n v="41"/>
    <x v="1"/>
    <n v="5"/>
    <s v="Sat, Sun, Thu, Tue, Wed"/>
    <n v="1"/>
    <n v="0"/>
    <n v="1"/>
    <n v="1"/>
    <n v="1"/>
    <n v="0"/>
    <n v="1"/>
    <b v="0"/>
    <m/>
    <d v="1899-12-30T10:22:00"/>
    <d v="1899-12-30T11:16:00"/>
    <n v="54"/>
    <b v="0"/>
    <m/>
  </r>
  <r>
    <n v="703"/>
    <s v="Travers"/>
    <x v="1"/>
    <d v="1988-06-18T00:00:00"/>
    <s v="31-41"/>
    <n v="36"/>
    <x v="0"/>
    <n v="3"/>
    <s v="Mon, Thu, Tue"/>
    <n v="0"/>
    <n v="1"/>
    <n v="1"/>
    <n v="0"/>
    <n v="1"/>
    <n v="0"/>
    <n v="0"/>
    <b v="1"/>
    <s v="Pilates, HIT, Yoga"/>
    <d v="1899-12-30T16:01:00"/>
    <d v="1899-12-30T17:57:00"/>
    <n v="116"/>
    <b v="1"/>
    <s v="Mike"/>
  </r>
  <r>
    <n v="704"/>
    <s v="Hal"/>
    <x v="1"/>
    <d v="1989-02-16T00:00:00"/>
    <s v="31-41"/>
    <n v="35"/>
    <x v="0"/>
    <n v="2"/>
    <s v="Sun, Tue"/>
    <n v="1"/>
    <n v="0"/>
    <n v="1"/>
    <n v="0"/>
    <n v="0"/>
    <n v="0"/>
    <n v="0"/>
    <b v="1"/>
    <s v="XCore, Pilates, Kickboxen"/>
    <d v="1899-12-30T20:14:00"/>
    <d v="1899-12-30T21:00:00"/>
    <n v="46"/>
    <b v="1"/>
    <s v="Jeffrey"/>
  </r>
  <r>
    <n v="705"/>
    <s v="Edvard"/>
    <x v="1"/>
    <d v="1991-11-30T00:00:00"/>
    <s v="31-41"/>
    <n v="32"/>
    <x v="1"/>
    <n v="3"/>
    <s v="Fri, Sun, Thu"/>
    <n v="1"/>
    <n v="0"/>
    <n v="0"/>
    <n v="0"/>
    <n v="1"/>
    <n v="1"/>
    <n v="0"/>
    <b v="1"/>
    <s v="HIT, Yoga, Kickboxen"/>
    <d v="1899-12-30T17:29:00"/>
    <d v="1899-12-30T19:11:00"/>
    <n v="102"/>
    <b v="0"/>
    <m/>
  </r>
  <r>
    <n v="706"/>
    <s v="Hayley"/>
    <x v="0"/>
    <d v="1985-06-13T00:00:00"/>
    <s v="31-41"/>
    <n v="39"/>
    <x v="1"/>
    <n v="3"/>
    <s v="Sat, Thu, Tue"/>
    <n v="0"/>
    <n v="0"/>
    <n v="1"/>
    <n v="0"/>
    <n v="1"/>
    <n v="0"/>
    <n v="1"/>
    <b v="0"/>
    <m/>
    <d v="1899-12-30T11:05:00"/>
    <d v="1899-12-30T13:47:00"/>
    <n v="162"/>
    <b v="1"/>
    <s v="Hanna"/>
  </r>
  <r>
    <n v="707"/>
    <s v="Grove"/>
    <x v="1"/>
    <d v="1996-06-16T00:00:00"/>
    <s v="20-30"/>
    <n v="28"/>
    <x v="0"/>
    <n v="5"/>
    <s v="Fri, Mon, Sat, Tue, Wed"/>
    <n v="0"/>
    <n v="1"/>
    <n v="1"/>
    <n v="1"/>
    <n v="0"/>
    <n v="1"/>
    <n v="1"/>
    <b v="1"/>
    <s v="XCore, LesMiles, Running"/>
    <d v="1899-12-30T13:31:00"/>
    <d v="1899-12-30T15:01:00"/>
    <n v="90"/>
    <b v="1"/>
    <s v="Chantal"/>
  </r>
  <r>
    <n v="708"/>
    <s v="Chic"/>
    <x v="1"/>
    <d v="2001-06-12T00:00:00"/>
    <s v="20-30"/>
    <n v="23"/>
    <x v="0"/>
    <n v="2"/>
    <s v="Sat, Sun"/>
    <n v="1"/>
    <n v="0"/>
    <n v="0"/>
    <n v="0"/>
    <n v="0"/>
    <n v="0"/>
    <n v="1"/>
    <b v="1"/>
    <s v="Pilates"/>
    <d v="1899-12-30T18:01:00"/>
    <d v="1899-12-30T20:53:00"/>
    <n v="172"/>
    <b v="1"/>
    <s v="Hanna"/>
  </r>
  <r>
    <n v="709"/>
    <s v="Rudolfo"/>
    <x v="1"/>
    <d v="1983-11-25T00:00:00"/>
    <s v="31-41"/>
    <n v="40"/>
    <x v="1"/>
    <n v="3"/>
    <s v="Mon, Sun, Tue"/>
    <n v="1"/>
    <n v="1"/>
    <n v="1"/>
    <n v="0"/>
    <n v="0"/>
    <n v="0"/>
    <n v="0"/>
    <b v="1"/>
    <s v="HIT, XCore, LesMiles"/>
    <d v="1899-12-30T17:58:00"/>
    <d v="1899-12-30T20:07:00"/>
    <n v="129"/>
    <b v="0"/>
    <m/>
  </r>
  <r>
    <n v="710"/>
    <s v="Kayley"/>
    <x v="0"/>
    <d v="2005-08-19T00:00:00"/>
    <s v="below 20"/>
    <n v="19"/>
    <x v="0"/>
    <n v="5"/>
    <s v="Fri, Mon, Sat, Thu, Tue"/>
    <n v="0"/>
    <n v="1"/>
    <n v="1"/>
    <n v="0"/>
    <n v="1"/>
    <n v="1"/>
    <n v="1"/>
    <b v="1"/>
    <s v="BodyBalance, Kickboxen, XCore"/>
    <d v="1899-12-30T10:54:00"/>
    <d v="1899-12-30T12:03:00"/>
    <n v="69"/>
    <b v="1"/>
    <s v="Mike"/>
  </r>
  <r>
    <n v="711"/>
    <s v="Nelli"/>
    <x v="0"/>
    <d v="1983-03-20T00:00:00"/>
    <s v="41-50"/>
    <n v="41"/>
    <x v="1"/>
    <n v="2"/>
    <s v="Sun, Tue"/>
    <n v="1"/>
    <n v="0"/>
    <n v="1"/>
    <n v="0"/>
    <n v="0"/>
    <n v="0"/>
    <n v="0"/>
    <b v="1"/>
    <s v="Zumba"/>
    <d v="1899-12-30T09:57:00"/>
    <d v="1899-12-30T11:49:00"/>
    <n v="112"/>
    <b v="0"/>
    <m/>
  </r>
  <r>
    <n v="712"/>
    <s v="Paul"/>
    <x v="1"/>
    <d v="1999-12-08T00:00:00"/>
    <s v="20-30"/>
    <n v="24"/>
    <x v="1"/>
    <n v="4"/>
    <s v="Fri, Mon, Thu, Tue"/>
    <n v="0"/>
    <n v="1"/>
    <n v="1"/>
    <n v="0"/>
    <n v="1"/>
    <n v="1"/>
    <n v="0"/>
    <b v="1"/>
    <s v="XCore, Kickboxen, BodyBalance"/>
    <d v="1899-12-30T13:12:00"/>
    <d v="1899-12-30T15:06:00"/>
    <n v="114"/>
    <b v="1"/>
    <s v="Hanna"/>
  </r>
  <r>
    <n v="713"/>
    <s v="Walt"/>
    <x v="1"/>
    <d v="1986-11-06T00:00:00"/>
    <s v="31-41"/>
    <n v="37"/>
    <x v="1"/>
    <n v="3"/>
    <s v="Fri, Mon, Wed"/>
    <n v="0"/>
    <n v="1"/>
    <n v="0"/>
    <n v="1"/>
    <n v="0"/>
    <n v="1"/>
    <n v="0"/>
    <b v="1"/>
    <s v="BodyPump"/>
    <d v="1899-12-30T10:37:00"/>
    <d v="1899-12-30T11:40:00"/>
    <n v="63"/>
    <b v="1"/>
    <s v="Chantal"/>
  </r>
  <r>
    <n v="714"/>
    <s v="Nananne"/>
    <x v="0"/>
    <d v="1981-08-19T00:00:00"/>
    <s v="41-50"/>
    <n v="43"/>
    <x v="1"/>
    <n v="1"/>
    <s v="Fri"/>
    <n v="0"/>
    <n v="0"/>
    <n v="0"/>
    <n v="0"/>
    <n v="0"/>
    <n v="1"/>
    <n v="0"/>
    <b v="1"/>
    <s v="Kickboxen, Pilates"/>
    <d v="1899-12-30T10:50:00"/>
    <d v="1899-12-30T11:54:00"/>
    <n v="64"/>
    <b v="0"/>
    <m/>
  </r>
  <r>
    <n v="715"/>
    <s v="Brant"/>
    <x v="1"/>
    <d v="1981-06-06T00:00:00"/>
    <s v="41-50"/>
    <n v="43"/>
    <x v="0"/>
    <n v="3"/>
    <s v="Mon, Thu, Tue"/>
    <n v="0"/>
    <n v="1"/>
    <n v="1"/>
    <n v="0"/>
    <n v="1"/>
    <n v="0"/>
    <n v="0"/>
    <b v="0"/>
    <m/>
    <d v="1899-12-30T12:02:00"/>
    <d v="1899-12-30T12:53:00"/>
    <n v="51"/>
    <b v="1"/>
    <s v="Mike"/>
  </r>
  <r>
    <n v="716"/>
    <s v="Emiline"/>
    <x v="0"/>
    <d v="1995-08-02T00:00:00"/>
    <s v="20-30"/>
    <n v="29"/>
    <x v="1"/>
    <n v="4"/>
    <s v="Fri, Sat, Sun, Tue"/>
    <n v="1"/>
    <n v="0"/>
    <n v="1"/>
    <n v="0"/>
    <n v="0"/>
    <n v="1"/>
    <n v="1"/>
    <b v="1"/>
    <s v="Spinning"/>
    <d v="1899-12-30T18:15:00"/>
    <d v="1899-12-30T19:38:00"/>
    <n v="83"/>
    <b v="1"/>
    <s v="Mike"/>
  </r>
  <r>
    <n v="717"/>
    <s v="Ive"/>
    <x v="1"/>
    <d v="1980-02-07T00:00:00"/>
    <s v="41-50"/>
    <n v="44"/>
    <x v="0"/>
    <n v="4"/>
    <s v="Mon, Sun, Thu, Wed"/>
    <n v="1"/>
    <n v="1"/>
    <n v="0"/>
    <n v="1"/>
    <n v="1"/>
    <n v="0"/>
    <n v="0"/>
    <b v="0"/>
    <m/>
    <d v="1899-12-30T11:10:00"/>
    <d v="1899-12-30T12:53:00"/>
    <n v="103"/>
    <b v="0"/>
    <m/>
  </r>
  <r>
    <n v="718"/>
    <s v="Jethro"/>
    <x v="1"/>
    <d v="1996-11-28T00:00:00"/>
    <s v="20-30"/>
    <n v="27"/>
    <x v="1"/>
    <n v="2"/>
    <s v="Tue, Wed"/>
    <n v="0"/>
    <n v="0"/>
    <n v="1"/>
    <n v="1"/>
    <n v="0"/>
    <n v="0"/>
    <n v="0"/>
    <b v="1"/>
    <s v="XCore, BodyPump, LesMiles"/>
    <d v="1899-12-30T20:32:00"/>
    <d v="1899-12-30T21:19:00"/>
    <n v="47"/>
    <b v="0"/>
    <m/>
  </r>
  <r>
    <n v="719"/>
    <s v="Pren"/>
    <x v="1"/>
    <d v="1990-01-20T00:00:00"/>
    <s v="31-41"/>
    <n v="34"/>
    <x v="1"/>
    <n v="5"/>
    <s v="Fri, Mon, Sat, Sun, Tue"/>
    <n v="1"/>
    <n v="1"/>
    <n v="1"/>
    <n v="0"/>
    <n v="0"/>
    <n v="1"/>
    <n v="1"/>
    <b v="0"/>
    <m/>
    <d v="1899-12-30T08:33:00"/>
    <d v="1899-12-30T11:22:00"/>
    <n v="169"/>
    <b v="0"/>
    <m/>
  </r>
  <r>
    <n v="720"/>
    <s v="Lloyd"/>
    <x v="1"/>
    <d v="2006-02-17T00:00:00"/>
    <s v="below 20"/>
    <n v="18"/>
    <x v="1"/>
    <n v="4"/>
    <s v="Fri, Sat, Sun, Thu"/>
    <n v="1"/>
    <n v="0"/>
    <n v="0"/>
    <n v="0"/>
    <n v="1"/>
    <n v="1"/>
    <n v="1"/>
    <b v="1"/>
    <s v="Yoga"/>
    <d v="1899-12-30T19:42:00"/>
    <d v="1899-12-30T21:49:00"/>
    <n v="127"/>
    <b v="0"/>
    <m/>
  </r>
  <r>
    <n v="721"/>
    <s v="Haskel"/>
    <x v="1"/>
    <d v="1994-07-29T00:00:00"/>
    <s v="20-30"/>
    <n v="30"/>
    <x v="0"/>
    <n v="2"/>
    <s v="Fri, Sun"/>
    <n v="1"/>
    <n v="0"/>
    <n v="0"/>
    <n v="0"/>
    <n v="0"/>
    <n v="1"/>
    <n v="0"/>
    <b v="0"/>
    <m/>
    <d v="1899-12-30T08:38:00"/>
    <d v="1899-12-30T09:11:00"/>
    <n v="33"/>
    <b v="1"/>
    <s v="Chantal"/>
  </r>
  <r>
    <n v="722"/>
    <s v="Paten"/>
    <x v="1"/>
    <d v="2005-06-12T00:00:00"/>
    <s v="below 20"/>
    <n v="19"/>
    <x v="1"/>
    <n v="1"/>
    <s v="Sat"/>
    <n v="0"/>
    <n v="0"/>
    <n v="0"/>
    <n v="0"/>
    <n v="0"/>
    <n v="0"/>
    <n v="1"/>
    <b v="0"/>
    <m/>
    <d v="1899-12-30T11:29:00"/>
    <d v="1899-12-30T13:38:00"/>
    <n v="129"/>
    <b v="1"/>
    <s v="Jeffrey"/>
  </r>
  <r>
    <n v="723"/>
    <s v="Otho"/>
    <x v="1"/>
    <d v="1997-09-03T00:00:00"/>
    <s v="20-30"/>
    <n v="27"/>
    <x v="0"/>
    <n v="1"/>
    <s v="Mon"/>
    <n v="0"/>
    <n v="1"/>
    <n v="0"/>
    <n v="0"/>
    <n v="0"/>
    <n v="0"/>
    <n v="0"/>
    <b v="1"/>
    <s v="BodyPump, Yoga"/>
    <d v="1899-12-30T18:22:00"/>
    <d v="1899-12-30T20:08:00"/>
    <n v="106"/>
    <b v="0"/>
    <m/>
  </r>
  <r>
    <n v="724"/>
    <s v="Riccardo"/>
    <x v="1"/>
    <d v="1977-07-15T00:00:00"/>
    <s v="41-50"/>
    <n v="47"/>
    <x v="0"/>
    <n v="2"/>
    <s v="Sat, Sun"/>
    <n v="1"/>
    <n v="0"/>
    <n v="0"/>
    <n v="0"/>
    <n v="0"/>
    <n v="0"/>
    <n v="1"/>
    <b v="1"/>
    <s v="HIT"/>
    <d v="1899-12-30T19:06:00"/>
    <d v="1899-12-30T21:35:00"/>
    <n v="149"/>
    <b v="1"/>
    <s v="Chantal"/>
  </r>
  <r>
    <n v="725"/>
    <s v="Querida"/>
    <x v="0"/>
    <d v="1982-10-12T00:00:00"/>
    <s v="41-50"/>
    <n v="41"/>
    <x v="0"/>
    <n v="2"/>
    <s v="Sat, Sun"/>
    <n v="1"/>
    <n v="0"/>
    <n v="0"/>
    <n v="0"/>
    <n v="0"/>
    <n v="0"/>
    <n v="1"/>
    <b v="0"/>
    <m/>
    <d v="1899-12-30T19:18:00"/>
    <d v="1899-12-30T20:05:00"/>
    <n v="47"/>
    <b v="1"/>
    <s v="Hanna"/>
  </r>
  <r>
    <n v="726"/>
    <s v="Sebastien"/>
    <x v="1"/>
    <d v="1990-06-17T00:00:00"/>
    <s v="31-41"/>
    <n v="34"/>
    <x v="0"/>
    <n v="3"/>
    <s v="Sat, Sun, Thu"/>
    <n v="1"/>
    <n v="0"/>
    <n v="0"/>
    <n v="0"/>
    <n v="1"/>
    <n v="0"/>
    <n v="1"/>
    <b v="0"/>
    <m/>
    <d v="1899-12-30T10:54:00"/>
    <d v="1899-12-30T12:53:00"/>
    <n v="119"/>
    <b v="0"/>
    <m/>
  </r>
  <r>
    <n v="727"/>
    <s v="Zeb"/>
    <x v="1"/>
    <d v="1985-06-06T00:00:00"/>
    <s v="31-41"/>
    <n v="39"/>
    <x v="0"/>
    <n v="4"/>
    <s v="Fri, Sun, Thu, Tue"/>
    <n v="1"/>
    <n v="0"/>
    <n v="1"/>
    <n v="0"/>
    <n v="1"/>
    <n v="1"/>
    <n v="0"/>
    <b v="1"/>
    <s v="Running, BodyPump"/>
    <d v="1899-12-30T11:51:00"/>
    <d v="1899-12-30T14:17:00"/>
    <n v="146"/>
    <b v="0"/>
    <m/>
  </r>
  <r>
    <n v="728"/>
    <s v="Raina"/>
    <x v="0"/>
    <d v="2001-03-17T00:00:00"/>
    <s v="20-30"/>
    <n v="23"/>
    <x v="0"/>
    <n v="5"/>
    <s v="Fri, Mon, Sun, Thu, Wed"/>
    <n v="1"/>
    <n v="1"/>
    <n v="0"/>
    <n v="1"/>
    <n v="1"/>
    <n v="1"/>
    <n v="0"/>
    <b v="1"/>
    <s v="Zumba, Spinning, BodyBalance"/>
    <d v="1899-12-30T20:57:00"/>
    <d v="1899-12-30T23:29:00"/>
    <n v="152"/>
    <b v="0"/>
    <m/>
  </r>
  <r>
    <n v="729"/>
    <s v="Sasha"/>
    <x v="1"/>
    <d v="1983-11-01T00:00:00"/>
    <s v="31-41"/>
    <n v="40"/>
    <x v="1"/>
    <n v="3"/>
    <s v="Fri, Sun, Tue"/>
    <n v="1"/>
    <n v="0"/>
    <n v="1"/>
    <n v="0"/>
    <n v="0"/>
    <n v="1"/>
    <n v="0"/>
    <b v="0"/>
    <m/>
    <d v="1899-12-30T19:38:00"/>
    <d v="1899-12-30T22:38:00"/>
    <n v="180"/>
    <b v="1"/>
    <s v="Chantal"/>
  </r>
  <r>
    <n v="730"/>
    <s v="Courtnay"/>
    <x v="1"/>
    <d v="1985-07-10T00:00:00"/>
    <s v="31-41"/>
    <n v="39"/>
    <x v="0"/>
    <n v="5"/>
    <s v="Fri, Sat, Sun, Tue, Wed"/>
    <n v="1"/>
    <n v="0"/>
    <n v="1"/>
    <n v="1"/>
    <n v="0"/>
    <n v="1"/>
    <n v="1"/>
    <b v="0"/>
    <m/>
    <d v="1899-12-30T15:28:00"/>
    <d v="1899-12-30T18:19:00"/>
    <n v="171"/>
    <b v="1"/>
    <s v="Chantal"/>
  </r>
  <r>
    <n v="731"/>
    <s v="Caitrin"/>
    <x v="0"/>
    <d v="2008-05-24T00:00:00"/>
    <s v="below 20"/>
    <n v="16"/>
    <x v="0"/>
    <n v="2"/>
    <s v="Sat, Sun"/>
    <n v="1"/>
    <n v="0"/>
    <n v="0"/>
    <n v="0"/>
    <n v="0"/>
    <n v="0"/>
    <n v="1"/>
    <b v="1"/>
    <s v="XCore, Spinning"/>
    <d v="1899-12-30T09:10:00"/>
    <d v="1899-12-30T11:57:00"/>
    <n v="167"/>
    <b v="1"/>
    <s v="Hanna"/>
  </r>
  <r>
    <n v="732"/>
    <s v="Melva"/>
    <x v="0"/>
    <d v="1991-06-20T00:00:00"/>
    <s v="31-41"/>
    <n v="33"/>
    <x v="0"/>
    <n v="4"/>
    <s v="Fri, Mon, Tue, Wed"/>
    <n v="0"/>
    <n v="1"/>
    <n v="1"/>
    <n v="1"/>
    <n v="0"/>
    <n v="1"/>
    <n v="0"/>
    <b v="0"/>
    <m/>
    <d v="1899-12-30T13:30:00"/>
    <d v="1899-12-30T14:58:00"/>
    <n v="88"/>
    <b v="1"/>
    <s v="Hanna"/>
  </r>
  <r>
    <n v="733"/>
    <s v="Cirilo"/>
    <x v="1"/>
    <d v="1977-01-24T00:00:00"/>
    <s v="41-50"/>
    <n v="47"/>
    <x v="1"/>
    <n v="1"/>
    <s v="Sun"/>
    <n v="1"/>
    <n v="0"/>
    <n v="0"/>
    <n v="0"/>
    <n v="0"/>
    <n v="0"/>
    <n v="0"/>
    <b v="1"/>
    <s v="BodyPump"/>
    <d v="1899-12-30T18:15:00"/>
    <d v="1899-12-30T18:54:00"/>
    <n v="39"/>
    <b v="0"/>
    <m/>
  </r>
  <r>
    <n v="734"/>
    <s v="Konrad"/>
    <x v="1"/>
    <d v="1999-12-08T00:00:00"/>
    <s v="20-30"/>
    <n v="24"/>
    <x v="0"/>
    <n v="3"/>
    <s v="Mon, Sat, Wed"/>
    <n v="0"/>
    <n v="1"/>
    <n v="0"/>
    <n v="1"/>
    <n v="0"/>
    <n v="0"/>
    <n v="1"/>
    <b v="0"/>
    <m/>
    <d v="1899-12-30T09:13:00"/>
    <d v="1899-12-30T09:54:00"/>
    <n v="41"/>
    <b v="0"/>
    <m/>
  </r>
  <r>
    <n v="735"/>
    <s v="Georgeta"/>
    <x v="0"/>
    <d v="1991-02-05T00:00:00"/>
    <s v="31-41"/>
    <n v="33"/>
    <x v="1"/>
    <n v="2"/>
    <s v="Mon, Tue"/>
    <n v="0"/>
    <n v="1"/>
    <n v="1"/>
    <n v="0"/>
    <n v="0"/>
    <n v="0"/>
    <n v="0"/>
    <b v="1"/>
    <s v="HIT, Running"/>
    <d v="1899-12-30T09:24:00"/>
    <d v="1899-12-30T11:18:00"/>
    <n v="114"/>
    <b v="1"/>
    <s v="Jeffrey"/>
  </r>
  <r>
    <n v="736"/>
    <s v="Whitaker"/>
    <x v="1"/>
    <d v="1982-12-16T00:00:00"/>
    <s v="41-50"/>
    <n v="41"/>
    <x v="0"/>
    <n v="2"/>
    <s v="Mon, Wed"/>
    <n v="0"/>
    <n v="1"/>
    <n v="0"/>
    <n v="1"/>
    <n v="0"/>
    <n v="0"/>
    <n v="0"/>
    <b v="1"/>
    <s v="Zumba, HIT, Kickboxen"/>
    <d v="1899-12-30T20:54:00"/>
    <d v="1899-12-30T22:22:00"/>
    <n v="88"/>
    <b v="1"/>
    <s v="Chantal"/>
  </r>
  <r>
    <n v="737"/>
    <s v="Feodor"/>
    <x v="1"/>
    <d v="1988-03-16T00:00:00"/>
    <s v="31-41"/>
    <n v="36"/>
    <x v="0"/>
    <n v="1"/>
    <s v="Tue"/>
    <n v="0"/>
    <n v="0"/>
    <n v="1"/>
    <n v="0"/>
    <n v="0"/>
    <n v="0"/>
    <n v="0"/>
    <b v="0"/>
    <m/>
    <d v="1899-12-30T08:43:00"/>
    <d v="1899-12-30T10:53:00"/>
    <n v="130"/>
    <b v="0"/>
    <m/>
  </r>
  <r>
    <n v="738"/>
    <s v="Dorian"/>
    <x v="0"/>
    <d v="1976-09-28T00:00:00"/>
    <s v="41-50"/>
    <n v="48"/>
    <x v="1"/>
    <n v="5"/>
    <s v="Fri, Mon, Sat, Thu, Wed"/>
    <n v="0"/>
    <n v="1"/>
    <n v="0"/>
    <n v="1"/>
    <n v="1"/>
    <n v="1"/>
    <n v="1"/>
    <b v="1"/>
    <s v="Yoga"/>
    <d v="1899-12-30T11:21:00"/>
    <d v="1899-12-30T11:59:00"/>
    <n v="38"/>
    <b v="1"/>
    <s v="Jeffrey"/>
  </r>
  <r>
    <n v="739"/>
    <s v="Carmelia"/>
    <x v="0"/>
    <d v="2003-11-09T00:00:00"/>
    <s v="20-30"/>
    <n v="20"/>
    <x v="0"/>
    <n v="3"/>
    <s v="Mon, Sun, Thu"/>
    <n v="1"/>
    <n v="1"/>
    <n v="0"/>
    <n v="0"/>
    <n v="1"/>
    <n v="0"/>
    <n v="0"/>
    <b v="0"/>
    <m/>
    <d v="1899-12-30T15:28:00"/>
    <d v="1899-12-30T16:22:00"/>
    <n v="54"/>
    <b v="0"/>
    <m/>
  </r>
  <r>
    <n v="740"/>
    <s v="Kellsie"/>
    <x v="0"/>
    <d v="2005-06-25T00:00:00"/>
    <s v="below 20"/>
    <n v="19"/>
    <x v="0"/>
    <n v="4"/>
    <s v="Sat, Sun, Thu, Tue"/>
    <n v="1"/>
    <n v="0"/>
    <n v="1"/>
    <n v="0"/>
    <n v="1"/>
    <n v="0"/>
    <n v="1"/>
    <b v="0"/>
    <m/>
    <d v="1899-12-30T11:16:00"/>
    <d v="1899-12-30T14:15:00"/>
    <n v="179"/>
    <b v="0"/>
    <m/>
  </r>
  <r>
    <n v="741"/>
    <s v="Igor"/>
    <x v="1"/>
    <d v="2009-04-06T00:00:00"/>
    <s v="below 20"/>
    <n v="15"/>
    <x v="1"/>
    <n v="2"/>
    <s v="Sun, Thu"/>
    <n v="1"/>
    <n v="0"/>
    <n v="0"/>
    <n v="0"/>
    <n v="1"/>
    <n v="0"/>
    <n v="0"/>
    <b v="1"/>
    <s v="Pilates"/>
    <d v="1899-12-30T20:07:00"/>
    <d v="1899-12-30T21:56:00"/>
    <n v="109"/>
    <b v="0"/>
    <m/>
  </r>
  <r>
    <n v="742"/>
    <s v="Ambrosio"/>
    <x v="1"/>
    <d v="1997-08-27T00:00:00"/>
    <s v="20-30"/>
    <n v="27"/>
    <x v="1"/>
    <n v="1"/>
    <s v="Sun"/>
    <n v="1"/>
    <n v="0"/>
    <n v="0"/>
    <n v="0"/>
    <n v="0"/>
    <n v="0"/>
    <n v="0"/>
    <b v="0"/>
    <m/>
    <d v="1899-12-30T18:02:00"/>
    <d v="1899-12-30T19:13:00"/>
    <n v="71"/>
    <b v="0"/>
    <m/>
  </r>
  <r>
    <n v="743"/>
    <s v="Bartie"/>
    <x v="1"/>
    <d v="1992-12-08T00:00:00"/>
    <s v="31-41"/>
    <n v="31"/>
    <x v="1"/>
    <n v="2"/>
    <s v="Sun, Wed"/>
    <n v="1"/>
    <n v="0"/>
    <n v="0"/>
    <n v="1"/>
    <n v="0"/>
    <n v="0"/>
    <n v="0"/>
    <b v="1"/>
    <s v="LesMiles"/>
    <d v="1899-12-30T20:28:00"/>
    <d v="1899-12-30T21:04:00"/>
    <n v="36"/>
    <b v="1"/>
    <s v="Mike"/>
  </r>
  <r>
    <n v="744"/>
    <s v="Prince"/>
    <x v="1"/>
    <d v="2004-10-02T00:00:00"/>
    <s v="20-30"/>
    <n v="20"/>
    <x v="0"/>
    <n v="3"/>
    <s v="Fri, Tue, Wed"/>
    <n v="0"/>
    <n v="0"/>
    <n v="1"/>
    <n v="1"/>
    <n v="0"/>
    <n v="1"/>
    <n v="0"/>
    <b v="1"/>
    <s v="Yoga, Pilates"/>
    <d v="1899-12-30T10:42:00"/>
    <d v="1899-12-30T13:30:00"/>
    <n v="168"/>
    <b v="1"/>
    <s v="Mike"/>
  </r>
  <r>
    <n v="745"/>
    <s v="Lonna"/>
    <x v="0"/>
    <d v="2011-05-01T00:00:00"/>
    <s v="below 20"/>
    <n v="13"/>
    <x v="1"/>
    <n v="3"/>
    <s v="Mon, Sun, Tue"/>
    <n v="1"/>
    <n v="1"/>
    <n v="1"/>
    <n v="0"/>
    <n v="0"/>
    <n v="0"/>
    <n v="0"/>
    <b v="1"/>
    <s v="BodyBalance"/>
    <d v="1899-12-30T13:37:00"/>
    <d v="1899-12-30T14:38:00"/>
    <n v="61"/>
    <b v="0"/>
    <m/>
  </r>
  <r>
    <n v="746"/>
    <s v="Dallon"/>
    <x v="1"/>
    <d v="2007-08-01T00:00:00"/>
    <s v="below 20"/>
    <n v="17"/>
    <x v="0"/>
    <n v="2"/>
    <s v="Sun, Wed"/>
    <n v="1"/>
    <n v="0"/>
    <n v="0"/>
    <n v="1"/>
    <n v="0"/>
    <n v="0"/>
    <n v="0"/>
    <b v="1"/>
    <s v="Pilates"/>
    <d v="1899-12-30T10:09:00"/>
    <d v="1899-12-30T11:35:00"/>
    <n v="86"/>
    <b v="0"/>
    <m/>
  </r>
  <r>
    <n v="747"/>
    <s v="Loydie"/>
    <x v="1"/>
    <d v="1980-10-25T00:00:00"/>
    <s v="41-50"/>
    <n v="43"/>
    <x v="1"/>
    <n v="2"/>
    <s v="Fri, Tue"/>
    <n v="0"/>
    <n v="0"/>
    <n v="1"/>
    <n v="0"/>
    <n v="0"/>
    <n v="1"/>
    <n v="0"/>
    <b v="0"/>
    <m/>
    <d v="1899-12-30T13:10:00"/>
    <d v="1899-12-30T13:42:00"/>
    <n v="32"/>
    <b v="1"/>
    <s v="Mike"/>
  </r>
  <r>
    <n v="748"/>
    <s v="Harland"/>
    <x v="1"/>
    <d v="1981-09-01T00:00:00"/>
    <s v="41-50"/>
    <n v="43"/>
    <x v="0"/>
    <n v="1"/>
    <s v="Mon"/>
    <n v="0"/>
    <n v="1"/>
    <n v="0"/>
    <n v="0"/>
    <n v="0"/>
    <n v="0"/>
    <n v="0"/>
    <b v="0"/>
    <m/>
    <d v="1899-12-30T19:43:00"/>
    <d v="1899-12-30T21:36:00"/>
    <n v="113"/>
    <b v="1"/>
    <s v="Mike"/>
  </r>
  <r>
    <n v="749"/>
    <s v="Yolande"/>
    <x v="0"/>
    <d v="2012-07-21T00:00:00"/>
    <s v="below 20"/>
    <n v="12"/>
    <x v="0"/>
    <n v="2"/>
    <s v="Mon, Sat"/>
    <n v="0"/>
    <n v="1"/>
    <n v="0"/>
    <n v="0"/>
    <n v="0"/>
    <n v="0"/>
    <n v="1"/>
    <b v="1"/>
    <s v="HIT, BodyPump"/>
    <d v="1899-12-30T10:42:00"/>
    <d v="1899-12-30T12:58:00"/>
    <n v="136"/>
    <b v="0"/>
    <m/>
  </r>
  <r>
    <n v="750"/>
    <s v="Agnese"/>
    <x v="0"/>
    <d v="1975-04-26T00:00:00"/>
    <s v="41-50"/>
    <n v="49"/>
    <x v="1"/>
    <n v="5"/>
    <s v="Sat, Sun, Thu, Tue, Wed"/>
    <n v="1"/>
    <n v="0"/>
    <n v="1"/>
    <n v="1"/>
    <n v="1"/>
    <n v="0"/>
    <n v="1"/>
    <b v="1"/>
    <s v="BodyBalance, Yoga"/>
    <d v="1899-12-30T10:28:00"/>
    <d v="1899-12-30T13:20:00"/>
    <n v="172"/>
    <b v="0"/>
    <m/>
  </r>
  <r>
    <n v="751"/>
    <s v="Nana"/>
    <x v="0"/>
    <d v="1991-07-02T00:00:00"/>
    <s v="31-41"/>
    <n v="33"/>
    <x v="1"/>
    <n v="3"/>
    <s v="Mon, Sat, Sun"/>
    <n v="1"/>
    <n v="1"/>
    <n v="0"/>
    <n v="0"/>
    <n v="0"/>
    <n v="0"/>
    <n v="1"/>
    <b v="1"/>
    <s v="Spinning, BodyPump, Zumba"/>
    <d v="1899-12-30T13:11:00"/>
    <d v="1899-12-30T13:43:00"/>
    <n v="32"/>
    <b v="0"/>
    <m/>
  </r>
  <r>
    <n v="752"/>
    <s v="Daile"/>
    <x v="0"/>
    <d v="1994-08-05T00:00:00"/>
    <s v="20-30"/>
    <n v="30"/>
    <x v="1"/>
    <n v="3"/>
    <s v="Sat, Sun, Thu"/>
    <n v="1"/>
    <n v="0"/>
    <n v="0"/>
    <n v="0"/>
    <n v="1"/>
    <n v="0"/>
    <n v="1"/>
    <b v="0"/>
    <m/>
    <d v="1899-12-30T08:05:00"/>
    <d v="1899-12-30T10:32:00"/>
    <n v="147"/>
    <b v="1"/>
    <s v="Jeffrey"/>
  </r>
  <r>
    <n v="753"/>
    <s v="Jacquette"/>
    <x v="0"/>
    <d v="1995-10-30T00:00:00"/>
    <s v="20-30"/>
    <n v="28"/>
    <x v="0"/>
    <n v="3"/>
    <s v="Fri, Sat, Tue"/>
    <n v="0"/>
    <n v="0"/>
    <n v="1"/>
    <n v="0"/>
    <n v="0"/>
    <n v="1"/>
    <n v="1"/>
    <b v="0"/>
    <m/>
    <d v="1899-12-30T10:11:00"/>
    <d v="1899-12-30T12:42:00"/>
    <n v="151"/>
    <b v="0"/>
    <m/>
  </r>
  <r>
    <n v="754"/>
    <s v="Vida"/>
    <x v="0"/>
    <d v="1990-12-09T00:00:00"/>
    <s v="31-41"/>
    <n v="33"/>
    <x v="1"/>
    <n v="3"/>
    <s v="Fri, Thu, Tue"/>
    <n v="0"/>
    <n v="0"/>
    <n v="1"/>
    <n v="0"/>
    <n v="1"/>
    <n v="1"/>
    <n v="0"/>
    <b v="0"/>
    <m/>
    <d v="1899-12-30T15:13:00"/>
    <d v="1899-12-30T15:58:00"/>
    <n v="45"/>
    <b v="1"/>
    <s v="Chantal"/>
  </r>
  <r>
    <n v="755"/>
    <s v="Mommy"/>
    <x v="0"/>
    <d v="2008-05-08T00:00:00"/>
    <s v="below 20"/>
    <n v="16"/>
    <x v="1"/>
    <n v="3"/>
    <s v="Mon, Thu, Wed"/>
    <n v="0"/>
    <n v="1"/>
    <n v="0"/>
    <n v="1"/>
    <n v="1"/>
    <n v="0"/>
    <n v="0"/>
    <b v="0"/>
    <m/>
    <d v="1899-12-30T18:39:00"/>
    <d v="1899-12-30T20:33:00"/>
    <n v="114"/>
    <b v="0"/>
    <m/>
  </r>
  <r>
    <n v="756"/>
    <s v="Orv"/>
    <x v="1"/>
    <d v="1983-05-09T00:00:00"/>
    <s v="41-50"/>
    <n v="41"/>
    <x v="0"/>
    <n v="1"/>
    <s v="Tue"/>
    <n v="0"/>
    <n v="0"/>
    <n v="1"/>
    <n v="0"/>
    <n v="0"/>
    <n v="0"/>
    <n v="0"/>
    <b v="1"/>
    <s v="BodyBalance, Pilates"/>
    <d v="1899-12-30T19:23:00"/>
    <d v="1899-12-30T21:42:00"/>
    <n v="139"/>
    <b v="0"/>
    <m/>
  </r>
  <r>
    <n v="757"/>
    <s v="Nikolaus"/>
    <x v="1"/>
    <d v="2003-12-30T00:00:00"/>
    <s v="20-30"/>
    <n v="20"/>
    <x v="0"/>
    <n v="1"/>
    <s v="Wed"/>
    <n v="0"/>
    <n v="0"/>
    <n v="0"/>
    <n v="1"/>
    <n v="0"/>
    <n v="0"/>
    <n v="0"/>
    <b v="0"/>
    <m/>
    <d v="1899-12-30T11:23:00"/>
    <d v="1899-12-30T12:22:00"/>
    <n v="59"/>
    <b v="0"/>
    <m/>
  </r>
  <r>
    <n v="758"/>
    <s v="Gabbi"/>
    <x v="0"/>
    <d v="1997-11-05T00:00:00"/>
    <s v="20-30"/>
    <n v="26"/>
    <x v="1"/>
    <n v="5"/>
    <s v="Fri, Mon, Sat, Thu, Wed"/>
    <n v="0"/>
    <n v="1"/>
    <n v="0"/>
    <n v="1"/>
    <n v="1"/>
    <n v="1"/>
    <n v="1"/>
    <b v="0"/>
    <m/>
    <d v="1899-12-30T15:16:00"/>
    <d v="1899-12-30T18:06:00"/>
    <n v="170"/>
    <b v="1"/>
    <s v="Jeffrey"/>
  </r>
  <r>
    <n v="759"/>
    <s v="Ricki"/>
    <x v="1"/>
    <d v="2005-08-10T00:00:00"/>
    <s v="below 20"/>
    <n v="19"/>
    <x v="1"/>
    <n v="3"/>
    <s v="Mon, Sun, Tue"/>
    <n v="1"/>
    <n v="1"/>
    <n v="1"/>
    <n v="0"/>
    <n v="0"/>
    <n v="0"/>
    <n v="0"/>
    <b v="1"/>
    <s v="Kickboxen, XCore, Pilates"/>
    <d v="1899-12-30T13:19:00"/>
    <d v="1899-12-30T14:40:00"/>
    <n v="81"/>
    <b v="0"/>
    <m/>
  </r>
  <r>
    <n v="760"/>
    <s v="Simmonds"/>
    <x v="1"/>
    <d v="1981-05-15T00:00:00"/>
    <s v="41-50"/>
    <n v="43"/>
    <x v="0"/>
    <n v="5"/>
    <s v="Fri, Sat, Sun, Tue, Wed"/>
    <n v="1"/>
    <n v="0"/>
    <n v="1"/>
    <n v="1"/>
    <n v="0"/>
    <n v="1"/>
    <n v="1"/>
    <b v="1"/>
    <s v="XCore, BodyBalance"/>
    <d v="1899-12-30T09:29:00"/>
    <d v="1899-12-30T11:01:00"/>
    <n v="92"/>
    <b v="1"/>
    <s v="Chantal"/>
  </r>
  <r>
    <n v="761"/>
    <s v="Leonerd"/>
    <x v="1"/>
    <d v="1983-08-20T00:00:00"/>
    <s v="41-50"/>
    <n v="41"/>
    <x v="1"/>
    <n v="1"/>
    <s v="Mon"/>
    <n v="0"/>
    <n v="1"/>
    <n v="0"/>
    <n v="0"/>
    <n v="0"/>
    <n v="0"/>
    <n v="0"/>
    <b v="1"/>
    <s v="Yoga, Pilates"/>
    <d v="1899-12-30T13:41:00"/>
    <d v="1899-12-30T14:42:00"/>
    <n v="61"/>
    <b v="1"/>
    <s v="Mike"/>
  </r>
  <r>
    <n v="762"/>
    <s v="Ardis"/>
    <x v="0"/>
    <d v="2001-12-23T00:00:00"/>
    <s v="20-30"/>
    <n v="22"/>
    <x v="1"/>
    <n v="2"/>
    <s v="Sat, Thu"/>
    <n v="0"/>
    <n v="0"/>
    <n v="0"/>
    <n v="0"/>
    <n v="1"/>
    <n v="0"/>
    <n v="1"/>
    <b v="1"/>
    <s v="LesMiles, BodyPump"/>
    <d v="1899-12-30T12:13:00"/>
    <d v="1899-12-30T13:54:00"/>
    <n v="101"/>
    <b v="0"/>
    <m/>
  </r>
  <r>
    <n v="763"/>
    <s v="Gabbie"/>
    <x v="0"/>
    <d v="1978-11-22T00:00:00"/>
    <s v="41-50"/>
    <n v="45"/>
    <x v="0"/>
    <n v="3"/>
    <s v="Mon, Sat, Thu"/>
    <n v="0"/>
    <n v="1"/>
    <n v="0"/>
    <n v="0"/>
    <n v="1"/>
    <n v="0"/>
    <n v="1"/>
    <b v="1"/>
    <s v="LesMiles, Pilates, Spinning"/>
    <d v="1899-12-30T15:39:00"/>
    <d v="1899-12-30T16:28:00"/>
    <n v="49"/>
    <b v="1"/>
    <s v="Mike"/>
  </r>
  <r>
    <n v="764"/>
    <s v="Lars"/>
    <x v="1"/>
    <d v="2009-10-22T00:00:00"/>
    <s v="below 20"/>
    <n v="14"/>
    <x v="0"/>
    <n v="5"/>
    <s v="Fri, Mon, Sun, Thu, Wed"/>
    <n v="1"/>
    <n v="1"/>
    <n v="0"/>
    <n v="1"/>
    <n v="1"/>
    <n v="1"/>
    <n v="0"/>
    <b v="1"/>
    <s v="XCore, Kickboxen, Yoga"/>
    <d v="1899-12-30T08:10:00"/>
    <d v="1899-12-30T09:35:00"/>
    <n v="85"/>
    <b v="0"/>
    <m/>
  </r>
  <r>
    <n v="765"/>
    <s v="Godfree"/>
    <x v="1"/>
    <d v="1997-11-09T00:00:00"/>
    <s v="20-30"/>
    <n v="26"/>
    <x v="1"/>
    <n v="1"/>
    <s v="Wed"/>
    <n v="0"/>
    <n v="0"/>
    <n v="0"/>
    <n v="1"/>
    <n v="0"/>
    <n v="0"/>
    <n v="0"/>
    <b v="0"/>
    <m/>
    <d v="1899-12-30T14:21:00"/>
    <d v="1899-12-30T15:06:00"/>
    <n v="45"/>
    <b v="0"/>
    <m/>
  </r>
  <r>
    <n v="766"/>
    <s v="Kally"/>
    <x v="0"/>
    <d v="1978-03-17T00:00:00"/>
    <s v="41-50"/>
    <n v="46"/>
    <x v="0"/>
    <n v="1"/>
    <s v="Mon"/>
    <n v="0"/>
    <n v="1"/>
    <n v="0"/>
    <n v="0"/>
    <n v="0"/>
    <n v="0"/>
    <n v="0"/>
    <b v="1"/>
    <s v="Kickboxen, Zumba, XCore"/>
    <d v="1899-12-30T14:44:00"/>
    <d v="1899-12-30T17:00:00"/>
    <n v="136"/>
    <b v="1"/>
    <s v="Chantal"/>
  </r>
  <r>
    <n v="767"/>
    <s v="Lin"/>
    <x v="1"/>
    <d v="1989-07-13T00:00:00"/>
    <s v="31-41"/>
    <n v="35"/>
    <x v="0"/>
    <n v="5"/>
    <s v="Mon, Sat, Sun, Tue, Wed"/>
    <n v="1"/>
    <n v="1"/>
    <n v="1"/>
    <n v="1"/>
    <n v="0"/>
    <n v="0"/>
    <n v="1"/>
    <b v="0"/>
    <m/>
    <d v="1899-12-30T13:07:00"/>
    <d v="1899-12-30T15:27:00"/>
    <n v="140"/>
    <b v="1"/>
    <s v="Chantal"/>
  </r>
  <r>
    <n v="768"/>
    <s v="Benjy"/>
    <x v="1"/>
    <d v="2005-12-03T00:00:00"/>
    <s v="below 20"/>
    <n v="18"/>
    <x v="1"/>
    <n v="2"/>
    <s v="Mon, Tue"/>
    <n v="0"/>
    <n v="1"/>
    <n v="1"/>
    <n v="0"/>
    <n v="0"/>
    <n v="0"/>
    <n v="0"/>
    <b v="0"/>
    <m/>
    <d v="1899-12-30T14:16:00"/>
    <d v="1899-12-30T14:55:00"/>
    <n v="39"/>
    <b v="1"/>
    <s v="Jeffrey"/>
  </r>
  <r>
    <n v="769"/>
    <s v="Glynda"/>
    <x v="0"/>
    <d v="1995-07-31T00:00:00"/>
    <s v="20-30"/>
    <n v="29"/>
    <x v="1"/>
    <n v="4"/>
    <s v="Mon, Sat, Thu, Tue"/>
    <n v="0"/>
    <n v="1"/>
    <n v="1"/>
    <n v="0"/>
    <n v="1"/>
    <n v="0"/>
    <n v="1"/>
    <b v="1"/>
    <s v="HIT"/>
    <d v="1899-12-30T13:25:00"/>
    <d v="1899-12-30T15:14:00"/>
    <n v="109"/>
    <b v="0"/>
    <m/>
  </r>
  <r>
    <n v="770"/>
    <s v="Marcelo"/>
    <x v="1"/>
    <d v="1997-09-01T00:00:00"/>
    <s v="20-30"/>
    <n v="27"/>
    <x v="0"/>
    <n v="2"/>
    <s v="Mon, Sat"/>
    <n v="0"/>
    <n v="1"/>
    <n v="0"/>
    <n v="0"/>
    <n v="0"/>
    <n v="0"/>
    <n v="1"/>
    <b v="0"/>
    <m/>
    <d v="1899-12-30T17:22:00"/>
    <d v="1899-12-30T18:22:00"/>
    <n v="60"/>
    <b v="1"/>
    <s v="Chantal"/>
  </r>
  <r>
    <n v="771"/>
    <s v="Dominique"/>
    <x v="0"/>
    <d v="1988-06-27T00:00:00"/>
    <s v="31-41"/>
    <n v="36"/>
    <x v="0"/>
    <n v="1"/>
    <s v="Sun"/>
    <n v="1"/>
    <n v="0"/>
    <n v="0"/>
    <n v="0"/>
    <n v="0"/>
    <n v="0"/>
    <n v="0"/>
    <b v="0"/>
    <m/>
    <d v="1899-12-30T20:00:00"/>
    <d v="1899-12-30T21:31:00"/>
    <n v="91"/>
    <b v="1"/>
    <s v="Mike"/>
  </r>
  <r>
    <n v="772"/>
    <s v="Robbi"/>
    <x v="0"/>
    <d v="1995-01-30T00:00:00"/>
    <s v="20-30"/>
    <n v="29"/>
    <x v="1"/>
    <n v="2"/>
    <s v="Thu, Wed"/>
    <n v="0"/>
    <n v="0"/>
    <n v="0"/>
    <n v="1"/>
    <n v="1"/>
    <n v="0"/>
    <n v="0"/>
    <b v="0"/>
    <m/>
    <d v="1899-12-30T20:52:00"/>
    <d v="1899-12-30T22:32:00"/>
    <n v="100"/>
    <b v="1"/>
    <s v="Chantal"/>
  </r>
  <r>
    <n v="773"/>
    <s v="Willis"/>
    <x v="1"/>
    <d v="1988-06-26T00:00:00"/>
    <s v="31-41"/>
    <n v="36"/>
    <x v="1"/>
    <n v="3"/>
    <s v="Fri, Mon, Thu"/>
    <n v="0"/>
    <n v="1"/>
    <n v="0"/>
    <n v="0"/>
    <n v="1"/>
    <n v="1"/>
    <n v="0"/>
    <b v="1"/>
    <s v="Spinning, XCore"/>
    <d v="1899-12-30T18:25:00"/>
    <d v="1899-12-30T20:27:00"/>
    <n v="122"/>
    <b v="1"/>
    <s v="Chantal"/>
  </r>
  <r>
    <n v="774"/>
    <s v="Dario"/>
    <x v="1"/>
    <d v="1988-04-18T00:00:00"/>
    <s v="31-41"/>
    <n v="36"/>
    <x v="0"/>
    <n v="4"/>
    <s v="Fri, Sat, Tue, Wed"/>
    <n v="0"/>
    <n v="0"/>
    <n v="1"/>
    <n v="1"/>
    <n v="0"/>
    <n v="1"/>
    <n v="1"/>
    <b v="0"/>
    <m/>
    <d v="1899-12-30T12:32:00"/>
    <d v="1899-12-30T13:03:00"/>
    <n v="31"/>
    <b v="0"/>
    <m/>
  </r>
  <r>
    <n v="775"/>
    <s v="Odella"/>
    <x v="0"/>
    <d v="2012-03-09T00:00:00"/>
    <s v="below 20"/>
    <n v="12"/>
    <x v="0"/>
    <n v="5"/>
    <s v="Fri, Sat, Sun, Thu, Wed"/>
    <n v="1"/>
    <n v="0"/>
    <n v="0"/>
    <n v="1"/>
    <n v="1"/>
    <n v="1"/>
    <n v="1"/>
    <b v="1"/>
    <s v="LesMiles"/>
    <d v="1899-12-30T09:35:00"/>
    <d v="1899-12-30T10:48:00"/>
    <n v="73"/>
    <b v="0"/>
    <m/>
  </r>
  <r>
    <n v="776"/>
    <s v="Shannan"/>
    <x v="1"/>
    <d v="1990-07-20T00:00:00"/>
    <s v="31-41"/>
    <n v="34"/>
    <x v="0"/>
    <n v="2"/>
    <s v="Sat, Wed"/>
    <n v="0"/>
    <n v="0"/>
    <n v="0"/>
    <n v="1"/>
    <n v="0"/>
    <n v="0"/>
    <n v="1"/>
    <b v="0"/>
    <m/>
    <d v="1899-12-30T18:44:00"/>
    <d v="1899-12-30T19:32:00"/>
    <n v="48"/>
    <b v="0"/>
    <m/>
  </r>
  <r>
    <n v="777"/>
    <s v="Harriette"/>
    <x v="0"/>
    <d v="1980-04-18T00:00:00"/>
    <s v="41-50"/>
    <n v="44"/>
    <x v="0"/>
    <n v="2"/>
    <s v="Fri, Mon"/>
    <n v="0"/>
    <n v="1"/>
    <n v="0"/>
    <n v="0"/>
    <n v="0"/>
    <n v="1"/>
    <n v="0"/>
    <b v="0"/>
    <m/>
    <d v="1899-12-30T14:58:00"/>
    <d v="1899-12-30T16:14:00"/>
    <n v="76"/>
    <b v="1"/>
    <s v="Hanna"/>
  </r>
  <r>
    <n v="778"/>
    <s v="Zacharias"/>
    <x v="1"/>
    <d v="1978-05-27T00:00:00"/>
    <s v="41-50"/>
    <n v="46"/>
    <x v="0"/>
    <n v="3"/>
    <s v="Fri, Thu, Tue"/>
    <n v="0"/>
    <n v="0"/>
    <n v="1"/>
    <n v="0"/>
    <n v="1"/>
    <n v="1"/>
    <n v="0"/>
    <b v="1"/>
    <s v="Pilates, Kickboxen, Zumba"/>
    <d v="1899-12-30T20:17:00"/>
    <d v="1899-12-30T21:15:00"/>
    <n v="58"/>
    <b v="0"/>
    <m/>
  </r>
  <r>
    <n v="779"/>
    <s v="Lorenza"/>
    <x v="0"/>
    <d v="1987-09-14T00:00:00"/>
    <s v="31-41"/>
    <n v="37"/>
    <x v="1"/>
    <n v="1"/>
    <s v="Sat"/>
    <n v="0"/>
    <n v="0"/>
    <n v="0"/>
    <n v="0"/>
    <n v="0"/>
    <n v="0"/>
    <n v="1"/>
    <b v="1"/>
    <s v="HIT, Running"/>
    <d v="1899-12-30T08:37:00"/>
    <d v="1899-12-30T10:26:00"/>
    <n v="109"/>
    <b v="1"/>
    <s v="Mike"/>
  </r>
  <r>
    <n v="780"/>
    <s v="Dulsea"/>
    <x v="0"/>
    <d v="2000-01-21T00:00:00"/>
    <s v="20-30"/>
    <n v="24"/>
    <x v="0"/>
    <n v="3"/>
    <s v="Mon, Thu, Tue"/>
    <n v="0"/>
    <n v="1"/>
    <n v="1"/>
    <n v="0"/>
    <n v="1"/>
    <n v="0"/>
    <n v="0"/>
    <b v="0"/>
    <m/>
    <d v="1899-12-30T13:20:00"/>
    <d v="1899-12-30T15:46:00"/>
    <n v="146"/>
    <b v="0"/>
    <m/>
  </r>
  <r>
    <n v="781"/>
    <s v="Martyn"/>
    <x v="1"/>
    <d v="1978-02-28T00:00:00"/>
    <s v="41-50"/>
    <n v="46"/>
    <x v="0"/>
    <n v="4"/>
    <s v="Fri, Thu, Tue, Wed"/>
    <n v="0"/>
    <n v="0"/>
    <n v="1"/>
    <n v="1"/>
    <n v="1"/>
    <n v="1"/>
    <n v="0"/>
    <b v="1"/>
    <s v="Pilates, BodyPump"/>
    <d v="1899-12-30T16:32:00"/>
    <d v="1899-12-30T18:27:00"/>
    <n v="115"/>
    <b v="1"/>
    <s v="Hanna"/>
  </r>
  <r>
    <n v="782"/>
    <s v="Elvera"/>
    <x v="0"/>
    <d v="2004-01-12T00:00:00"/>
    <s v="20-30"/>
    <n v="20"/>
    <x v="0"/>
    <n v="2"/>
    <s v="Fri, Wed"/>
    <n v="0"/>
    <n v="0"/>
    <n v="0"/>
    <n v="1"/>
    <n v="0"/>
    <n v="1"/>
    <n v="0"/>
    <b v="0"/>
    <m/>
    <d v="1899-12-30T14:03:00"/>
    <d v="1899-12-30T16:21:00"/>
    <n v="138"/>
    <b v="1"/>
    <s v="Hanna"/>
  </r>
  <r>
    <n v="783"/>
    <s v="Dion"/>
    <x v="1"/>
    <d v="1991-12-16T00:00:00"/>
    <s v="31-41"/>
    <n v="32"/>
    <x v="1"/>
    <n v="3"/>
    <s v="Sat, Sun, Tue"/>
    <n v="1"/>
    <n v="0"/>
    <n v="1"/>
    <n v="0"/>
    <n v="0"/>
    <n v="0"/>
    <n v="1"/>
    <b v="1"/>
    <s v="XCore"/>
    <d v="1899-12-30T12:16:00"/>
    <d v="1899-12-30T13:37:00"/>
    <n v="81"/>
    <b v="1"/>
    <s v="Mike"/>
  </r>
  <r>
    <n v="784"/>
    <s v="Anallise"/>
    <x v="0"/>
    <d v="1997-11-22T00:00:00"/>
    <s v="20-30"/>
    <n v="26"/>
    <x v="1"/>
    <n v="3"/>
    <s v="Sat, Tue, Wed"/>
    <n v="0"/>
    <n v="0"/>
    <n v="1"/>
    <n v="1"/>
    <n v="0"/>
    <n v="0"/>
    <n v="1"/>
    <b v="0"/>
    <m/>
    <d v="1899-12-30T09:38:00"/>
    <d v="1899-12-30T12:18:00"/>
    <n v="160"/>
    <b v="1"/>
    <s v="Hanna"/>
  </r>
  <r>
    <n v="785"/>
    <s v="Evey"/>
    <x v="0"/>
    <d v="1985-10-16T00:00:00"/>
    <s v="31-41"/>
    <n v="38"/>
    <x v="1"/>
    <n v="1"/>
    <s v="Sat"/>
    <n v="0"/>
    <n v="0"/>
    <n v="0"/>
    <n v="0"/>
    <n v="0"/>
    <n v="0"/>
    <n v="1"/>
    <b v="1"/>
    <s v="BodyPump"/>
    <d v="1899-12-30T18:29:00"/>
    <d v="1899-12-30T19:00:00"/>
    <n v="31"/>
    <b v="0"/>
    <m/>
  </r>
  <r>
    <n v="786"/>
    <s v="Margareta"/>
    <x v="0"/>
    <d v="1979-09-19T00:00:00"/>
    <s v="41-50"/>
    <n v="45"/>
    <x v="0"/>
    <n v="4"/>
    <s v="Fri, Mon, Sun, Wed"/>
    <n v="1"/>
    <n v="1"/>
    <n v="0"/>
    <n v="1"/>
    <n v="0"/>
    <n v="1"/>
    <n v="0"/>
    <b v="0"/>
    <m/>
    <d v="1899-12-30T19:32:00"/>
    <d v="1899-12-30T21:32:00"/>
    <n v="120"/>
    <b v="0"/>
    <m/>
  </r>
  <r>
    <n v="787"/>
    <s v="Codi"/>
    <x v="0"/>
    <d v="2003-11-17T00:00:00"/>
    <s v="20-30"/>
    <n v="20"/>
    <x v="1"/>
    <n v="1"/>
    <s v="Wed"/>
    <n v="0"/>
    <n v="0"/>
    <n v="0"/>
    <n v="1"/>
    <n v="0"/>
    <n v="0"/>
    <n v="0"/>
    <b v="0"/>
    <m/>
    <d v="1899-12-30T11:35:00"/>
    <d v="1899-12-30T13:53:00"/>
    <n v="138"/>
    <b v="0"/>
    <m/>
  </r>
  <r>
    <n v="788"/>
    <s v="Kane"/>
    <x v="1"/>
    <d v="1976-04-13T00:00:00"/>
    <s v="41-50"/>
    <n v="48"/>
    <x v="1"/>
    <n v="3"/>
    <s v="Fri, Sun, Wed"/>
    <n v="1"/>
    <n v="0"/>
    <n v="0"/>
    <n v="1"/>
    <n v="0"/>
    <n v="1"/>
    <n v="0"/>
    <b v="0"/>
    <m/>
    <d v="1899-12-30T19:44:00"/>
    <d v="1899-12-30T22:18:00"/>
    <n v="154"/>
    <b v="0"/>
    <m/>
  </r>
  <r>
    <n v="789"/>
    <s v="Starlin"/>
    <x v="0"/>
    <d v="1982-11-16T00:00:00"/>
    <s v="41-50"/>
    <n v="41"/>
    <x v="0"/>
    <n v="4"/>
    <s v="Mon, Sat, Sun, Wed"/>
    <n v="1"/>
    <n v="1"/>
    <n v="0"/>
    <n v="1"/>
    <n v="0"/>
    <n v="0"/>
    <n v="1"/>
    <b v="0"/>
    <m/>
    <d v="1899-12-30T17:08:00"/>
    <d v="1899-12-30T17:39:00"/>
    <n v="31"/>
    <b v="1"/>
    <s v="Jeffrey"/>
  </r>
  <r>
    <n v="790"/>
    <s v="Derron"/>
    <x v="1"/>
    <d v="1999-12-27T00:00:00"/>
    <s v="20-30"/>
    <n v="24"/>
    <x v="1"/>
    <n v="2"/>
    <s v="Fri, Thu"/>
    <n v="0"/>
    <n v="0"/>
    <n v="0"/>
    <n v="0"/>
    <n v="1"/>
    <n v="1"/>
    <n v="0"/>
    <b v="0"/>
    <m/>
    <d v="1899-12-30T13:22:00"/>
    <d v="1899-12-30T14:21:00"/>
    <n v="59"/>
    <b v="1"/>
    <s v="Jeffrey"/>
  </r>
  <r>
    <n v="791"/>
    <s v="Fred"/>
    <x v="0"/>
    <d v="1977-06-26T00:00:00"/>
    <s v="41-50"/>
    <n v="47"/>
    <x v="1"/>
    <n v="3"/>
    <s v="Sun, Thu, Wed"/>
    <n v="1"/>
    <n v="0"/>
    <n v="0"/>
    <n v="1"/>
    <n v="1"/>
    <n v="0"/>
    <n v="0"/>
    <b v="0"/>
    <m/>
    <d v="1899-12-30T16:49:00"/>
    <d v="1899-12-30T18:12:00"/>
    <n v="83"/>
    <b v="0"/>
    <m/>
  </r>
  <r>
    <n v="792"/>
    <s v="Celestina"/>
    <x v="0"/>
    <d v="1982-05-14T00:00:00"/>
    <s v="41-50"/>
    <n v="42"/>
    <x v="0"/>
    <n v="3"/>
    <s v="Sat, Sun, Wed"/>
    <n v="1"/>
    <n v="0"/>
    <n v="0"/>
    <n v="1"/>
    <n v="0"/>
    <n v="0"/>
    <n v="1"/>
    <b v="1"/>
    <s v="HIT, Spinning, XCore"/>
    <d v="1899-12-30T11:44:00"/>
    <d v="1899-12-30T13:18:00"/>
    <n v="94"/>
    <b v="1"/>
    <s v="Chantal"/>
  </r>
  <r>
    <n v="793"/>
    <s v="Berk"/>
    <x v="1"/>
    <d v="1990-10-16T00:00:00"/>
    <s v="31-41"/>
    <n v="33"/>
    <x v="1"/>
    <n v="1"/>
    <s v="Tue"/>
    <n v="0"/>
    <n v="0"/>
    <n v="1"/>
    <n v="0"/>
    <n v="0"/>
    <n v="0"/>
    <n v="0"/>
    <b v="1"/>
    <s v="Running"/>
    <d v="1899-12-30T16:06:00"/>
    <d v="1899-12-30T18:49:00"/>
    <n v="163"/>
    <b v="0"/>
    <m/>
  </r>
  <r>
    <n v="794"/>
    <s v="Vallie"/>
    <x v="0"/>
    <d v="2000-04-19T00:00:00"/>
    <s v="20-30"/>
    <n v="24"/>
    <x v="1"/>
    <n v="4"/>
    <s v="Fri, Mon, Sun, Tue"/>
    <n v="1"/>
    <n v="1"/>
    <n v="1"/>
    <n v="0"/>
    <n v="0"/>
    <n v="1"/>
    <n v="0"/>
    <b v="0"/>
    <m/>
    <d v="1899-12-30T17:17:00"/>
    <d v="1899-12-30T18:20:00"/>
    <n v="63"/>
    <b v="0"/>
    <m/>
  </r>
  <r>
    <n v="795"/>
    <s v="Jeremie"/>
    <x v="1"/>
    <d v="1995-02-18T00:00:00"/>
    <s v="20-30"/>
    <n v="29"/>
    <x v="1"/>
    <n v="1"/>
    <s v="Thu"/>
    <n v="0"/>
    <n v="0"/>
    <n v="0"/>
    <n v="0"/>
    <n v="1"/>
    <n v="0"/>
    <n v="0"/>
    <b v="1"/>
    <s v="LesMiles"/>
    <d v="1899-12-30T12:59:00"/>
    <d v="1899-12-30T14:55:00"/>
    <n v="116"/>
    <b v="1"/>
    <s v="Mike"/>
  </r>
  <r>
    <n v="796"/>
    <s v="Marylinda"/>
    <x v="0"/>
    <d v="1994-10-06T00:00:00"/>
    <s v="20-30"/>
    <n v="29"/>
    <x v="1"/>
    <n v="4"/>
    <s v="Sun, Thu, Tue, Wed"/>
    <n v="1"/>
    <n v="0"/>
    <n v="1"/>
    <n v="1"/>
    <n v="1"/>
    <n v="0"/>
    <n v="0"/>
    <b v="1"/>
    <s v="HIT, XCore, BodyBalance"/>
    <d v="1899-12-30T09:21:00"/>
    <d v="1899-12-30T11:38:00"/>
    <n v="137"/>
    <b v="1"/>
    <s v="Jeffrey"/>
  </r>
  <r>
    <n v="797"/>
    <s v="Alley"/>
    <x v="1"/>
    <d v="1978-01-21T00:00:00"/>
    <s v="41-50"/>
    <n v="46"/>
    <x v="1"/>
    <n v="5"/>
    <s v="Fri, Mon, Sat, Tue, Wed"/>
    <n v="0"/>
    <n v="1"/>
    <n v="1"/>
    <n v="1"/>
    <n v="0"/>
    <n v="1"/>
    <n v="1"/>
    <b v="1"/>
    <s v="Spinning"/>
    <d v="1899-12-30T09:41:00"/>
    <d v="1899-12-30T10:23:00"/>
    <n v="42"/>
    <b v="1"/>
    <s v="Chantal"/>
  </r>
  <r>
    <n v="798"/>
    <s v="Donall"/>
    <x v="1"/>
    <d v="1988-03-02T00:00:00"/>
    <s v="31-41"/>
    <n v="36"/>
    <x v="1"/>
    <n v="1"/>
    <s v="Fri"/>
    <n v="0"/>
    <n v="0"/>
    <n v="0"/>
    <n v="0"/>
    <n v="0"/>
    <n v="1"/>
    <n v="0"/>
    <b v="1"/>
    <s v="BodyBalance, Kickboxen, Pilates"/>
    <d v="1899-12-30T20:44:00"/>
    <d v="1899-12-30T21:28:00"/>
    <n v="44"/>
    <b v="1"/>
    <s v="Chantal"/>
  </r>
  <r>
    <n v="799"/>
    <s v="Helen-elizabeth"/>
    <x v="0"/>
    <d v="1995-08-12T00:00:00"/>
    <s v="20-30"/>
    <n v="29"/>
    <x v="1"/>
    <n v="4"/>
    <s v="Mon, Sat, Sun, Wed"/>
    <n v="1"/>
    <n v="1"/>
    <n v="0"/>
    <n v="1"/>
    <n v="0"/>
    <n v="0"/>
    <n v="1"/>
    <b v="1"/>
    <s v="Running, XCore"/>
    <d v="1899-12-30T09:11:00"/>
    <d v="1899-12-30T11:26:00"/>
    <n v="135"/>
    <b v="0"/>
    <m/>
  </r>
  <r>
    <n v="800"/>
    <s v="Roxy"/>
    <x v="0"/>
    <d v="1990-08-27T00:00:00"/>
    <s v="31-41"/>
    <n v="34"/>
    <x v="0"/>
    <n v="3"/>
    <s v="Thu, Tue, Wed"/>
    <n v="0"/>
    <n v="0"/>
    <n v="1"/>
    <n v="1"/>
    <n v="1"/>
    <n v="0"/>
    <n v="0"/>
    <b v="0"/>
    <m/>
    <d v="1899-12-30T09:21:00"/>
    <d v="1899-12-30T11:13:00"/>
    <n v="112"/>
    <b v="0"/>
    <m/>
  </r>
  <r>
    <n v="801"/>
    <s v="Bonita"/>
    <x v="0"/>
    <d v="1977-07-23T00:00:00"/>
    <s v="41-50"/>
    <n v="47"/>
    <x v="1"/>
    <n v="2"/>
    <s v="Thu, Tue"/>
    <n v="0"/>
    <n v="0"/>
    <n v="1"/>
    <n v="0"/>
    <n v="1"/>
    <n v="0"/>
    <n v="0"/>
    <b v="1"/>
    <s v="LesMiles, HIT"/>
    <d v="1899-12-30T19:19:00"/>
    <d v="1899-12-30T21:44:00"/>
    <n v="145"/>
    <b v="0"/>
    <m/>
  </r>
  <r>
    <n v="802"/>
    <s v="Kristan"/>
    <x v="0"/>
    <d v="1997-11-10T00:00:00"/>
    <s v="20-30"/>
    <n v="26"/>
    <x v="0"/>
    <n v="2"/>
    <s v="Fri, Mon"/>
    <n v="0"/>
    <n v="1"/>
    <n v="0"/>
    <n v="0"/>
    <n v="0"/>
    <n v="1"/>
    <n v="0"/>
    <b v="1"/>
    <s v="Spinning, Pilates"/>
    <d v="1899-12-30T08:00:00"/>
    <d v="1899-12-30T10:24:00"/>
    <n v="144"/>
    <b v="1"/>
    <s v="Hanna"/>
  </r>
  <r>
    <n v="803"/>
    <s v="Cecily"/>
    <x v="0"/>
    <d v="1983-07-06T00:00:00"/>
    <s v="41-50"/>
    <n v="41"/>
    <x v="1"/>
    <n v="3"/>
    <s v="Fri, Sun, Tue"/>
    <n v="1"/>
    <n v="0"/>
    <n v="1"/>
    <n v="0"/>
    <n v="0"/>
    <n v="1"/>
    <n v="0"/>
    <b v="0"/>
    <m/>
    <d v="1899-12-30T09:26:00"/>
    <d v="1899-12-30T11:23:00"/>
    <n v="117"/>
    <b v="0"/>
    <m/>
  </r>
  <r>
    <n v="804"/>
    <s v="Ben"/>
    <x v="1"/>
    <d v="2006-05-20T00:00:00"/>
    <s v="below 20"/>
    <n v="18"/>
    <x v="0"/>
    <n v="4"/>
    <s v="Mon, Sun, Thu, Tue"/>
    <n v="1"/>
    <n v="1"/>
    <n v="1"/>
    <n v="0"/>
    <n v="1"/>
    <n v="0"/>
    <n v="0"/>
    <b v="0"/>
    <m/>
    <d v="1899-12-30T08:59:00"/>
    <d v="1899-12-30T09:56:00"/>
    <n v="57"/>
    <b v="1"/>
    <s v="Mike"/>
  </r>
  <r>
    <n v="805"/>
    <s v="Salaidh"/>
    <x v="0"/>
    <d v="1976-06-04T00:00:00"/>
    <s v="41-50"/>
    <n v="48"/>
    <x v="0"/>
    <n v="2"/>
    <s v="Sun, Thu"/>
    <n v="1"/>
    <n v="0"/>
    <n v="0"/>
    <n v="0"/>
    <n v="1"/>
    <n v="0"/>
    <n v="0"/>
    <b v="1"/>
    <s v="BodyPump, XCore"/>
    <d v="1899-12-30T08:15:00"/>
    <d v="1899-12-30T09:48:00"/>
    <n v="93"/>
    <b v="1"/>
    <s v="Jeffrey"/>
  </r>
  <r>
    <n v="806"/>
    <s v="Beatriz"/>
    <x v="0"/>
    <d v="1999-07-20T00:00:00"/>
    <s v="20-30"/>
    <n v="25"/>
    <x v="0"/>
    <n v="5"/>
    <s v="Fri, Mon, Sun, Thu, Wed"/>
    <n v="1"/>
    <n v="1"/>
    <n v="0"/>
    <n v="1"/>
    <n v="1"/>
    <n v="1"/>
    <n v="0"/>
    <b v="0"/>
    <m/>
    <d v="1899-12-30T16:13:00"/>
    <d v="1899-12-30T18:08:00"/>
    <n v="115"/>
    <b v="0"/>
    <m/>
  </r>
  <r>
    <n v="807"/>
    <s v="Ardelis"/>
    <x v="0"/>
    <d v="1984-04-10T00:00:00"/>
    <s v="31-41"/>
    <n v="40"/>
    <x v="0"/>
    <n v="4"/>
    <s v="Fri, Mon, Sat, Wed"/>
    <n v="0"/>
    <n v="1"/>
    <n v="0"/>
    <n v="1"/>
    <n v="0"/>
    <n v="1"/>
    <n v="1"/>
    <b v="1"/>
    <s v="Yoga, Pilates"/>
    <d v="1899-12-30T19:35:00"/>
    <d v="1899-12-30T22:10:00"/>
    <n v="155"/>
    <b v="0"/>
    <m/>
  </r>
  <r>
    <n v="808"/>
    <s v="Sosanna"/>
    <x v="0"/>
    <d v="1997-05-05T00:00:00"/>
    <s v="20-30"/>
    <n v="27"/>
    <x v="0"/>
    <n v="4"/>
    <s v="Mon, Sat, Sun, Wed"/>
    <n v="1"/>
    <n v="1"/>
    <n v="0"/>
    <n v="1"/>
    <n v="0"/>
    <n v="0"/>
    <n v="1"/>
    <b v="0"/>
    <m/>
    <d v="1899-12-30T16:32:00"/>
    <d v="1899-12-30T18:29:00"/>
    <n v="117"/>
    <b v="1"/>
    <s v="Hanna"/>
  </r>
  <r>
    <n v="809"/>
    <s v="Rana"/>
    <x v="0"/>
    <d v="1989-11-20T00:00:00"/>
    <s v="31-41"/>
    <n v="34"/>
    <x v="0"/>
    <n v="2"/>
    <s v="Mon, Sat"/>
    <n v="0"/>
    <n v="1"/>
    <n v="0"/>
    <n v="0"/>
    <n v="0"/>
    <n v="0"/>
    <n v="1"/>
    <b v="0"/>
    <m/>
    <d v="1899-12-30T13:25:00"/>
    <d v="1899-12-30T15:29:00"/>
    <n v="124"/>
    <b v="0"/>
    <m/>
  </r>
  <r>
    <n v="810"/>
    <s v="Neils"/>
    <x v="1"/>
    <d v="1994-09-24T00:00:00"/>
    <s v="20-30"/>
    <n v="30"/>
    <x v="0"/>
    <n v="2"/>
    <s v="Sun, Tue"/>
    <n v="1"/>
    <n v="0"/>
    <n v="1"/>
    <n v="0"/>
    <n v="0"/>
    <n v="0"/>
    <n v="0"/>
    <b v="1"/>
    <s v="BodyBalance"/>
    <d v="1899-12-30T14:19:00"/>
    <d v="1899-12-30T17:05:00"/>
    <n v="166"/>
    <b v="1"/>
    <s v="Chantal"/>
  </r>
  <r>
    <n v="811"/>
    <s v="Chaddy"/>
    <x v="1"/>
    <d v="1994-03-19T00:00:00"/>
    <s v="20-30"/>
    <n v="30"/>
    <x v="0"/>
    <n v="2"/>
    <s v="Mon, Tue"/>
    <n v="0"/>
    <n v="1"/>
    <n v="1"/>
    <n v="0"/>
    <n v="0"/>
    <n v="0"/>
    <n v="0"/>
    <b v="0"/>
    <m/>
    <d v="1899-12-30T11:18:00"/>
    <d v="1899-12-30T13:30:00"/>
    <n v="132"/>
    <b v="1"/>
    <s v="Jeffrey"/>
  </r>
  <r>
    <n v="812"/>
    <s v="Kelly"/>
    <x v="1"/>
    <d v="2005-06-15T00:00:00"/>
    <s v="below 20"/>
    <n v="19"/>
    <x v="0"/>
    <n v="1"/>
    <s v="Sun"/>
    <n v="1"/>
    <n v="0"/>
    <n v="0"/>
    <n v="0"/>
    <n v="0"/>
    <n v="0"/>
    <n v="0"/>
    <b v="1"/>
    <s v="LesMiles, BodyPump"/>
    <d v="1899-12-30T14:30:00"/>
    <d v="1899-12-30T15:58:00"/>
    <n v="88"/>
    <b v="1"/>
    <s v="Hanna"/>
  </r>
  <r>
    <n v="813"/>
    <s v="Johnathan"/>
    <x v="1"/>
    <d v="1975-06-22T00:00:00"/>
    <s v="41-50"/>
    <n v="49"/>
    <x v="1"/>
    <n v="5"/>
    <s v="Fri, Mon, Sat, Sun, Wed"/>
    <n v="1"/>
    <n v="1"/>
    <n v="0"/>
    <n v="1"/>
    <n v="0"/>
    <n v="1"/>
    <n v="1"/>
    <b v="0"/>
    <m/>
    <d v="1899-12-30T14:07:00"/>
    <d v="1899-12-30T14:53:00"/>
    <n v="46"/>
    <b v="0"/>
    <m/>
  </r>
  <r>
    <n v="814"/>
    <s v="Naoma"/>
    <x v="0"/>
    <d v="1996-12-13T00:00:00"/>
    <s v="20-30"/>
    <n v="27"/>
    <x v="1"/>
    <n v="1"/>
    <s v="Wed"/>
    <n v="0"/>
    <n v="0"/>
    <n v="0"/>
    <n v="1"/>
    <n v="0"/>
    <n v="0"/>
    <n v="0"/>
    <b v="1"/>
    <s v="Spinning"/>
    <d v="1899-12-30T15:34:00"/>
    <d v="1899-12-30T16:24:00"/>
    <n v="50"/>
    <b v="1"/>
    <s v="Chantal"/>
  </r>
  <r>
    <n v="815"/>
    <s v="Ranee"/>
    <x v="0"/>
    <d v="1986-08-06T00:00:00"/>
    <s v="31-41"/>
    <n v="38"/>
    <x v="0"/>
    <n v="1"/>
    <s v="Sun"/>
    <n v="1"/>
    <n v="0"/>
    <n v="0"/>
    <n v="0"/>
    <n v="0"/>
    <n v="0"/>
    <n v="0"/>
    <b v="0"/>
    <m/>
    <d v="1899-12-30T14:12:00"/>
    <d v="1899-12-30T15:34:00"/>
    <n v="82"/>
    <b v="0"/>
    <m/>
  </r>
  <r>
    <n v="816"/>
    <s v="Benoit"/>
    <x v="1"/>
    <d v="1977-05-28T00:00:00"/>
    <s v="41-50"/>
    <n v="47"/>
    <x v="1"/>
    <n v="2"/>
    <s v="Sun, Wed"/>
    <n v="1"/>
    <n v="0"/>
    <n v="0"/>
    <n v="1"/>
    <n v="0"/>
    <n v="0"/>
    <n v="0"/>
    <b v="0"/>
    <m/>
    <d v="1899-12-30T12:18:00"/>
    <d v="1899-12-30T14:36:00"/>
    <n v="138"/>
    <b v="1"/>
    <s v="Mike"/>
  </r>
  <r>
    <n v="817"/>
    <s v="Ailee"/>
    <x v="0"/>
    <d v="1985-08-31T00:00:00"/>
    <s v="31-41"/>
    <n v="39"/>
    <x v="1"/>
    <n v="3"/>
    <s v="Mon, Sun, Wed"/>
    <n v="1"/>
    <n v="1"/>
    <n v="0"/>
    <n v="1"/>
    <n v="0"/>
    <n v="0"/>
    <n v="0"/>
    <b v="0"/>
    <m/>
    <d v="1899-12-30T17:06:00"/>
    <d v="1899-12-30T19:13:00"/>
    <n v="127"/>
    <b v="1"/>
    <s v="Jeffrey"/>
  </r>
  <r>
    <n v="818"/>
    <s v="Gavin"/>
    <x v="1"/>
    <d v="2006-12-16T00:00:00"/>
    <s v="below 20"/>
    <n v="17"/>
    <x v="1"/>
    <n v="3"/>
    <s v="Fri, Sun, Tue"/>
    <n v="1"/>
    <n v="0"/>
    <n v="1"/>
    <n v="0"/>
    <n v="0"/>
    <n v="1"/>
    <n v="0"/>
    <b v="1"/>
    <s v="Pilates, Yoga"/>
    <d v="1899-12-30T11:51:00"/>
    <d v="1899-12-30T13:38:00"/>
    <n v="107"/>
    <b v="0"/>
    <m/>
  </r>
  <r>
    <n v="819"/>
    <s v="Vi"/>
    <x v="0"/>
    <d v="2003-11-14T00:00:00"/>
    <s v="20-30"/>
    <n v="20"/>
    <x v="1"/>
    <n v="3"/>
    <s v="Fri, Sun, Wed"/>
    <n v="1"/>
    <n v="0"/>
    <n v="0"/>
    <n v="1"/>
    <n v="0"/>
    <n v="1"/>
    <n v="0"/>
    <b v="0"/>
    <m/>
    <d v="1899-12-30T08:23:00"/>
    <d v="1899-12-30T09:45:00"/>
    <n v="82"/>
    <b v="0"/>
    <m/>
  </r>
  <r>
    <n v="820"/>
    <s v="Kial"/>
    <x v="0"/>
    <d v="2009-07-13T00:00:00"/>
    <s v="below 20"/>
    <n v="15"/>
    <x v="1"/>
    <n v="3"/>
    <s v="Fri, Sat, Wed"/>
    <n v="0"/>
    <n v="0"/>
    <n v="0"/>
    <n v="1"/>
    <n v="0"/>
    <n v="1"/>
    <n v="1"/>
    <b v="0"/>
    <m/>
    <d v="1899-12-30T14:33:00"/>
    <d v="1899-12-30T17:03:00"/>
    <n v="150"/>
    <b v="0"/>
    <m/>
  </r>
  <r>
    <n v="821"/>
    <s v="Romona"/>
    <x v="0"/>
    <d v="1986-08-18T00:00:00"/>
    <s v="31-41"/>
    <n v="38"/>
    <x v="0"/>
    <n v="3"/>
    <s v="Fri, Mon, Sun"/>
    <n v="1"/>
    <n v="1"/>
    <n v="0"/>
    <n v="0"/>
    <n v="0"/>
    <n v="1"/>
    <n v="0"/>
    <b v="1"/>
    <s v="XCore"/>
    <d v="1899-12-30T13:20:00"/>
    <d v="1899-12-30T15:41:00"/>
    <n v="141"/>
    <b v="0"/>
    <m/>
  </r>
  <r>
    <n v="822"/>
    <s v="Mischa"/>
    <x v="1"/>
    <d v="1975-10-11T00:00:00"/>
    <s v="41-50"/>
    <n v="48"/>
    <x v="0"/>
    <n v="3"/>
    <s v="Fri, Mon, Wed"/>
    <n v="0"/>
    <n v="1"/>
    <n v="0"/>
    <n v="1"/>
    <n v="0"/>
    <n v="1"/>
    <n v="0"/>
    <b v="0"/>
    <m/>
    <d v="1899-12-30T19:44:00"/>
    <d v="1899-12-30T21:54:00"/>
    <n v="130"/>
    <b v="1"/>
    <s v="Chantal"/>
  </r>
  <r>
    <n v="823"/>
    <s v="Viola"/>
    <x v="0"/>
    <d v="1995-10-19T00:00:00"/>
    <s v="20-30"/>
    <n v="28"/>
    <x v="1"/>
    <n v="4"/>
    <s v="Fri, Mon, Sun, Wed"/>
    <n v="1"/>
    <n v="1"/>
    <n v="0"/>
    <n v="1"/>
    <n v="0"/>
    <n v="1"/>
    <n v="0"/>
    <b v="0"/>
    <m/>
    <d v="1899-12-30T16:33:00"/>
    <d v="1899-12-30T18:24:00"/>
    <n v="111"/>
    <b v="0"/>
    <m/>
  </r>
  <r>
    <n v="824"/>
    <s v="Junie"/>
    <x v="0"/>
    <d v="1986-07-21T00:00:00"/>
    <s v="31-41"/>
    <n v="38"/>
    <x v="1"/>
    <n v="5"/>
    <s v="Fri, Mon, Sat, Sun, Tue"/>
    <n v="1"/>
    <n v="1"/>
    <n v="1"/>
    <n v="0"/>
    <n v="0"/>
    <n v="1"/>
    <n v="1"/>
    <b v="0"/>
    <m/>
    <d v="1899-12-30T17:59:00"/>
    <d v="1899-12-30T20:09:00"/>
    <n v="130"/>
    <b v="0"/>
    <m/>
  </r>
  <r>
    <n v="825"/>
    <s v="Baily"/>
    <x v="1"/>
    <d v="1975-07-30T00:00:00"/>
    <s v="41-50"/>
    <n v="49"/>
    <x v="0"/>
    <n v="3"/>
    <s v="Fri, Sun, Wed"/>
    <n v="1"/>
    <n v="0"/>
    <n v="0"/>
    <n v="1"/>
    <n v="0"/>
    <n v="1"/>
    <n v="0"/>
    <b v="1"/>
    <s v="Zumba, HIT"/>
    <d v="1899-12-30T10:53:00"/>
    <d v="1899-12-30T12:49:00"/>
    <n v="116"/>
    <b v="1"/>
    <s v="Mike"/>
  </r>
  <r>
    <n v="826"/>
    <s v="Lizette"/>
    <x v="0"/>
    <d v="1992-02-26T00:00:00"/>
    <s v="31-41"/>
    <n v="32"/>
    <x v="1"/>
    <n v="1"/>
    <s v="Wed"/>
    <n v="0"/>
    <n v="0"/>
    <n v="0"/>
    <n v="1"/>
    <n v="0"/>
    <n v="0"/>
    <n v="0"/>
    <b v="0"/>
    <m/>
    <d v="1899-12-30T17:58:00"/>
    <d v="1899-12-30T20:54:00"/>
    <n v="176"/>
    <b v="0"/>
    <m/>
  </r>
  <r>
    <n v="827"/>
    <s v="Whit"/>
    <x v="1"/>
    <d v="2006-02-28T00:00:00"/>
    <s v="below 20"/>
    <n v="18"/>
    <x v="1"/>
    <n v="3"/>
    <s v="Fri, Sun, Thu"/>
    <n v="1"/>
    <n v="0"/>
    <n v="0"/>
    <n v="0"/>
    <n v="1"/>
    <n v="1"/>
    <n v="0"/>
    <b v="1"/>
    <s v="Running, BodyPump, Spinning"/>
    <d v="1899-12-30T14:33:00"/>
    <d v="1899-12-30T16:04:00"/>
    <n v="91"/>
    <b v="0"/>
    <m/>
  </r>
  <r>
    <n v="828"/>
    <s v="Margarita"/>
    <x v="0"/>
    <d v="2006-03-31T00:00:00"/>
    <s v="below 20"/>
    <n v="18"/>
    <x v="0"/>
    <n v="2"/>
    <s v="Fri, Wed"/>
    <n v="0"/>
    <n v="0"/>
    <n v="0"/>
    <n v="1"/>
    <n v="0"/>
    <n v="1"/>
    <n v="0"/>
    <b v="1"/>
    <s v="Yoga, Zumba, Spinning"/>
    <d v="1899-12-30T15:53:00"/>
    <d v="1899-12-30T16:53:00"/>
    <n v="60"/>
    <b v="1"/>
    <s v="Hanna"/>
  </r>
  <r>
    <n v="829"/>
    <s v="Fields"/>
    <x v="1"/>
    <d v="1984-06-21T00:00:00"/>
    <s v="31-41"/>
    <n v="40"/>
    <x v="0"/>
    <n v="2"/>
    <s v="Mon, Tue"/>
    <n v="0"/>
    <n v="1"/>
    <n v="1"/>
    <n v="0"/>
    <n v="0"/>
    <n v="0"/>
    <n v="0"/>
    <b v="1"/>
    <s v="Kickboxen, Zumba"/>
    <d v="1899-12-30T09:40:00"/>
    <d v="1899-12-30T10:14:00"/>
    <n v="34"/>
    <b v="1"/>
    <s v="Hanna"/>
  </r>
  <r>
    <n v="830"/>
    <s v="Micky"/>
    <x v="1"/>
    <d v="1982-03-30T00:00:00"/>
    <s v="41-50"/>
    <n v="42"/>
    <x v="0"/>
    <n v="5"/>
    <s v="Fri, Mon, Sun, Thu, Tue"/>
    <n v="1"/>
    <n v="1"/>
    <n v="1"/>
    <n v="0"/>
    <n v="1"/>
    <n v="1"/>
    <n v="0"/>
    <b v="1"/>
    <s v="LesMiles, Zumba, HIT"/>
    <d v="1899-12-30T12:05:00"/>
    <d v="1899-12-30T14:36:00"/>
    <n v="151"/>
    <b v="1"/>
    <s v="Mike"/>
  </r>
  <r>
    <n v="831"/>
    <s v="Wheeler"/>
    <x v="1"/>
    <d v="1996-09-27T00:00:00"/>
    <s v="20-30"/>
    <n v="28"/>
    <x v="1"/>
    <n v="4"/>
    <s v="Fri, Mon, Tue, Wed"/>
    <n v="0"/>
    <n v="1"/>
    <n v="1"/>
    <n v="1"/>
    <n v="0"/>
    <n v="1"/>
    <n v="0"/>
    <b v="0"/>
    <m/>
    <d v="1899-12-30T09:35:00"/>
    <d v="1899-12-30T11:59:00"/>
    <n v="144"/>
    <b v="1"/>
    <s v="Mike"/>
  </r>
  <r>
    <n v="832"/>
    <s v="Caralie"/>
    <x v="0"/>
    <d v="2008-07-27T00:00:00"/>
    <s v="below 20"/>
    <n v="16"/>
    <x v="0"/>
    <n v="1"/>
    <s v="Tue"/>
    <n v="0"/>
    <n v="0"/>
    <n v="1"/>
    <n v="0"/>
    <n v="0"/>
    <n v="0"/>
    <n v="0"/>
    <b v="0"/>
    <m/>
    <d v="1899-12-30T08:41:00"/>
    <d v="1899-12-30T10:55:00"/>
    <n v="134"/>
    <b v="0"/>
    <m/>
  </r>
  <r>
    <n v="833"/>
    <s v="Susana"/>
    <x v="0"/>
    <d v="1999-11-22T00:00:00"/>
    <s v="20-30"/>
    <n v="24"/>
    <x v="1"/>
    <n v="2"/>
    <s v="Sun, Tue"/>
    <n v="1"/>
    <n v="0"/>
    <n v="1"/>
    <n v="0"/>
    <n v="0"/>
    <n v="0"/>
    <n v="0"/>
    <b v="1"/>
    <s v="BodyBalance, Kickboxen"/>
    <d v="1899-12-30T17:44:00"/>
    <d v="1899-12-30T19:20:00"/>
    <n v="96"/>
    <b v="1"/>
    <s v="Hanna"/>
  </r>
  <r>
    <n v="834"/>
    <s v="Avram"/>
    <x v="1"/>
    <d v="2010-03-28T00:00:00"/>
    <s v="below 20"/>
    <n v="14"/>
    <x v="1"/>
    <n v="3"/>
    <s v="Sat, Sun, Thu"/>
    <n v="1"/>
    <n v="0"/>
    <n v="0"/>
    <n v="0"/>
    <n v="1"/>
    <n v="0"/>
    <n v="1"/>
    <b v="0"/>
    <m/>
    <d v="1899-12-30T19:16:00"/>
    <d v="1899-12-30T20:30:00"/>
    <n v="74"/>
    <b v="1"/>
    <s v="Hanna"/>
  </r>
  <r>
    <n v="835"/>
    <s v="Mair"/>
    <x v="0"/>
    <d v="2003-11-08T00:00:00"/>
    <s v="20-30"/>
    <n v="20"/>
    <x v="0"/>
    <n v="3"/>
    <s v="Fri, Mon, Sun"/>
    <n v="1"/>
    <n v="1"/>
    <n v="0"/>
    <n v="0"/>
    <n v="0"/>
    <n v="1"/>
    <n v="0"/>
    <b v="0"/>
    <m/>
    <d v="1899-12-30T15:37:00"/>
    <d v="1899-12-30T16:54:00"/>
    <n v="77"/>
    <b v="1"/>
    <s v="Hanna"/>
  </r>
  <r>
    <n v="836"/>
    <s v="Marieann"/>
    <x v="0"/>
    <d v="1983-09-20T00:00:00"/>
    <s v="41-50"/>
    <n v="41"/>
    <x v="1"/>
    <n v="1"/>
    <s v="Tue"/>
    <n v="0"/>
    <n v="0"/>
    <n v="1"/>
    <n v="0"/>
    <n v="0"/>
    <n v="0"/>
    <n v="0"/>
    <b v="1"/>
    <s v="HIT, Zumba, XCore"/>
    <d v="1899-12-30T09:46:00"/>
    <d v="1899-12-30T11:52:00"/>
    <n v="126"/>
    <b v="1"/>
    <s v="Chantal"/>
  </r>
  <r>
    <n v="837"/>
    <s v="Gal"/>
    <x v="1"/>
    <d v="2000-12-24T00:00:00"/>
    <s v="20-30"/>
    <n v="23"/>
    <x v="0"/>
    <n v="2"/>
    <s v="Fri, Sat"/>
    <n v="0"/>
    <n v="0"/>
    <n v="0"/>
    <n v="0"/>
    <n v="0"/>
    <n v="1"/>
    <n v="1"/>
    <b v="0"/>
    <m/>
    <d v="1899-12-30T19:11:00"/>
    <d v="1899-12-30T21:17:00"/>
    <n v="126"/>
    <b v="1"/>
    <s v="Chantal"/>
  </r>
  <r>
    <n v="838"/>
    <s v="Montague"/>
    <x v="1"/>
    <d v="1975-07-29T00:00:00"/>
    <s v="41-50"/>
    <n v="49"/>
    <x v="1"/>
    <n v="3"/>
    <s v="Fri, Thu, Tue"/>
    <n v="0"/>
    <n v="0"/>
    <n v="1"/>
    <n v="0"/>
    <n v="1"/>
    <n v="1"/>
    <n v="0"/>
    <b v="1"/>
    <s v="Zumba, Spinning"/>
    <d v="1899-12-30T20:40:00"/>
    <d v="1899-12-30T23:05:00"/>
    <n v="145"/>
    <b v="1"/>
    <s v="Mike"/>
  </r>
  <r>
    <n v="839"/>
    <s v="Ynes"/>
    <x v="0"/>
    <d v="1978-12-24T00:00:00"/>
    <s v="41-50"/>
    <n v="45"/>
    <x v="1"/>
    <n v="2"/>
    <s v="Mon, Sat"/>
    <n v="0"/>
    <n v="1"/>
    <n v="0"/>
    <n v="0"/>
    <n v="0"/>
    <n v="0"/>
    <n v="1"/>
    <b v="0"/>
    <m/>
    <d v="1899-12-30T08:54:00"/>
    <d v="1899-12-30T09:40:00"/>
    <n v="46"/>
    <b v="1"/>
    <s v="Hanna"/>
  </r>
  <r>
    <n v="840"/>
    <s v="Darell"/>
    <x v="0"/>
    <d v="1975-11-12T00:00:00"/>
    <s v="41-50"/>
    <n v="48"/>
    <x v="1"/>
    <n v="2"/>
    <s v="Sat, Tue"/>
    <n v="0"/>
    <n v="0"/>
    <n v="1"/>
    <n v="0"/>
    <n v="0"/>
    <n v="0"/>
    <n v="1"/>
    <b v="0"/>
    <m/>
    <d v="1899-12-30T20:26:00"/>
    <d v="1899-12-30T22:29:00"/>
    <n v="123"/>
    <b v="1"/>
    <s v="Hanna"/>
  </r>
  <r>
    <n v="841"/>
    <s v="Marthena"/>
    <x v="0"/>
    <d v="1995-09-16T00:00:00"/>
    <s v="20-30"/>
    <n v="29"/>
    <x v="1"/>
    <n v="3"/>
    <s v="Fri, Mon, Sun"/>
    <n v="1"/>
    <n v="1"/>
    <n v="0"/>
    <n v="0"/>
    <n v="0"/>
    <n v="1"/>
    <n v="0"/>
    <b v="0"/>
    <m/>
    <d v="1899-12-30T11:00:00"/>
    <d v="1899-12-30T13:06:00"/>
    <n v="126"/>
    <b v="0"/>
    <m/>
  </r>
  <r>
    <n v="842"/>
    <s v="Gale"/>
    <x v="0"/>
    <d v="1993-04-29T00:00:00"/>
    <s v="31-41"/>
    <n v="31"/>
    <x v="1"/>
    <n v="5"/>
    <s v="Fri, Mon, Sat, Sun, Thu"/>
    <n v="1"/>
    <n v="1"/>
    <n v="0"/>
    <n v="0"/>
    <n v="1"/>
    <n v="1"/>
    <n v="1"/>
    <b v="1"/>
    <s v="Pilates"/>
    <d v="1899-12-30T09:47:00"/>
    <d v="1899-12-30T11:42:00"/>
    <n v="115"/>
    <b v="1"/>
    <s v="Chantal"/>
  </r>
  <r>
    <n v="843"/>
    <s v="Donnie"/>
    <x v="0"/>
    <d v="1995-03-12T00:00:00"/>
    <s v="20-30"/>
    <n v="29"/>
    <x v="0"/>
    <n v="1"/>
    <s v="Thu"/>
    <n v="0"/>
    <n v="0"/>
    <n v="0"/>
    <n v="0"/>
    <n v="1"/>
    <n v="0"/>
    <n v="0"/>
    <b v="1"/>
    <s v="BodyBalance"/>
    <d v="1899-12-30T19:10:00"/>
    <d v="1899-12-30T19:50:00"/>
    <n v="40"/>
    <b v="1"/>
    <s v="Mike"/>
  </r>
  <r>
    <n v="844"/>
    <s v="Ogdan"/>
    <x v="1"/>
    <d v="1981-10-11T00:00:00"/>
    <s v="41-50"/>
    <n v="42"/>
    <x v="0"/>
    <n v="3"/>
    <s v="Mon, Sat, Thu"/>
    <n v="0"/>
    <n v="1"/>
    <n v="0"/>
    <n v="0"/>
    <n v="1"/>
    <n v="0"/>
    <n v="1"/>
    <b v="1"/>
    <s v="Kickboxen"/>
    <d v="1899-12-30T13:40:00"/>
    <d v="1899-12-30T14:28:00"/>
    <n v="48"/>
    <b v="1"/>
    <s v="Mike"/>
  </r>
  <r>
    <n v="845"/>
    <s v="Curran"/>
    <x v="1"/>
    <d v="1995-01-05T00:00:00"/>
    <s v="20-30"/>
    <n v="29"/>
    <x v="1"/>
    <n v="2"/>
    <s v="Sun, Tue"/>
    <n v="1"/>
    <n v="0"/>
    <n v="1"/>
    <n v="0"/>
    <n v="0"/>
    <n v="0"/>
    <n v="0"/>
    <b v="0"/>
    <m/>
    <d v="1899-12-30T17:09:00"/>
    <d v="1899-12-30T18:30:00"/>
    <n v="81"/>
    <b v="1"/>
    <s v="Hanna"/>
  </r>
  <r>
    <n v="846"/>
    <s v="Colby"/>
    <x v="1"/>
    <d v="1979-01-14T00:00:00"/>
    <s v="41-50"/>
    <n v="45"/>
    <x v="1"/>
    <n v="2"/>
    <s v="Sat, Sun"/>
    <n v="1"/>
    <n v="0"/>
    <n v="0"/>
    <n v="0"/>
    <n v="0"/>
    <n v="0"/>
    <n v="1"/>
    <b v="1"/>
    <s v="HIT, Running"/>
    <d v="1899-12-30T15:59:00"/>
    <d v="1899-12-30T17:52:00"/>
    <n v="113"/>
    <b v="1"/>
    <s v="Hanna"/>
  </r>
  <r>
    <n v="847"/>
    <s v="Carolus"/>
    <x v="1"/>
    <d v="1994-11-10T00:00:00"/>
    <s v="20-30"/>
    <n v="29"/>
    <x v="1"/>
    <n v="1"/>
    <s v="Wed"/>
    <n v="0"/>
    <n v="0"/>
    <n v="0"/>
    <n v="1"/>
    <n v="0"/>
    <n v="0"/>
    <n v="0"/>
    <b v="0"/>
    <m/>
    <d v="1899-12-30T20:43:00"/>
    <d v="1899-12-30T23:01:00"/>
    <n v="138"/>
    <b v="1"/>
    <s v="Mike"/>
  </r>
  <r>
    <n v="848"/>
    <s v="Pietro"/>
    <x v="1"/>
    <d v="2000-06-20T00:00:00"/>
    <s v="20-30"/>
    <n v="24"/>
    <x v="1"/>
    <n v="3"/>
    <s v="Fri, Sun, Tue"/>
    <n v="1"/>
    <n v="0"/>
    <n v="1"/>
    <n v="0"/>
    <n v="0"/>
    <n v="1"/>
    <n v="0"/>
    <b v="1"/>
    <s v="Spinning"/>
    <d v="1899-12-30T12:00:00"/>
    <d v="1899-12-30T12:55:00"/>
    <n v="55"/>
    <b v="0"/>
    <m/>
  </r>
  <r>
    <n v="849"/>
    <s v="Carol"/>
    <x v="0"/>
    <d v="1985-04-18T00:00:00"/>
    <s v="31-41"/>
    <n v="39"/>
    <x v="0"/>
    <n v="3"/>
    <s v="Fri, Sun, Tue"/>
    <n v="1"/>
    <n v="0"/>
    <n v="1"/>
    <n v="0"/>
    <n v="0"/>
    <n v="1"/>
    <n v="0"/>
    <b v="1"/>
    <s v="Pilates, XCore, Spinning"/>
    <d v="1899-12-30T16:37:00"/>
    <d v="1899-12-30T19:33:00"/>
    <n v="176"/>
    <b v="1"/>
    <s v="Jeffrey"/>
  </r>
  <r>
    <n v="850"/>
    <s v="Reinhold"/>
    <x v="1"/>
    <d v="1991-03-21T00:00:00"/>
    <s v="31-41"/>
    <n v="33"/>
    <x v="1"/>
    <n v="2"/>
    <s v="Thu, Wed"/>
    <n v="0"/>
    <n v="0"/>
    <n v="0"/>
    <n v="1"/>
    <n v="1"/>
    <n v="0"/>
    <n v="0"/>
    <b v="1"/>
    <s v="LesMiles, Running, BodyBalance"/>
    <d v="1899-12-30T14:56:00"/>
    <d v="1899-12-30T16:26:00"/>
    <n v="90"/>
    <b v="1"/>
    <s v="Mike"/>
  </r>
  <r>
    <n v="851"/>
    <s v="Serene"/>
    <x v="0"/>
    <d v="2007-08-23T00:00:00"/>
    <s v="below 20"/>
    <n v="17"/>
    <x v="1"/>
    <n v="2"/>
    <s v="Sun, Tue"/>
    <n v="1"/>
    <n v="0"/>
    <n v="1"/>
    <n v="0"/>
    <n v="0"/>
    <n v="0"/>
    <n v="0"/>
    <b v="0"/>
    <m/>
    <d v="1899-12-30T08:06:00"/>
    <d v="1899-12-30T09:44:00"/>
    <n v="98"/>
    <b v="0"/>
    <m/>
  </r>
  <r>
    <n v="852"/>
    <s v="Laraine"/>
    <x v="0"/>
    <d v="1989-08-17T00:00:00"/>
    <s v="31-41"/>
    <n v="35"/>
    <x v="1"/>
    <n v="4"/>
    <s v="Fri, Thu, Tue, Wed"/>
    <n v="0"/>
    <n v="0"/>
    <n v="1"/>
    <n v="1"/>
    <n v="1"/>
    <n v="1"/>
    <n v="0"/>
    <b v="0"/>
    <m/>
    <d v="1899-12-30T15:43:00"/>
    <d v="1899-12-30T17:32:00"/>
    <n v="109"/>
    <b v="1"/>
    <s v="Hanna"/>
  </r>
  <r>
    <n v="853"/>
    <s v="Westbrooke"/>
    <x v="1"/>
    <d v="1985-07-13T00:00:00"/>
    <s v="31-41"/>
    <n v="39"/>
    <x v="0"/>
    <n v="3"/>
    <s v="Sun, Tue, Wed"/>
    <n v="1"/>
    <n v="0"/>
    <n v="1"/>
    <n v="1"/>
    <n v="0"/>
    <n v="0"/>
    <n v="0"/>
    <b v="1"/>
    <s v="HIT, BodyPump, XCore"/>
    <d v="1899-12-30T12:16:00"/>
    <d v="1899-12-30T14:42:00"/>
    <n v="146"/>
    <b v="0"/>
    <m/>
  </r>
  <r>
    <n v="854"/>
    <s v="Odelia"/>
    <x v="0"/>
    <d v="1998-10-29T00:00:00"/>
    <s v="20-30"/>
    <n v="25"/>
    <x v="0"/>
    <n v="2"/>
    <s v="Fri, Sun"/>
    <n v="1"/>
    <n v="0"/>
    <n v="0"/>
    <n v="0"/>
    <n v="0"/>
    <n v="1"/>
    <n v="0"/>
    <b v="0"/>
    <m/>
    <d v="1899-12-30T20:20:00"/>
    <d v="1899-12-30T23:16:00"/>
    <n v="176"/>
    <b v="0"/>
    <m/>
  </r>
  <r>
    <n v="855"/>
    <s v="Gordie"/>
    <x v="1"/>
    <d v="2010-03-21T00:00:00"/>
    <s v="below 20"/>
    <n v="14"/>
    <x v="0"/>
    <n v="1"/>
    <s v="Fri"/>
    <n v="0"/>
    <n v="0"/>
    <n v="0"/>
    <n v="0"/>
    <n v="0"/>
    <n v="1"/>
    <n v="0"/>
    <b v="0"/>
    <m/>
    <d v="1899-12-30T12:10:00"/>
    <d v="1899-12-30T13:12:00"/>
    <n v="62"/>
    <b v="0"/>
    <m/>
  </r>
  <r>
    <n v="856"/>
    <s v="Ester"/>
    <x v="0"/>
    <d v="1984-09-05T00:00:00"/>
    <s v="31-41"/>
    <n v="40"/>
    <x v="1"/>
    <n v="3"/>
    <s v="Fri, Sat, Sun"/>
    <n v="1"/>
    <n v="0"/>
    <n v="0"/>
    <n v="0"/>
    <n v="0"/>
    <n v="1"/>
    <n v="1"/>
    <b v="1"/>
    <s v="HIT"/>
    <d v="1899-12-30T17:05:00"/>
    <d v="1899-12-30T17:37:00"/>
    <n v="32"/>
    <b v="1"/>
    <s v="Mike"/>
  </r>
  <r>
    <n v="857"/>
    <s v="Danyette"/>
    <x v="0"/>
    <d v="1999-04-06T00:00:00"/>
    <s v="20-30"/>
    <n v="25"/>
    <x v="0"/>
    <n v="1"/>
    <s v="Mon"/>
    <n v="0"/>
    <n v="1"/>
    <n v="0"/>
    <n v="0"/>
    <n v="0"/>
    <n v="0"/>
    <n v="0"/>
    <b v="0"/>
    <m/>
    <d v="1899-12-30T15:55:00"/>
    <d v="1899-12-30T16:52:00"/>
    <n v="57"/>
    <b v="0"/>
    <m/>
  </r>
  <r>
    <n v="858"/>
    <s v="Florinda"/>
    <x v="0"/>
    <d v="1988-01-30T00:00:00"/>
    <s v="31-41"/>
    <n v="36"/>
    <x v="0"/>
    <n v="2"/>
    <s v="Mon, Tue"/>
    <n v="0"/>
    <n v="1"/>
    <n v="1"/>
    <n v="0"/>
    <n v="0"/>
    <n v="0"/>
    <n v="0"/>
    <b v="1"/>
    <s v="HIT, Zumba, Yoga"/>
    <d v="1899-12-30T10:20:00"/>
    <d v="1899-12-30T12:56:00"/>
    <n v="156"/>
    <b v="1"/>
    <s v="Jeffrey"/>
  </r>
  <r>
    <n v="859"/>
    <s v="Mikey"/>
    <x v="1"/>
    <d v="1999-01-01T00:00:00"/>
    <s v="20-30"/>
    <n v="25"/>
    <x v="0"/>
    <n v="3"/>
    <s v="Mon, Sun, Tue"/>
    <n v="1"/>
    <n v="1"/>
    <n v="1"/>
    <n v="0"/>
    <n v="0"/>
    <n v="0"/>
    <n v="0"/>
    <b v="1"/>
    <s v="HIT"/>
    <d v="1899-12-30T14:45:00"/>
    <d v="1899-12-30T16:44:00"/>
    <n v="119"/>
    <b v="0"/>
    <m/>
  </r>
  <r>
    <n v="860"/>
    <s v="Marcelle"/>
    <x v="0"/>
    <d v="1999-12-16T00:00:00"/>
    <s v="20-30"/>
    <n v="24"/>
    <x v="0"/>
    <n v="2"/>
    <s v="Thu, Tue"/>
    <n v="0"/>
    <n v="0"/>
    <n v="1"/>
    <n v="0"/>
    <n v="1"/>
    <n v="0"/>
    <n v="0"/>
    <b v="1"/>
    <s v="HIT, Yoga, BodyPump"/>
    <d v="1899-12-30T18:33:00"/>
    <d v="1899-12-30T21:25:00"/>
    <n v="172"/>
    <b v="0"/>
    <m/>
  </r>
  <r>
    <n v="861"/>
    <s v="Tasia"/>
    <x v="0"/>
    <d v="1989-04-08T00:00:00"/>
    <s v="31-41"/>
    <n v="35"/>
    <x v="0"/>
    <n v="2"/>
    <s v="Sat, Thu"/>
    <n v="0"/>
    <n v="0"/>
    <n v="0"/>
    <n v="0"/>
    <n v="1"/>
    <n v="0"/>
    <n v="1"/>
    <b v="1"/>
    <s v="BodyPump, Yoga"/>
    <d v="1899-12-30T14:22:00"/>
    <d v="1899-12-30T16:02:00"/>
    <n v="100"/>
    <b v="0"/>
    <m/>
  </r>
  <r>
    <n v="862"/>
    <s v="Zackariah"/>
    <x v="1"/>
    <d v="1993-01-02T00:00:00"/>
    <s v="31-41"/>
    <n v="31"/>
    <x v="1"/>
    <n v="4"/>
    <s v="Fri, Mon, Tue, Wed"/>
    <n v="0"/>
    <n v="1"/>
    <n v="1"/>
    <n v="1"/>
    <n v="0"/>
    <n v="1"/>
    <n v="0"/>
    <b v="1"/>
    <s v="LesMiles, Kickboxen"/>
    <d v="1899-12-30T17:19:00"/>
    <d v="1899-12-30T18:20:00"/>
    <n v="61"/>
    <b v="1"/>
    <s v="Mike"/>
  </r>
  <r>
    <n v="863"/>
    <s v="Wash"/>
    <x v="1"/>
    <d v="1992-09-03T00:00:00"/>
    <s v="31-41"/>
    <n v="32"/>
    <x v="0"/>
    <n v="5"/>
    <s v="Fri, Mon, Sun, Tue, Wed"/>
    <n v="1"/>
    <n v="1"/>
    <n v="1"/>
    <n v="1"/>
    <n v="0"/>
    <n v="1"/>
    <n v="0"/>
    <b v="0"/>
    <m/>
    <d v="1899-12-30T11:08:00"/>
    <d v="1899-12-30T12:57:00"/>
    <n v="109"/>
    <b v="0"/>
    <m/>
  </r>
  <r>
    <n v="864"/>
    <s v="Malchy"/>
    <x v="1"/>
    <d v="1976-09-24T00:00:00"/>
    <s v="41-50"/>
    <n v="48"/>
    <x v="0"/>
    <n v="3"/>
    <s v="Fri, Mon, Tue"/>
    <n v="0"/>
    <n v="1"/>
    <n v="1"/>
    <n v="0"/>
    <n v="0"/>
    <n v="1"/>
    <n v="0"/>
    <b v="1"/>
    <s v="BodyBalance"/>
    <d v="1899-12-30T16:01:00"/>
    <d v="1899-12-30T16:50:00"/>
    <n v="49"/>
    <b v="1"/>
    <s v="Hanna"/>
  </r>
  <r>
    <n v="865"/>
    <s v="Erhard"/>
    <x v="1"/>
    <d v="1979-03-18T00:00:00"/>
    <s v="41-50"/>
    <n v="45"/>
    <x v="1"/>
    <n v="4"/>
    <s v="Mon, Sat, Thu, Tue"/>
    <n v="0"/>
    <n v="1"/>
    <n v="1"/>
    <n v="0"/>
    <n v="1"/>
    <n v="0"/>
    <n v="1"/>
    <b v="0"/>
    <m/>
    <d v="1899-12-30T11:19:00"/>
    <d v="1899-12-30T13:02:00"/>
    <n v="103"/>
    <b v="1"/>
    <s v="Hanna"/>
  </r>
  <r>
    <n v="866"/>
    <s v="Evangelia"/>
    <x v="0"/>
    <d v="2002-07-10T00:00:00"/>
    <s v="20-30"/>
    <n v="22"/>
    <x v="0"/>
    <n v="3"/>
    <s v="Mon, Sun, Tue"/>
    <n v="1"/>
    <n v="1"/>
    <n v="1"/>
    <n v="0"/>
    <n v="0"/>
    <n v="0"/>
    <n v="0"/>
    <b v="1"/>
    <s v="Zumba"/>
    <d v="1899-12-30T11:46:00"/>
    <d v="1899-12-30T13:45:00"/>
    <n v="119"/>
    <b v="1"/>
    <s v="Chantal"/>
  </r>
  <r>
    <n v="867"/>
    <s v="Anderea"/>
    <x v="0"/>
    <d v="1984-12-08T00:00:00"/>
    <s v="31-41"/>
    <n v="39"/>
    <x v="1"/>
    <n v="5"/>
    <s v="Fri, Mon, Sat, Thu, Tue"/>
    <n v="0"/>
    <n v="1"/>
    <n v="1"/>
    <n v="0"/>
    <n v="1"/>
    <n v="1"/>
    <n v="1"/>
    <b v="1"/>
    <s v="LesMiles, Running"/>
    <d v="1899-12-30T16:05:00"/>
    <d v="1899-12-30T16:59:00"/>
    <n v="54"/>
    <b v="1"/>
    <s v="Mike"/>
  </r>
  <r>
    <n v="868"/>
    <s v="Merlina"/>
    <x v="0"/>
    <d v="1979-02-03T00:00:00"/>
    <s v="41-50"/>
    <n v="45"/>
    <x v="1"/>
    <n v="2"/>
    <s v="Sat, Sun"/>
    <n v="1"/>
    <n v="0"/>
    <n v="0"/>
    <n v="0"/>
    <n v="0"/>
    <n v="0"/>
    <n v="1"/>
    <b v="1"/>
    <s v="BodyBalance, Spinning, BodyPump"/>
    <d v="1899-12-30T18:26:00"/>
    <d v="1899-12-30T19:45:00"/>
    <n v="79"/>
    <b v="1"/>
    <s v="Mike"/>
  </r>
  <r>
    <n v="869"/>
    <s v="Saba"/>
    <x v="0"/>
    <d v="2007-04-29T00:00:00"/>
    <s v="below 20"/>
    <n v="17"/>
    <x v="1"/>
    <n v="2"/>
    <s v="Sun, Tue"/>
    <n v="1"/>
    <n v="0"/>
    <n v="1"/>
    <n v="0"/>
    <n v="0"/>
    <n v="0"/>
    <n v="0"/>
    <b v="1"/>
    <s v="LesMiles"/>
    <d v="1899-12-30T12:09:00"/>
    <d v="1899-12-30T14:26:00"/>
    <n v="137"/>
    <b v="1"/>
    <s v="Mike"/>
  </r>
  <r>
    <n v="870"/>
    <s v="Chic"/>
    <x v="1"/>
    <d v="1989-10-13T00:00:00"/>
    <s v="31-41"/>
    <n v="34"/>
    <x v="1"/>
    <n v="2"/>
    <s v="Fri, Wed"/>
    <n v="0"/>
    <n v="0"/>
    <n v="0"/>
    <n v="1"/>
    <n v="0"/>
    <n v="1"/>
    <n v="0"/>
    <b v="1"/>
    <s v="HIT, XCore"/>
    <d v="1899-12-30T12:59:00"/>
    <d v="1899-12-30T13:31:00"/>
    <n v="32"/>
    <b v="0"/>
    <m/>
  </r>
  <r>
    <n v="871"/>
    <s v="Annora"/>
    <x v="0"/>
    <d v="1991-07-09T00:00:00"/>
    <s v="31-41"/>
    <n v="33"/>
    <x v="0"/>
    <n v="5"/>
    <s v="Mon, Sun, Thu, Tue, Wed"/>
    <n v="1"/>
    <n v="1"/>
    <n v="1"/>
    <n v="1"/>
    <n v="1"/>
    <n v="0"/>
    <n v="0"/>
    <b v="1"/>
    <s v="XCore"/>
    <d v="1899-12-30T12:21:00"/>
    <d v="1899-12-30T14:43:00"/>
    <n v="142"/>
    <b v="0"/>
    <m/>
  </r>
  <r>
    <n v="872"/>
    <s v="Brennen"/>
    <x v="1"/>
    <d v="2010-07-23T00:00:00"/>
    <s v="below 20"/>
    <n v="14"/>
    <x v="1"/>
    <n v="2"/>
    <s v="Thu, Wed"/>
    <n v="0"/>
    <n v="0"/>
    <n v="0"/>
    <n v="1"/>
    <n v="1"/>
    <n v="0"/>
    <n v="0"/>
    <b v="0"/>
    <m/>
    <d v="1899-12-30T09:46:00"/>
    <d v="1899-12-30T11:32:00"/>
    <n v="106"/>
    <b v="0"/>
    <m/>
  </r>
  <r>
    <n v="873"/>
    <s v="Harwilll"/>
    <x v="1"/>
    <d v="1984-05-26T00:00:00"/>
    <s v="31-41"/>
    <n v="40"/>
    <x v="1"/>
    <n v="1"/>
    <s v="Sat"/>
    <n v="0"/>
    <n v="0"/>
    <n v="0"/>
    <n v="0"/>
    <n v="0"/>
    <n v="0"/>
    <n v="1"/>
    <b v="0"/>
    <m/>
    <d v="1899-12-30T20:27:00"/>
    <d v="1899-12-30T22:32:00"/>
    <n v="125"/>
    <b v="0"/>
    <m/>
  </r>
  <r>
    <n v="874"/>
    <s v="Wini"/>
    <x v="0"/>
    <d v="2001-08-21T00:00:00"/>
    <s v="20-30"/>
    <n v="23"/>
    <x v="0"/>
    <n v="2"/>
    <s v="Sun, Thu"/>
    <n v="1"/>
    <n v="0"/>
    <n v="0"/>
    <n v="0"/>
    <n v="1"/>
    <n v="0"/>
    <n v="0"/>
    <b v="1"/>
    <s v="BodyBalance, LesMiles, Zumba"/>
    <d v="1899-12-30T14:42:00"/>
    <d v="1899-12-30T16:04:00"/>
    <n v="82"/>
    <b v="1"/>
    <s v="Jeffrey"/>
  </r>
  <r>
    <n v="875"/>
    <s v="Lester"/>
    <x v="1"/>
    <d v="2010-01-16T00:00:00"/>
    <s v="below 20"/>
    <n v="14"/>
    <x v="0"/>
    <n v="2"/>
    <s v="Sun, Thu"/>
    <n v="1"/>
    <n v="0"/>
    <n v="0"/>
    <n v="0"/>
    <n v="1"/>
    <n v="0"/>
    <n v="0"/>
    <b v="1"/>
    <s v="BodyPump, HIT"/>
    <d v="1899-12-30T13:45:00"/>
    <d v="1899-12-30T14:41:00"/>
    <n v="56"/>
    <b v="0"/>
    <m/>
  </r>
  <r>
    <n v="876"/>
    <s v="Ramona"/>
    <x v="0"/>
    <d v="2012-01-17T00:00:00"/>
    <s v="below 20"/>
    <n v="12"/>
    <x v="1"/>
    <n v="5"/>
    <s v="Fri, Mon, Sat, Sun, Thu"/>
    <n v="1"/>
    <n v="1"/>
    <n v="0"/>
    <n v="0"/>
    <n v="1"/>
    <n v="1"/>
    <n v="1"/>
    <b v="1"/>
    <s v="Running, XCore, LesMiles"/>
    <d v="1899-12-30T18:32:00"/>
    <d v="1899-12-30T20:19:00"/>
    <n v="107"/>
    <b v="0"/>
    <m/>
  </r>
  <r>
    <n v="877"/>
    <s v="Hobart"/>
    <x v="1"/>
    <d v="2009-05-07T00:00:00"/>
    <s v="below 20"/>
    <n v="15"/>
    <x v="1"/>
    <n v="2"/>
    <s v="Fri, Thu"/>
    <n v="0"/>
    <n v="0"/>
    <n v="0"/>
    <n v="0"/>
    <n v="1"/>
    <n v="1"/>
    <n v="0"/>
    <b v="0"/>
    <m/>
    <d v="1899-12-30T09:12:00"/>
    <d v="1899-12-30T10:54:00"/>
    <n v="102"/>
    <b v="1"/>
    <s v="Hanna"/>
  </r>
  <r>
    <n v="878"/>
    <s v="Elisa"/>
    <x v="0"/>
    <d v="2004-06-09T00:00:00"/>
    <s v="20-30"/>
    <n v="20"/>
    <x v="0"/>
    <n v="3"/>
    <s v="Fri, Sun, Thu"/>
    <n v="1"/>
    <n v="0"/>
    <n v="0"/>
    <n v="0"/>
    <n v="1"/>
    <n v="1"/>
    <n v="0"/>
    <b v="0"/>
    <m/>
    <d v="1899-12-30T14:04:00"/>
    <d v="1899-12-30T15:30:00"/>
    <n v="86"/>
    <b v="0"/>
    <m/>
  </r>
  <r>
    <n v="879"/>
    <s v="Lil"/>
    <x v="0"/>
    <d v="2002-12-22T00:00:00"/>
    <s v="20-30"/>
    <n v="21"/>
    <x v="0"/>
    <n v="3"/>
    <s v="Fri, Mon, Sat"/>
    <n v="0"/>
    <n v="1"/>
    <n v="0"/>
    <n v="0"/>
    <n v="0"/>
    <n v="1"/>
    <n v="1"/>
    <b v="0"/>
    <m/>
    <d v="1899-12-30T10:39:00"/>
    <d v="1899-12-30T11:32:00"/>
    <n v="53"/>
    <b v="1"/>
    <s v="Chantal"/>
  </r>
  <r>
    <n v="880"/>
    <s v="Ketti"/>
    <x v="0"/>
    <d v="1995-02-05T00:00:00"/>
    <s v="20-30"/>
    <n v="29"/>
    <x v="0"/>
    <n v="2"/>
    <s v="Fri, Sun"/>
    <n v="1"/>
    <n v="0"/>
    <n v="0"/>
    <n v="0"/>
    <n v="0"/>
    <n v="1"/>
    <n v="0"/>
    <b v="0"/>
    <m/>
    <d v="1899-12-30T11:02:00"/>
    <d v="1899-12-30T13:47:00"/>
    <n v="165"/>
    <b v="1"/>
    <s v="Chantal"/>
  </r>
  <r>
    <n v="881"/>
    <s v="Alexei"/>
    <x v="1"/>
    <d v="2000-09-22T00:00:00"/>
    <s v="20-30"/>
    <n v="24"/>
    <x v="1"/>
    <n v="3"/>
    <s v="Fri, Mon, Sat"/>
    <n v="0"/>
    <n v="1"/>
    <n v="0"/>
    <n v="0"/>
    <n v="0"/>
    <n v="1"/>
    <n v="1"/>
    <b v="0"/>
    <m/>
    <d v="1899-12-30T10:46:00"/>
    <d v="1899-12-30T12:00:00"/>
    <n v="74"/>
    <b v="1"/>
    <s v="Jeffrey"/>
  </r>
  <r>
    <n v="882"/>
    <s v="Johnna"/>
    <x v="0"/>
    <d v="1995-04-14T00:00:00"/>
    <s v="20-30"/>
    <n v="29"/>
    <x v="1"/>
    <n v="2"/>
    <s v="Mon, Thu"/>
    <n v="0"/>
    <n v="1"/>
    <n v="0"/>
    <n v="0"/>
    <n v="1"/>
    <n v="0"/>
    <n v="0"/>
    <b v="0"/>
    <m/>
    <d v="1899-12-30T15:39:00"/>
    <d v="1899-12-30T18:08:00"/>
    <n v="149"/>
    <b v="1"/>
    <s v="Hanna"/>
  </r>
  <r>
    <n v="883"/>
    <s v="Fan"/>
    <x v="0"/>
    <d v="2010-10-04T00:00:00"/>
    <s v="below 20"/>
    <n v="13"/>
    <x v="0"/>
    <n v="3"/>
    <s v="Sat, Thu, Tue"/>
    <n v="0"/>
    <n v="0"/>
    <n v="1"/>
    <n v="0"/>
    <n v="1"/>
    <n v="0"/>
    <n v="1"/>
    <b v="1"/>
    <s v="Spinning, XCore"/>
    <d v="1899-12-30T15:31:00"/>
    <d v="1899-12-30T17:52:00"/>
    <n v="141"/>
    <b v="0"/>
    <m/>
  </r>
  <r>
    <n v="884"/>
    <s v="Wayland"/>
    <x v="1"/>
    <d v="1975-06-21T00:00:00"/>
    <s v="41-50"/>
    <n v="49"/>
    <x v="1"/>
    <n v="1"/>
    <s v="Mon"/>
    <n v="0"/>
    <n v="1"/>
    <n v="0"/>
    <n v="0"/>
    <n v="0"/>
    <n v="0"/>
    <n v="0"/>
    <b v="1"/>
    <s v="HIT, LesMiles, XCore"/>
    <d v="1899-12-30T16:18:00"/>
    <d v="1899-12-30T17:50:00"/>
    <n v="92"/>
    <b v="0"/>
    <m/>
  </r>
  <r>
    <n v="885"/>
    <s v="Biddy"/>
    <x v="0"/>
    <d v="1987-08-04T00:00:00"/>
    <s v="31-41"/>
    <n v="37"/>
    <x v="1"/>
    <n v="3"/>
    <s v="Fri, Thu, Wed"/>
    <n v="0"/>
    <n v="0"/>
    <n v="0"/>
    <n v="1"/>
    <n v="1"/>
    <n v="1"/>
    <n v="0"/>
    <b v="0"/>
    <m/>
    <d v="1899-12-30T14:33:00"/>
    <d v="1899-12-30T16:10:00"/>
    <n v="97"/>
    <b v="0"/>
    <m/>
  </r>
  <r>
    <n v="886"/>
    <s v="Cathryn"/>
    <x v="0"/>
    <d v="2005-03-20T00:00:00"/>
    <s v="below 20"/>
    <n v="19"/>
    <x v="1"/>
    <n v="4"/>
    <s v="Sat, Sun, Tue, Wed"/>
    <n v="1"/>
    <n v="0"/>
    <n v="1"/>
    <n v="1"/>
    <n v="0"/>
    <n v="0"/>
    <n v="1"/>
    <b v="1"/>
    <s v="HIT, Running, Pilates"/>
    <d v="1899-12-30T15:47:00"/>
    <d v="1899-12-30T18:15:00"/>
    <n v="148"/>
    <b v="0"/>
    <m/>
  </r>
  <r>
    <n v="887"/>
    <s v="Cord"/>
    <x v="1"/>
    <d v="2000-10-24T00:00:00"/>
    <s v="20-30"/>
    <n v="23"/>
    <x v="0"/>
    <n v="2"/>
    <s v="Sat, Tue"/>
    <n v="0"/>
    <n v="0"/>
    <n v="1"/>
    <n v="0"/>
    <n v="0"/>
    <n v="0"/>
    <n v="1"/>
    <b v="0"/>
    <m/>
    <d v="1899-12-30T19:04:00"/>
    <d v="1899-12-30T19:56:00"/>
    <n v="52"/>
    <b v="0"/>
    <m/>
  </r>
  <r>
    <n v="888"/>
    <s v="Tiffi"/>
    <x v="0"/>
    <d v="1990-07-19T00:00:00"/>
    <s v="31-41"/>
    <n v="34"/>
    <x v="0"/>
    <n v="2"/>
    <s v="Mon, Tue"/>
    <n v="0"/>
    <n v="1"/>
    <n v="1"/>
    <n v="0"/>
    <n v="0"/>
    <n v="0"/>
    <n v="0"/>
    <b v="0"/>
    <m/>
    <d v="1899-12-30T17:02:00"/>
    <d v="1899-12-30T18:02:00"/>
    <n v="60"/>
    <b v="1"/>
    <s v="Mike"/>
  </r>
  <r>
    <n v="889"/>
    <s v="Wilt"/>
    <x v="1"/>
    <d v="2006-02-23T00:00:00"/>
    <s v="below 20"/>
    <n v="18"/>
    <x v="0"/>
    <n v="3"/>
    <s v="Fri, Sun, Tue"/>
    <n v="1"/>
    <n v="0"/>
    <n v="1"/>
    <n v="0"/>
    <n v="0"/>
    <n v="1"/>
    <n v="0"/>
    <b v="1"/>
    <s v="Spinning, Zumba, BodyPump"/>
    <d v="1899-12-30T11:41:00"/>
    <d v="1899-12-30T13:50:00"/>
    <n v="129"/>
    <b v="0"/>
    <m/>
  </r>
  <r>
    <n v="890"/>
    <s v="Gonzales"/>
    <x v="1"/>
    <d v="1997-08-28T00:00:00"/>
    <s v="20-30"/>
    <n v="27"/>
    <x v="0"/>
    <n v="3"/>
    <s v="Sat, Thu, Tue"/>
    <n v="0"/>
    <n v="0"/>
    <n v="1"/>
    <n v="0"/>
    <n v="1"/>
    <n v="0"/>
    <n v="1"/>
    <b v="0"/>
    <m/>
    <d v="1899-12-30T20:18:00"/>
    <d v="1899-12-30T21:06:00"/>
    <n v="48"/>
    <b v="1"/>
    <s v="Hanna"/>
  </r>
  <r>
    <n v="891"/>
    <s v="Hamilton"/>
    <x v="1"/>
    <d v="1977-09-19T00:00:00"/>
    <s v="41-50"/>
    <n v="47"/>
    <x v="0"/>
    <n v="5"/>
    <s v="Mon, Sat, Sun, Thu, Tue"/>
    <n v="1"/>
    <n v="1"/>
    <n v="1"/>
    <n v="0"/>
    <n v="1"/>
    <n v="0"/>
    <n v="1"/>
    <b v="0"/>
    <m/>
    <d v="1899-12-30T11:26:00"/>
    <d v="1899-12-30T14:16:00"/>
    <n v="170"/>
    <b v="0"/>
    <m/>
  </r>
  <r>
    <n v="892"/>
    <s v="Renard"/>
    <x v="1"/>
    <d v="1993-11-25T00:00:00"/>
    <s v="20-30"/>
    <n v="30"/>
    <x v="1"/>
    <n v="2"/>
    <s v="Fri, Sun"/>
    <n v="1"/>
    <n v="0"/>
    <n v="0"/>
    <n v="0"/>
    <n v="0"/>
    <n v="1"/>
    <n v="0"/>
    <b v="0"/>
    <m/>
    <d v="1899-12-30T12:22:00"/>
    <d v="1899-12-30T13:02:00"/>
    <n v="40"/>
    <b v="1"/>
    <s v="Mike"/>
  </r>
  <r>
    <n v="893"/>
    <s v="Borden"/>
    <x v="1"/>
    <d v="1984-09-13T00:00:00"/>
    <s v="31-41"/>
    <n v="40"/>
    <x v="0"/>
    <n v="2"/>
    <s v="Mon, Sat"/>
    <n v="0"/>
    <n v="1"/>
    <n v="0"/>
    <n v="0"/>
    <n v="0"/>
    <n v="0"/>
    <n v="1"/>
    <b v="1"/>
    <s v="Pilates, Kickboxen"/>
    <d v="1899-12-30T20:33:00"/>
    <d v="1899-12-30T21:04:00"/>
    <n v="31"/>
    <b v="1"/>
    <s v="Jeffrey"/>
  </r>
  <r>
    <n v="894"/>
    <s v="Eileen"/>
    <x v="0"/>
    <d v="2004-03-21T00:00:00"/>
    <s v="20-30"/>
    <n v="20"/>
    <x v="1"/>
    <n v="1"/>
    <s v="Fri"/>
    <n v="0"/>
    <n v="0"/>
    <n v="0"/>
    <n v="0"/>
    <n v="0"/>
    <n v="1"/>
    <n v="0"/>
    <b v="1"/>
    <s v="XCore"/>
    <d v="1899-12-30T15:06:00"/>
    <d v="1899-12-30T16:11:00"/>
    <n v="65"/>
    <b v="0"/>
    <m/>
  </r>
  <r>
    <n v="895"/>
    <s v="Robinet"/>
    <x v="1"/>
    <d v="1988-06-14T00:00:00"/>
    <s v="31-41"/>
    <n v="36"/>
    <x v="0"/>
    <n v="3"/>
    <s v="Sat, Tue, Wed"/>
    <n v="0"/>
    <n v="0"/>
    <n v="1"/>
    <n v="1"/>
    <n v="0"/>
    <n v="0"/>
    <n v="1"/>
    <b v="0"/>
    <m/>
    <d v="1899-12-30T16:53:00"/>
    <d v="1899-12-30T19:53:00"/>
    <n v="180"/>
    <b v="1"/>
    <s v="Hanna"/>
  </r>
  <r>
    <n v="896"/>
    <s v="Franni"/>
    <x v="0"/>
    <d v="1979-05-08T00:00:00"/>
    <s v="41-50"/>
    <n v="45"/>
    <x v="0"/>
    <n v="4"/>
    <s v="Mon, Sat, Sun, Wed"/>
    <n v="1"/>
    <n v="1"/>
    <n v="0"/>
    <n v="1"/>
    <n v="0"/>
    <n v="0"/>
    <n v="1"/>
    <b v="0"/>
    <m/>
    <d v="1899-12-30T10:05:00"/>
    <d v="1899-12-30T12:47:00"/>
    <n v="162"/>
    <b v="1"/>
    <s v="Hanna"/>
  </r>
  <r>
    <n v="897"/>
    <s v="Andra"/>
    <x v="0"/>
    <d v="1987-11-06T00:00:00"/>
    <s v="31-41"/>
    <n v="36"/>
    <x v="0"/>
    <n v="3"/>
    <s v="Fri, Tue, Wed"/>
    <n v="0"/>
    <n v="0"/>
    <n v="1"/>
    <n v="1"/>
    <n v="0"/>
    <n v="1"/>
    <n v="0"/>
    <b v="1"/>
    <s v="Pilates"/>
    <d v="1899-12-30T09:39:00"/>
    <d v="1899-12-30T10:11:00"/>
    <n v="32"/>
    <b v="0"/>
    <m/>
  </r>
  <r>
    <n v="898"/>
    <s v="Brandise"/>
    <x v="0"/>
    <d v="1987-10-27T00:00:00"/>
    <s v="31-41"/>
    <n v="36"/>
    <x v="0"/>
    <n v="1"/>
    <s v="Thu"/>
    <n v="0"/>
    <n v="0"/>
    <n v="0"/>
    <n v="0"/>
    <n v="1"/>
    <n v="0"/>
    <n v="0"/>
    <b v="0"/>
    <m/>
    <d v="1899-12-30T11:05:00"/>
    <d v="1899-12-30T12:52:00"/>
    <n v="107"/>
    <b v="0"/>
    <m/>
  </r>
  <r>
    <n v="899"/>
    <s v="Jeremie"/>
    <x v="1"/>
    <d v="2008-03-27T00:00:00"/>
    <s v="below 20"/>
    <n v="16"/>
    <x v="1"/>
    <n v="1"/>
    <s v="Sun"/>
    <n v="1"/>
    <n v="0"/>
    <n v="0"/>
    <n v="0"/>
    <n v="0"/>
    <n v="0"/>
    <n v="0"/>
    <b v="1"/>
    <s v="XCore, BodyBalance"/>
    <d v="1899-12-30T12:59:00"/>
    <d v="1899-12-30T13:59:00"/>
    <n v="60"/>
    <b v="0"/>
    <m/>
  </r>
  <r>
    <n v="900"/>
    <s v="Gretel"/>
    <x v="0"/>
    <d v="2000-07-08T00:00:00"/>
    <s v="20-30"/>
    <n v="24"/>
    <x v="1"/>
    <n v="3"/>
    <s v="Fri, Mon, Thu"/>
    <n v="0"/>
    <n v="1"/>
    <n v="0"/>
    <n v="0"/>
    <n v="1"/>
    <n v="1"/>
    <n v="0"/>
    <b v="0"/>
    <m/>
    <d v="1899-12-30T19:13:00"/>
    <d v="1899-12-30T21:33:00"/>
    <n v="140"/>
    <b v="1"/>
    <s v="Mike"/>
  </r>
  <r>
    <n v="901"/>
    <s v="Avivah"/>
    <x v="0"/>
    <d v="1988-05-27T00:00:00"/>
    <s v="31-41"/>
    <n v="36"/>
    <x v="0"/>
    <n v="1"/>
    <s v="Mon"/>
    <n v="0"/>
    <n v="1"/>
    <n v="0"/>
    <n v="0"/>
    <n v="0"/>
    <n v="0"/>
    <n v="0"/>
    <b v="0"/>
    <m/>
    <d v="1899-12-30T17:30:00"/>
    <d v="1899-12-30T19:27:00"/>
    <n v="117"/>
    <b v="0"/>
    <m/>
  </r>
  <r>
    <n v="902"/>
    <s v="Nadia"/>
    <x v="0"/>
    <d v="1984-01-14T00:00:00"/>
    <s v="31-41"/>
    <n v="40"/>
    <x v="1"/>
    <n v="1"/>
    <s v="Thu"/>
    <n v="0"/>
    <n v="0"/>
    <n v="0"/>
    <n v="0"/>
    <n v="1"/>
    <n v="0"/>
    <n v="0"/>
    <b v="1"/>
    <s v="BodyPump"/>
    <d v="1899-12-30T16:03:00"/>
    <d v="1899-12-30T17:10:00"/>
    <n v="67"/>
    <b v="0"/>
    <m/>
  </r>
  <r>
    <n v="903"/>
    <s v="Florry"/>
    <x v="0"/>
    <d v="1984-03-14T00:00:00"/>
    <s v="31-41"/>
    <n v="40"/>
    <x v="0"/>
    <n v="2"/>
    <s v="Sun, Wed"/>
    <n v="1"/>
    <n v="0"/>
    <n v="0"/>
    <n v="1"/>
    <n v="0"/>
    <n v="0"/>
    <n v="0"/>
    <b v="1"/>
    <s v="XCore"/>
    <d v="1899-12-30T19:07:00"/>
    <d v="1899-12-30T19:48:00"/>
    <n v="41"/>
    <b v="1"/>
    <s v="Jeffrey"/>
  </r>
  <r>
    <n v="904"/>
    <s v="Freddi"/>
    <x v="0"/>
    <d v="2010-01-10T00:00:00"/>
    <s v="below 20"/>
    <n v="14"/>
    <x v="0"/>
    <n v="2"/>
    <s v="Mon, Sun"/>
    <n v="1"/>
    <n v="1"/>
    <n v="0"/>
    <n v="0"/>
    <n v="0"/>
    <n v="0"/>
    <n v="0"/>
    <b v="0"/>
    <m/>
    <d v="1899-12-30T10:09:00"/>
    <d v="1899-12-30T11:22:00"/>
    <n v="73"/>
    <b v="1"/>
    <s v="Chantal"/>
  </r>
  <r>
    <n v="905"/>
    <s v="Marika"/>
    <x v="0"/>
    <d v="1991-08-29T00:00:00"/>
    <s v="31-41"/>
    <n v="33"/>
    <x v="0"/>
    <n v="1"/>
    <s v="Wed"/>
    <n v="0"/>
    <n v="0"/>
    <n v="0"/>
    <n v="1"/>
    <n v="0"/>
    <n v="0"/>
    <n v="0"/>
    <b v="0"/>
    <m/>
    <d v="1899-12-30T14:09:00"/>
    <d v="1899-12-30T16:47:00"/>
    <n v="158"/>
    <b v="0"/>
    <m/>
  </r>
  <r>
    <n v="906"/>
    <s v="Thorsten"/>
    <x v="1"/>
    <d v="1981-09-22T00:00:00"/>
    <s v="41-50"/>
    <n v="43"/>
    <x v="1"/>
    <n v="1"/>
    <s v="Sat"/>
    <n v="0"/>
    <n v="0"/>
    <n v="0"/>
    <n v="0"/>
    <n v="0"/>
    <n v="0"/>
    <n v="1"/>
    <b v="0"/>
    <m/>
    <d v="1899-12-30T09:22:00"/>
    <d v="1899-12-30T12:01:00"/>
    <n v="159"/>
    <b v="1"/>
    <s v="Mike"/>
  </r>
  <r>
    <n v="907"/>
    <s v="Stanislaus"/>
    <x v="1"/>
    <d v="1976-07-28T00:00:00"/>
    <s v="41-50"/>
    <n v="48"/>
    <x v="1"/>
    <n v="2"/>
    <s v="Mon, Tue"/>
    <n v="0"/>
    <n v="1"/>
    <n v="1"/>
    <n v="0"/>
    <n v="0"/>
    <n v="0"/>
    <n v="0"/>
    <b v="1"/>
    <s v="Zumba, XCore"/>
    <d v="1899-12-30T15:12:00"/>
    <d v="1899-12-30T17:43:00"/>
    <n v="151"/>
    <b v="0"/>
    <m/>
  </r>
  <r>
    <n v="908"/>
    <s v="Grazia"/>
    <x v="0"/>
    <d v="2012-03-22T00:00:00"/>
    <s v="below 20"/>
    <n v="12"/>
    <x v="1"/>
    <n v="5"/>
    <s v="Fri, Sat, Thu, Tue, Wed"/>
    <n v="0"/>
    <n v="0"/>
    <n v="1"/>
    <n v="1"/>
    <n v="1"/>
    <n v="1"/>
    <n v="1"/>
    <b v="0"/>
    <m/>
    <d v="1899-12-30T10:25:00"/>
    <d v="1899-12-30T12:49:00"/>
    <n v="144"/>
    <b v="0"/>
    <m/>
  </r>
  <r>
    <n v="909"/>
    <s v="Randy"/>
    <x v="1"/>
    <d v="1985-01-23T00:00:00"/>
    <s v="31-41"/>
    <n v="39"/>
    <x v="0"/>
    <n v="4"/>
    <s v="Fri, Sun, Tue, Wed"/>
    <n v="1"/>
    <n v="0"/>
    <n v="1"/>
    <n v="1"/>
    <n v="0"/>
    <n v="1"/>
    <n v="0"/>
    <b v="1"/>
    <s v="BodyBalance, LesMiles"/>
    <d v="1899-12-30T13:35:00"/>
    <d v="1899-12-30T15:53:00"/>
    <n v="138"/>
    <b v="1"/>
    <s v="Chantal"/>
  </r>
  <r>
    <n v="910"/>
    <s v="Urban"/>
    <x v="1"/>
    <d v="1994-09-05T00:00:00"/>
    <s v="20-30"/>
    <n v="30"/>
    <x v="0"/>
    <n v="3"/>
    <s v="Fri, Sat, Thu"/>
    <n v="0"/>
    <n v="0"/>
    <n v="0"/>
    <n v="0"/>
    <n v="1"/>
    <n v="1"/>
    <n v="1"/>
    <b v="1"/>
    <s v="Pilates, Spinning, Yoga"/>
    <d v="1899-12-30T11:09:00"/>
    <d v="1899-12-30T11:47:00"/>
    <n v="38"/>
    <b v="0"/>
    <m/>
  </r>
  <r>
    <n v="911"/>
    <s v="Fifine"/>
    <x v="0"/>
    <d v="2000-06-07T00:00:00"/>
    <s v="20-30"/>
    <n v="24"/>
    <x v="1"/>
    <n v="3"/>
    <s v="Mon, Sun, Wed"/>
    <n v="1"/>
    <n v="1"/>
    <n v="0"/>
    <n v="1"/>
    <n v="0"/>
    <n v="0"/>
    <n v="0"/>
    <b v="1"/>
    <s v="XCore, BodyPump, BodyBalance"/>
    <d v="1899-12-30T20:53:00"/>
    <d v="1899-12-30T23:46:00"/>
    <n v="173"/>
    <b v="0"/>
    <m/>
  </r>
  <r>
    <n v="912"/>
    <s v="Avivah"/>
    <x v="0"/>
    <d v="1977-08-19T00:00:00"/>
    <s v="41-50"/>
    <n v="47"/>
    <x v="1"/>
    <n v="1"/>
    <s v="Tue"/>
    <n v="0"/>
    <n v="0"/>
    <n v="1"/>
    <n v="0"/>
    <n v="0"/>
    <n v="0"/>
    <n v="0"/>
    <b v="0"/>
    <m/>
    <d v="1899-12-30T19:32:00"/>
    <d v="1899-12-30T21:51:00"/>
    <n v="139"/>
    <b v="0"/>
    <m/>
  </r>
  <r>
    <n v="913"/>
    <s v="Garv"/>
    <x v="1"/>
    <d v="1989-11-26T00:00:00"/>
    <s v="31-41"/>
    <n v="34"/>
    <x v="1"/>
    <n v="1"/>
    <s v="Wed"/>
    <n v="0"/>
    <n v="0"/>
    <n v="0"/>
    <n v="1"/>
    <n v="0"/>
    <n v="0"/>
    <n v="0"/>
    <b v="1"/>
    <s v="LesMiles, Yoga"/>
    <d v="1899-12-30T14:47:00"/>
    <d v="1899-12-30T17:18:00"/>
    <n v="151"/>
    <b v="0"/>
    <m/>
  </r>
  <r>
    <n v="914"/>
    <s v="Ker"/>
    <x v="1"/>
    <d v="1994-06-02T00:00:00"/>
    <s v="20-30"/>
    <n v="30"/>
    <x v="0"/>
    <n v="1"/>
    <s v="Mon"/>
    <n v="0"/>
    <n v="1"/>
    <n v="0"/>
    <n v="0"/>
    <n v="0"/>
    <n v="0"/>
    <n v="0"/>
    <b v="0"/>
    <m/>
    <d v="1899-12-30T17:41:00"/>
    <d v="1899-12-30T19:27:00"/>
    <n v="106"/>
    <b v="0"/>
    <m/>
  </r>
  <r>
    <n v="915"/>
    <s v="Chelsie"/>
    <x v="0"/>
    <d v="2001-04-12T00:00:00"/>
    <s v="20-30"/>
    <n v="23"/>
    <x v="1"/>
    <n v="1"/>
    <s v="Tue"/>
    <n v="0"/>
    <n v="0"/>
    <n v="1"/>
    <n v="0"/>
    <n v="0"/>
    <n v="0"/>
    <n v="0"/>
    <b v="1"/>
    <s v="Kickboxen"/>
    <d v="1899-12-30T19:00:00"/>
    <d v="1899-12-30T20:09:00"/>
    <n v="69"/>
    <b v="0"/>
    <m/>
  </r>
  <r>
    <n v="916"/>
    <s v="Zeke"/>
    <x v="1"/>
    <d v="2000-08-14T00:00:00"/>
    <s v="20-30"/>
    <n v="24"/>
    <x v="1"/>
    <n v="1"/>
    <s v="Wed"/>
    <n v="0"/>
    <n v="0"/>
    <n v="0"/>
    <n v="1"/>
    <n v="0"/>
    <n v="0"/>
    <n v="0"/>
    <b v="1"/>
    <s v="Kickboxen, XCore, Yoga"/>
    <d v="1899-12-30T15:05:00"/>
    <d v="1899-12-30T15:59:00"/>
    <n v="54"/>
    <b v="0"/>
    <m/>
  </r>
  <r>
    <n v="917"/>
    <s v="Ignaz"/>
    <x v="1"/>
    <d v="2011-06-28T00:00:00"/>
    <s v="below 20"/>
    <n v="13"/>
    <x v="1"/>
    <n v="2"/>
    <s v="Mon, Thu"/>
    <n v="0"/>
    <n v="1"/>
    <n v="0"/>
    <n v="0"/>
    <n v="1"/>
    <n v="0"/>
    <n v="0"/>
    <b v="0"/>
    <m/>
    <d v="1899-12-30T19:29:00"/>
    <d v="1899-12-30T20:09:00"/>
    <n v="40"/>
    <b v="0"/>
    <m/>
  </r>
  <r>
    <n v="918"/>
    <s v="Fayth"/>
    <x v="0"/>
    <d v="2006-05-28T00:00:00"/>
    <s v="below 20"/>
    <n v="18"/>
    <x v="1"/>
    <n v="4"/>
    <s v="Mon, Sat, Sun, Tue"/>
    <n v="1"/>
    <n v="1"/>
    <n v="1"/>
    <n v="0"/>
    <n v="0"/>
    <n v="0"/>
    <n v="1"/>
    <b v="0"/>
    <m/>
    <d v="1899-12-30T11:23:00"/>
    <d v="1899-12-30T13:36:00"/>
    <n v="133"/>
    <b v="0"/>
    <m/>
  </r>
  <r>
    <n v="919"/>
    <s v="Devlin"/>
    <x v="1"/>
    <d v="1979-07-23T00:00:00"/>
    <s v="41-50"/>
    <n v="45"/>
    <x v="0"/>
    <n v="5"/>
    <s v="Sat, Sun, Thu, Tue, Wed"/>
    <n v="1"/>
    <n v="0"/>
    <n v="1"/>
    <n v="1"/>
    <n v="1"/>
    <n v="0"/>
    <n v="1"/>
    <b v="0"/>
    <m/>
    <d v="1899-12-30T19:43:00"/>
    <d v="1899-12-30T20:31:00"/>
    <n v="48"/>
    <b v="0"/>
    <m/>
  </r>
  <r>
    <n v="920"/>
    <s v="Angelique"/>
    <x v="0"/>
    <d v="1983-02-20T00:00:00"/>
    <s v="41-50"/>
    <n v="41"/>
    <x v="1"/>
    <n v="1"/>
    <s v="Fri"/>
    <n v="0"/>
    <n v="0"/>
    <n v="0"/>
    <n v="0"/>
    <n v="0"/>
    <n v="1"/>
    <n v="0"/>
    <b v="0"/>
    <m/>
    <d v="1899-12-30T10:23:00"/>
    <d v="1899-12-30T11:45:00"/>
    <n v="82"/>
    <b v="0"/>
    <m/>
  </r>
  <r>
    <n v="921"/>
    <s v="Fredi"/>
    <x v="0"/>
    <d v="2011-02-04T00:00:00"/>
    <s v="below 20"/>
    <n v="13"/>
    <x v="0"/>
    <n v="1"/>
    <s v="Fri"/>
    <n v="0"/>
    <n v="0"/>
    <n v="0"/>
    <n v="0"/>
    <n v="0"/>
    <n v="1"/>
    <n v="0"/>
    <b v="1"/>
    <s v="BodyPump"/>
    <d v="1899-12-30T12:39:00"/>
    <d v="1899-12-30T13:25:00"/>
    <n v="46"/>
    <b v="0"/>
    <m/>
  </r>
  <r>
    <n v="922"/>
    <s v="Vida"/>
    <x v="0"/>
    <d v="1989-11-29T00:00:00"/>
    <s v="31-41"/>
    <n v="34"/>
    <x v="1"/>
    <n v="1"/>
    <s v="Thu"/>
    <n v="0"/>
    <n v="0"/>
    <n v="0"/>
    <n v="0"/>
    <n v="1"/>
    <n v="0"/>
    <n v="0"/>
    <b v="1"/>
    <s v="BodyBalance, XCore, Kickboxen"/>
    <d v="1899-12-30T10:28:00"/>
    <d v="1899-12-30T13:04:00"/>
    <n v="156"/>
    <b v="1"/>
    <s v="Chantal"/>
  </r>
  <r>
    <n v="923"/>
    <s v="Devondra"/>
    <x v="0"/>
    <d v="1981-09-05T00:00:00"/>
    <s v="41-50"/>
    <n v="43"/>
    <x v="1"/>
    <n v="1"/>
    <s v="Wed"/>
    <n v="0"/>
    <n v="0"/>
    <n v="0"/>
    <n v="1"/>
    <n v="0"/>
    <n v="0"/>
    <n v="0"/>
    <b v="0"/>
    <m/>
    <d v="1899-12-30T15:04:00"/>
    <d v="1899-12-30T15:57:00"/>
    <n v="53"/>
    <b v="1"/>
    <s v="Jeffrey"/>
  </r>
  <r>
    <n v="924"/>
    <s v="Carling"/>
    <x v="1"/>
    <d v="1985-05-11T00:00:00"/>
    <s v="31-41"/>
    <n v="39"/>
    <x v="0"/>
    <n v="2"/>
    <s v="Sat, Tue"/>
    <n v="0"/>
    <n v="0"/>
    <n v="1"/>
    <n v="0"/>
    <n v="0"/>
    <n v="0"/>
    <n v="1"/>
    <b v="0"/>
    <m/>
    <d v="1899-12-30T17:57:00"/>
    <d v="1899-12-30T20:14:00"/>
    <n v="137"/>
    <b v="1"/>
    <s v="Jeffrey"/>
  </r>
  <r>
    <n v="925"/>
    <s v="Perle"/>
    <x v="0"/>
    <d v="2011-08-16T00:00:00"/>
    <s v="below 20"/>
    <n v="13"/>
    <x v="0"/>
    <n v="3"/>
    <s v="Fri, Sat, Wed"/>
    <n v="0"/>
    <n v="0"/>
    <n v="0"/>
    <n v="1"/>
    <n v="0"/>
    <n v="1"/>
    <n v="1"/>
    <b v="1"/>
    <s v="BodyPump, Pilates"/>
    <d v="1899-12-30T13:47:00"/>
    <d v="1899-12-30T16:32:00"/>
    <n v="165"/>
    <b v="0"/>
    <m/>
  </r>
  <r>
    <n v="926"/>
    <s v="Gerick"/>
    <x v="1"/>
    <d v="2001-11-09T00:00:00"/>
    <s v="20-30"/>
    <n v="22"/>
    <x v="1"/>
    <n v="5"/>
    <s v="Fri, Mon, Thu, Tue, Wed"/>
    <n v="0"/>
    <n v="1"/>
    <n v="1"/>
    <n v="1"/>
    <n v="1"/>
    <n v="1"/>
    <n v="0"/>
    <b v="0"/>
    <m/>
    <d v="1899-12-30T09:16:00"/>
    <d v="1899-12-30T10:27:00"/>
    <n v="71"/>
    <b v="1"/>
    <s v="Chantal"/>
  </r>
  <r>
    <n v="927"/>
    <s v="Tye"/>
    <x v="1"/>
    <d v="2001-03-13T00:00:00"/>
    <s v="20-30"/>
    <n v="23"/>
    <x v="1"/>
    <n v="3"/>
    <s v="Mon, Sat, Sun"/>
    <n v="1"/>
    <n v="1"/>
    <n v="0"/>
    <n v="0"/>
    <n v="0"/>
    <n v="0"/>
    <n v="1"/>
    <b v="1"/>
    <s v="Spinning, XCore"/>
    <d v="1899-12-30T10:03:00"/>
    <d v="1899-12-30T11:32:00"/>
    <n v="89"/>
    <b v="1"/>
    <s v="Hanna"/>
  </r>
  <r>
    <n v="928"/>
    <s v="Pamela"/>
    <x v="0"/>
    <d v="1987-09-17T00:00:00"/>
    <s v="31-41"/>
    <n v="37"/>
    <x v="0"/>
    <n v="3"/>
    <s v="Fri, Sat, Tue"/>
    <n v="0"/>
    <n v="0"/>
    <n v="1"/>
    <n v="0"/>
    <n v="0"/>
    <n v="1"/>
    <n v="1"/>
    <b v="0"/>
    <m/>
    <d v="1899-12-30T17:33:00"/>
    <d v="1899-12-30T18:46:00"/>
    <n v="73"/>
    <b v="0"/>
    <m/>
  </r>
  <r>
    <n v="929"/>
    <s v="Aldous"/>
    <x v="1"/>
    <d v="1994-11-07T00:00:00"/>
    <s v="20-30"/>
    <n v="29"/>
    <x v="0"/>
    <n v="5"/>
    <s v="Fri, Mon, Sat, Tue, Wed"/>
    <n v="0"/>
    <n v="1"/>
    <n v="1"/>
    <n v="1"/>
    <n v="0"/>
    <n v="1"/>
    <n v="1"/>
    <b v="1"/>
    <s v="Pilates, Zumba, LesMiles"/>
    <d v="1899-12-30T09:38:00"/>
    <d v="1899-12-30T10:54:00"/>
    <n v="76"/>
    <b v="0"/>
    <m/>
  </r>
  <r>
    <n v="930"/>
    <s v="Vita"/>
    <x v="0"/>
    <d v="2001-08-15T00:00:00"/>
    <s v="20-30"/>
    <n v="23"/>
    <x v="0"/>
    <n v="5"/>
    <s v="Fri, Mon, Sat, Thu, Wed"/>
    <n v="0"/>
    <n v="1"/>
    <n v="0"/>
    <n v="1"/>
    <n v="1"/>
    <n v="1"/>
    <n v="1"/>
    <b v="0"/>
    <m/>
    <d v="1899-12-30T13:57:00"/>
    <d v="1899-12-30T14:44:00"/>
    <n v="47"/>
    <b v="0"/>
    <m/>
  </r>
  <r>
    <n v="931"/>
    <s v="Dori"/>
    <x v="0"/>
    <d v="2001-09-20T00:00:00"/>
    <s v="20-30"/>
    <n v="23"/>
    <x v="1"/>
    <n v="5"/>
    <s v="Fri, Mon, Sat, Sun, Wed"/>
    <n v="1"/>
    <n v="1"/>
    <n v="0"/>
    <n v="1"/>
    <n v="0"/>
    <n v="1"/>
    <n v="1"/>
    <b v="0"/>
    <m/>
    <d v="1899-12-30T16:33:00"/>
    <d v="1899-12-30T17:57:00"/>
    <n v="84"/>
    <b v="0"/>
    <m/>
  </r>
  <r>
    <n v="932"/>
    <s v="Francklin"/>
    <x v="1"/>
    <d v="1997-03-28T00:00:00"/>
    <s v="20-30"/>
    <n v="27"/>
    <x v="0"/>
    <n v="3"/>
    <s v="Mon, Sat, Wed"/>
    <n v="0"/>
    <n v="1"/>
    <n v="0"/>
    <n v="1"/>
    <n v="0"/>
    <n v="0"/>
    <n v="1"/>
    <b v="1"/>
    <s v="Yoga, Kickboxen, Spinning"/>
    <d v="1899-12-30T10:48:00"/>
    <d v="1899-12-30T12:12:00"/>
    <n v="84"/>
    <b v="0"/>
    <m/>
  </r>
  <r>
    <n v="933"/>
    <s v="Tiertza"/>
    <x v="0"/>
    <d v="2009-07-08T00:00:00"/>
    <s v="below 20"/>
    <n v="15"/>
    <x v="0"/>
    <n v="1"/>
    <s v="Tue"/>
    <n v="0"/>
    <n v="0"/>
    <n v="1"/>
    <n v="0"/>
    <n v="0"/>
    <n v="0"/>
    <n v="0"/>
    <b v="1"/>
    <s v="BodyPump, Zumba, Yoga"/>
    <d v="1899-12-30T19:06:00"/>
    <d v="1899-12-30T19:37:00"/>
    <n v="31"/>
    <b v="1"/>
    <s v="Mike"/>
  </r>
  <r>
    <n v="934"/>
    <s v="Dionis"/>
    <x v="0"/>
    <d v="1983-02-25T00:00:00"/>
    <s v="41-50"/>
    <n v="41"/>
    <x v="0"/>
    <n v="5"/>
    <s v="Fri, Sat, Sun, Thu, Wed"/>
    <n v="1"/>
    <n v="0"/>
    <n v="0"/>
    <n v="1"/>
    <n v="1"/>
    <n v="1"/>
    <n v="1"/>
    <b v="0"/>
    <m/>
    <d v="1899-12-30T13:53:00"/>
    <d v="1899-12-30T16:01:00"/>
    <n v="128"/>
    <b v="0"/>
    <m/>
  </r>
  <r>
    <n v="935"/>
    <s v="Mariam"/>
    <x v="0"/>
    <d v="2009-05-29T00:00:00"/>
    <s v="below 20"/>
    <n v="15"/>
    <x v="1"/>
    <n v="2"/>
    <s v="Sat, Tue"/>
    <n v="0"/>
    <n v="0"/>
    <n v="1"/>
    <n v="0"/>
    <n v="0"/>
    <n v="0"/>
    <n v="1"/>
    <b v="0"/>
    <m/>
    <d v="1899-12-30T12:35:00"/>
    <d v="1899-12-30T14:56:00"/>
    <n v="141"/>
    <b v="0"/>
    <m/>
  </r>
  <r>
    <n v="936"/>
    <s v="Briano"/>
    <x v="1"/>
    <d v="2010-12-06T00:00:00"/>
    <s v="below 20"/>
    <n v="13"/>
    <x v="0"/>
    <n v="3"/>
    <s v="Sun, Tue, Wed"/>
    <n v="1"/>
    <n v="0"/>
    <n v="1"/>
    <n v="1"/>
    <n v="0"/>
    <n v="0"/>
    <n v="0"/>
    <b v="1"/>
    <s v="BodyPump, Kickboxen, Running"/>
    <d v="1899-12-30T15:31:00"/>
    <d v="1899-12-30T18:26:00"/>
    <n v="175"/>
    <b v="0"/>
    <m/>
  </r>
  <r>
    <n v="937"/>
    <s v="Parsifal"/>
    <x v="1"/>
    <d v="1975-08-05T00:00:00"/>
    <s v="41-50"/>
    <n v="49"/>
    <x v="0"/>
    <n v="3"/>
    <s v="Fri, Sun, Wed"/>
    <n v="1"/>
    <n v="0"/>
    <n v="0"/>
    <n v="1"/>
    <n v="0"/>
    <n v="1"/>
    <n v="0"/>
    <b v="1"/>
    <s v="Zumba, BodyBalance"/>
    <d v="1899-12-30T10:55:00"/>
    <d v="1899-12-30T13:53:00"/>
    <n v="178"/>
    <b v="0"/>
    <m/>
  </r>
  <r>
    <n v="938"/>
    <s v="Merle"/>
    <x v="1"/>
    <d v="1992-10-11T00:00:00"/>
    <s v="31-41"/>
    <n v="31"/>
    <x v="1"/>
    <n v="3"/>
    <s v="Fri, Thu, Wed"/>
    <n v="0"/>
    <n v="0"/>
    <n v="0"/>
    <n v="1"/>
    <n v="1"/>
    <n v="1"/>
    <n v="0"/>
    <b v="1"/>
    <s v="Yoga"/>
    <d v="1899-12-30T09:57:00"/>
    <d v="1899-12-30T11:18:00"/>
    <n v="81"/>
    <b v="1"/>
    <s v="Mike"/>
  </r>
  <r>
    <n v="939"/>
    <s v="Carlen"/>
    <x v="0"/>
    <d v="1981-10-08T00:00:00"/>
    <s v="41-50"/>
    <n v="42"/>
    <x v="0"/>
    <n v="5"/>
    <s v="Fri, Mon, Sat, Sun, Wed"/>
    <n v="1"/>
    <n v="1"/>
    <n v="0"/>
    <n v="1"/>
    <n v="0"/>
    <n v="1"/>
    <n v="1"/>
    <b v="0"/>
    <m/>
    <d v="1899-12-30T12:50:00"/>
    <d v="1899-12-30T14:10:00"/>
    <n v="80"/>
    <b v="1"/>
    <s v="Jeffrey"/>
  </r>
  <r>
    <n v="940"/>
    <s v="Beatriz"/>
    <x v="0"/>
    <d v="1991-06-21T00:00:00"/>
    <s v="31-41"/>
    <n v="33"/>
    <x v="0"/>
    <n v="2"/>
    <s v="Sat, Wed"/>
    <n v="0"/>
    <n v="0"/>
    <n v="0"/>
    <n v="1"/>
    <n v="0"/>
    <n v="0"/>
    <n v="1"/>
    <b v="1"/>
    <s v="BodyBalance, Spinning, Running"/>
    <d v="1899-12-30T20:25:00"/>
    <d v="1899-12-30T21:05:00"/>
    <n v="40"/>
    <b v="0"/>
    <m/>
  </r>
  <r>
    <n v="941"/>
    <s v="Matias"/>
    <x v="1"/>
    <d v="1978-12-21T00:00:00"/>
    <s v="41-50"/>
    <n v="45"/>
    <x v="0"/>
    <n v="3"/>
    <s v="Fri, Thu, Tue"/>
    <n v="0"/>
    <n v="0"/>
    <n v="1"/>
    <n v="0"/>
    <n v="1"/>
    <n v="1"/>
    <n v="0"/>
    <b v="0"/>
    <m/>
    <d v="1899-12-30T10:21:00"/>
    <d v="1899-12-30T11:18:00"/>
    <n v="57"/>
    <b v="1"/>
    <s v="Hanna"/>
  </r>
  <r>
    <n v="942"/>
    <s v="Lindon"/>
    <x v="1"/>
    <d v="1981-03-08T00:00:00"/>
    <s v="41-50"/>
    <n v="43"/>
    <x v="1"/>
    <n v="3"/>
    <s v="Mon, Thu, Tue"/>
    <n v="0"/>
    <n v="1"/>
    <n v="1"/>
    <n v="0"/>
    <n v="1"/>
    <n v="0"/>
    <n v="0"/>
    <b v="0"/>
    <m/>
    <d v="1899-12-30T10:47:00"/>
    <d v="1899-12-30T13:10:00"/>
    <n v="143"/>
    <b v="1"/>
    <s v="Mike"/>
  </r>
  <r>
    <n v="943"/>
    <s v="Ransell"/>
    <x v="1"/>
    <d v="1984-02-22T00:00:00"/>
    <s v="31-41"/>
    <n v="40"/>
    <x v="1"/>
    <n v="3"/>
    <s v="Fri, Mon, Thu"/>
    <n v="0"/>
    <n v="1"/>
    <n v="0"/>
    <n v="0"/>
    <n v="1"/>
    <n v="1"/>
    <n v="0"/>
    <b v="0"/>
    <m/>
    <d v="1899-12-30T11:58:00"/>
    <d v="1899-12-30T14:33:00"/>
    <n v="155"/>
    <b v="1"/>
    <s v="Mike"/>
  </r>
  <r>
    <n v="944"/>
    <s v="Marty"/>
    <x v="0"/>
    <d v="1993-09-29T00:00:00"/>
    <s v="31-41"/>
    <n v="31"/>
    <x v="1"/>
    <n v="5"/>
    <s v="Fri, Sat, Sun, Tue, Wed"/>
    <n v="1"/>
    <n v="0"/>
    <n v="1"/>
    <n v="1"/>
    <n v="0"/>
    <n v="1"/>
    <n v="1"/>
    <b v="0"/>
    <m/>
    <d v="1899-12-30T09:41:00"/>
    <d v="1899-12-30T11:03:00"/>
    <n v="82"/>
    <b v="1"/>
    <s v="Chantal"/>
  </r>
  <r>
    <n v="945"/>
    <s v="Doris"/>
    <x v="0"/>
    <d v="1975-11-29T00:00:00"/>
    <s v="41-50"/>
    <n v="48"/>
    <x v="1"/>
    <n v="2"/>
    <s v="Fri, Wed"/>
    <n v="0"/>
    <n v="0"/>
    <n v="0"/>
    <n v="1"/>
    <n v="0"/>
    <n v="1"/>
    <n v="0"/>
    <b v="0"/>
    <m/>
    <d v="1899-12-30T17:14:00"/>
    <d v="1899-12-30T20:08:00"/>
    <n v="174"/>
    <b v="1"/>
    <s v="Jeffrey"/>
  </r>
  <r>
    <n v="946"/>
    <s v="Fidelio"/>
    <x v="1"/>
    <d v="2003-02-14T00:00:00"/>
    <s v="20-30"/>
    <n v="21"/>
    <x v="0"/>
    <n v="3"/>
    <s v="Mon, Sat, Sun"/>
    <n v="1"/>
    <n v="1"/>
    <n v="0"/>
    <n v="0"/>
    <n v="0"/>
    <n v="0"/>
    <n v="1"/>
    <b v="0"/>
    <m/>
    <d v="1899-12-30T13:49:00"/>
    <d v="1899-12-30T16:45:00"/>
    <n v="176"/>
    <b v="1"/>
    <s v="Hanna"/>
  </r>
  <r>
    <n v="947"/>
    <s v="Elladine"/>
    <x v="0"/>
    <d v="2006-07-10T00:00:00"/>
    <s v="below 20"/>
    <n v="18"/>
    <x v="1"/>
    <n v="4"/>
    <s v="Fri, Mon, Thu, Tue"/>
    <n v="0"/>
    <n v="1"/>
    <n v="1"/>
    <n v="0"/>
    <n v="1"/>
    <n v="1"/>
    <n v="0"/>
    <b v="0"/>
    <m/>
    <d v="1899-12-30T09:42:00"/>
    <d v="1899-12-30T11:42:00"/>
    <n v="120"/>
    <b v="1"/>
    <s v="Mike"/>
  </r>
  <r>
    <n v="948"/>
    <s v="Hanna"/>
    <x v="0"/>
    <d v="2000-03-27T00:00:00"/>
    <s v="20-30"/>
    <n v="24"/>
    <x v="0"/>
    <n v="2"/>
    <s v="Sat, Sun"/>
    <n v="1"/>
    <n v="0"/>
    <n v="0"/>
    <n v="0"/>
    <n v="0"/>
    <n v="0"/>
    <n v="1"/>
    <b v="1"/>
    <s v="Spinning, HIT, Kickboxen"/>
    <d v="1899-12-30T11:39:00"/>
    <d v="1899-12-30T12:11:00"/>
    <n v="32"/>
    <b v="0"/>
    <m/>
  </r>
  <r>
    <n v="949"/>
    <s v="Nathanael"/>
    <x v="1"/>
    <d v="1990-07-08T00:00:00"/>
    <s v="31-41"/>
    <n v="34"/>
    <x v="1"/>
    <n v="2"/>
    <s v="Sun, Tue"/>
    <n v="1"/>
    <n v="0"/>
    <n v="1"/>
    <n v="0"/>
    <n v="0"/>
    <n v="0"/>
    <n v="0"/>
    <b v="0"/>
    <m/>
    <d v="1899-12-30T17:01:00"/>
    <d v="1899-12-30T18:10:00"/>
    <n v="69"/>
    <b v="1"/>
    <s v="Hanna"/>
  </r>
  <r>
    <n v="950"/>
    <s v="Karyn"/>
    <x v="0"/>
    <d v="2001-10-31T00:00:00"/>
    <s v="20-30"/>
    <n v="22"/>
    <x v="1"/>
    <n v="5"/>
    <s v="Fri, Mon, Sat, Tue, Wed"/>
    <n v="0"/>
    <n v="1"/>
    <n v="1"/>
    <n v="1"/>
    <n v="0"/>
    <n v="1"/>
    <n v="1"/>
    <b v="1"/>
    <s v="Running"/>
    <d v="1899-12-30T15:44:00"/>
    <d v="1899-12-30T17:40:00"/>
    <n v="116"/>
    <b v="1"/>
    <s v="Chantal"/>
  </r>
  <r>
    <n v="951"/>
    <s v="Grayce"/>
    <x v="0"/>
    <d v="2002-11-03T00:00:00"/>
    <s v="20-30"/>
    <n v="21"/>
    <x v="0"/>
    <n v="5"/>
    <s v="Fri, Mon, Sat, Sun, Tue"/>
    <n v="1"/>
    <n v="1"/>
    <n v="1"/>
    <n v="0"/>
    <n v="0"/>
    <n v="1"/>
    <n v="1"/>
    <b v="1"/>
    <s v="HIT, Yoga"/>
    <d v="1899-12-30T11:36:00"/>
    <d v="1899-12-30T13:43:00"/>
    <n v="127"/>
    <b v="0"/>
    <m/>
  </r>
  <r>
    <n v="952"/>
    <s v="Ricky"/>
    <x v="1"/>
    <d v="1982-03-09T00:00:00"/>
    <s v="41-50"/>
    <n v="42"/>
    <x v="1"/>
    <n v="4"/>
    <s v="Mon, Sat, Sun, Wed"/>
    <n v="1"/>
    <n v="1"/>
    <n v="0"/>
    <n v="1"/>
    <n v="0"/>
    <n v="0"/>
    <n v="1"/>
    <b v="1"/>
    <s v="Zumba"/>
    <d v="1899-12-30T19:21:00"/>
    <d v="1899-12-30T20:16:00"/>
    <n v="55"/>
    <b v="1"/>
    <s v="Chantal"/>
  </r>
  <r>
    <n v="953"/>
    <s v="Jacquenetta"/>
    <x v="0"/>
    <d v="1977-06-25T00:00:00"/>
    <s v="41-50"/>
    <n v="47"/>
    <x v="1"/>
    <n v="2"/>
    <s v="Sat, Tue"/>
    <n v="0"/>
    <n v="0"/>
    <n v="1"/>
    <n v="0"/>
    <n v="0"/>
    <n v="0"/>
    <n v="1"/>
    <b v="1"/>
    <s v="BodyPump, Spinning"/>
    <d v="1899-12-30T18:47:00"/>
    <d v="1899-12-30T20:15:00"/>
    <n v="88"/>
    <b v="0"/>
    <m/>
  </r>
  <r>
    <n v="954"/>
    <s v="Ivor"/>
    <x v="1"/>
    <d v="1979-12-10T00:00:00"/>
    <s v="41-50"/>
    <n v="44"/>
    <x v="0"/>
    <n v="5"/>
    <s v="Fri, Sat, Thu, Tue, Wed"/>
    <n v="0"/>
    <n v="0"/>
    <n v="1"/>
    <n v="1"/>
    <n v="1"/>
    <n v="1"/>
    <n v="1"/>
    <b v="1"/>
    <s v="HIT, Pilates, Yoga"/>
    <d v="1899-12-30T15:27:00"/>
    <d v="1899-12-30T17:26:00"/>
    <n v="119"/>
    <b v="1"/>
    <s v="Mike"/>
  </r>
  <r>
    <n v="955"/>
    <s v="Menard"/>
    <x v="1"/>
    <d v="1986-01-23T00:00:00"/>
    <s v="31-41"/>
    <n v="38"/>
    <x v="1"/>
    <n v="3"/>
    <s v="Fri, Mon, Sat"/>
    <n v="0"/>
    <n v="1"/>
    <n v="0"/>
    <n v="0"/>
    <n v="0"/>
    <n v="1"/>
    <n v="1"/>
    <b v="1"/>
    <s v="BodyBalance, HIT"/>
    <d v="1899-12-30T12:46:00"/>
    <d v="1899-12-30T13:23:00"/>
    <n v="37"/>
    <b v="1"/>
    <s v="Mike"/>
  </r>
  <r>
    <n v="956"/>
    <s v="Lucia"/>
    <x v="0"/>
    <d v="2010-08-27T00:00:00"/>
    <s v="below 20"/>
    <n v="14"/>
    <x v="0"/>
    <n v="2"/>
    <s v="Fri, Sat"/>
    <n v="0"/>
    <n v="0"/>
    <n v="0"/>
    <n v="0"/>
    <n v="0"/>
    <n v="1"/>
    <n v="1"/>
    <b v="1"/>
    <s v="Kickboxen, HIT, Running"/>
    <d v="1899-12-30T14:18:00"/>
    <d v="1899-12-30T15:35:00"/>
    <n v="77"/>
    <b v="0"/>
    <m/>
  </r>
  <r>
    <n v="957"/>
    <s v="Thomasin"/>
    <x v="0"/>
    <d v="2005-07-14T00:00:00"/>
    <s v="below 20"/>
    <n v="19"/>
    <x v="0"/>
    <n v="3"/>
    <s v="Fri, Tue, Wed"/>
    <n v="0"/>
    <n v="0"/>
    <n v="1"/>
    <n v="1"/>
    <n v="0"/>
    <n v="1"/>
    <n v="0"/>
    <b v="0"/>
    <m/>
    <d v="1899-12-30T17:43:00"/>
    <d v="1899-12-30T19:15:00"/>
    <n v="92"/>
    <b v="1"/>
    <s v="Mike"/>
  </r>
  <r>
    <n v="958"/>
    <s v="Doroteya"/>
    <x v="0"/>
    <d v="2010-03-25T00:00:00"/>
    <s v="below 20"/>
    <n v="14"/>
    <x v="1"/>
    <n v="3"/>
    <s v="Sat, Sun, Tue"/>
    <n v="1"/>
    <n v="0"/>
    <n v="1"/>
    <n v="0"/>
    <n v="0"/>
    <n v="0"/>
    <n v="1"/>
    <b v="1"/>
    <s v="Yoga, HIT, Spinning"/>
    <d v="1899-12-30T13:59:00"/>
    <d v="1899-12-30T15:43:00"/>
    <n v="104"/>
    <b v="0"/>
    <m/>
  </r>
  <r>
    <n v="959"/>
    <s v="Gunilla"/>
    <x v="0"/>
    <d v="2003-04-12T00:00:00"/>
    <s v="20-30"/>
    <n v="21"/>
    <x v="0"/>
    <n v="3"/>
    <s v="Sat, Thu, Tue"/>
    <n v="0"/>
    <n v="0"/>
    <n v="1"/>
    <n v="0"/>
    <n v="1"/>
    <n v="0"/>
    <n v="1"/>
    <b v="0"/>
    <m/>
    <d v="1899-12-30T09:22:00"/>
    <d v="1899-12-30T12:12:00"/>
    <n v="170"/>
    <b v="1"/>
    <s v="Hanna"/>
  </r>
  <r>
    <n v="960"/>
    <s v="Brenn"/>
    <x v="0"/>
    <d v="1993-02-23T00:00:00"/>
    <s v="31-41"/>
    <n v="31"/>
    <x v="1"/>
    <n v="3"/>
    <s v="Fri, Tue, Wed"/>
    <n v="0"/>
    <n v="0"/>
    <n v="1"/>
    <n v="1"/>
    <n v="0"/>
    <n v="1"/>
    <n v="0"/>
    <b v="0"/>
    <m/>
    <d v="1899-12-30T10:14:00"/>
    <d v="1899-12-30T11:26:00"/>
    <n v="72"/>
    <b v="1"/>
    <s v="Chantal"/>
  </r>
  <r>
    <n v="961"/>
    <s v="Kellen"/>
    <x v="0"/>
    <d v="1990-12-24T00:00:00"/>
    <s v="31-41"/>
    <n v="33"/>
    <x v="0"/>
    <n v="4"/>
    <s v="Mon, Thu, Tue, Wed"/>
    <n v="0"/>
    <n v="1"/>
    <n v="1"/>
    <n v="1"/>
    <n v="1"/>
    <n v="0"/>
    <n v="0"/>
    <b v="0"/>
    <m/>
    <d v="1899-12-30T10:24:00"/>
    <d v="1899-12-30T12:36:00"/>
    <n v="132"/>
    <b v="0"/>
    <m/>
  </r>
  <r>
    <n v="962"/>
    <s v="Wenona"/>
    <x v="0"/>
    <d v="1995-12-21T00:00:00"/>
    <s v="20-30"/>
    <n v="28"/>
    <x v="1"/>
    <n v="3"/>
    <s v="Mon, Sun, Wed"/>
    <n v="1"/>
    <n v="1"/>
    <n v="0"/>
    <n v="1"/>
    <n v="0"/>
    <n v="0"/>
    <n v="0"/>
    <b v="0"/>
    <m/>
    <d v="1899-12-30T13:28:00"/>
    <d v="1899-12-30T15:12:00"/>
    <n v="104"/>
    <b v="1"/>
    <s v="Jeffrey"/>
  </r>
  <r>
    <n v="963"/>
    <s v="Bone"/>
    <x v="1"/>
    <d v="2011-03-17T00:00:00"/>
    <s v="below 20"/>
    <n v="13"/>
    <x v="0"/>
    <n v="2"/>
    <s v="Thu, Wed"/>
    <n v="0"/>
    <n v="0"/>
    <n v="0"/>
    <n v="1"/>
    <n v="1"/>
    <n v="0"/>
    <n v="0"/>
    <b v="1"/>
    <s v="XCore"/>
    <d v="1899-12-30T09:23:00"/>
    <d v="1899-12-30T11:01:00"/>
    <n v="98"/>
    <b v="0"/>
    <m/>
  </r>
  <r>
    <n v="964"/>
    <s v="Domenico"/>
    <x v="1"/>
    <d v="1981-04-27T00:00:00"/>
    <s v="41-50"/>
    <n v="43"/>
    <x v="1"/>
    <n v="3"/>
    <s v="Sat, Sun, Wed"/>
    <n v="1"/>
    <n v="0"/>
    <n v="0"/>
    <n v="1"/>
    <n v="0"/>
    <n v="0"/>
    <n v="1"/>
    <b v="0"/>
    <m/>
    <d v="1899-12-30T18:37:00"/>
    <d v="1899-12-30T20:24:00"/>
    <n v="107"/>
    <b v="1"/>
    <s v="Mike"/>
  </r>
  <r>
    <n v="965"/>
    <s v="Francesco"/>
    <x v="1"/>
    <d v="2009-11-01T00:00:00"/>
    <s v="below 20"/>
    <n v="14"/>
    <x v="1"/>
    <n v="1"/>
    <s v="Mon"/>
    <n v="0"/>
    <n v="1"/>
    <n v="0"/>
    <n v="0"/>
    <n v="0"/>
    <n v="0"/>
    <n v="0"/>
    <b v="1"/>
    <s v="Yoga, LesMiles, Spinning"/>
    <d v="1899-12-30T11:56:00"/>
    <d v="1899-12-30T12:34:00"/>
    <n v="38"/>
    <b v="0"/>
    <m/>
  </r>
  <r>
    <n v="966"/>
    <s v="Aldous"/>
    <x v="1"/>
    <d v="1988-02-23T00:00:00"/>
    <s v="31-41"/>
    <n v="36"/>
    <x v="0"/>
    <n v="2"/>
    <s v="Sun, Thu"/>
    <n v="1"/>
    <n v="0"/>
    <n v="0"/>
    <n v="0"/>
    <n v="1"/>
    <n v="0"/>
    <n v="0"/>
    <b v="0"/>
    <m/>
    <d v="1899-12-30T16:49:00"/>
    <d v="1899-12-30T17:38:00"/>
    <n v="49"/>
    <b v="1"/>
    <s v="Hanna"/>
  </r>
  <r>
    <n v="967"/>
    <s v="Jacynth"/>
    <x v="0"/>
    <d v="1998-03-25T00:00:00"/>
    <s v="20-30"/>
    <n v="26"/>
    <x v="1"/>
    <n v="1"/>
    <s v="Sun"/>
    <n v="1"/>
    <n v="0"/>
    <n v="0"/>
    <n v="0"/>
    <n v="0"/>
    <n v="0"/>
    <n v="0"/>
    <b v="1"/>
    <s v="XCore"/>
    <d v="1899-12-30T11:42:00"/>
    <d v="1899-12-30T12:52:00"/>
    <n v="70"/>
    <b v="1"/>
    <s v="Jeffrey"/>
  </r>
  <r>
    <n v="968"/>
    <s v="Emalee"/>
    <x v="0"/>
    <d v="2011-05-25T00:00:00"/>
    <s v="below 20"/>
    <n v="13"/>
    <x v="1"/>
    <n v="3"/>
    <s v="Fri, Mon, Tue"/>
    <n v="0"/>
    <n v="1"/>
    <n v="1"/>
    <n v="0"/>
    <n v="0"/>
    <n v="1"/>
    <n v="0"/>
    <b v="0"/>
    <m/>
    <d v="1899-12-30T13:36:00"/>
    <d v="1899-12-30T14:19:00"/>
    <n v="43"/>
    <b v="1"/>
    <s v="Mike"/>
  </r>
  <r>
    <n v="969"/>
    <s v="Nikolai"/>
    <x v="1"/>
    <d v="1998-11-12T00:00:00"/>
    <s v="20-30"/>
    <n v="25"/>
    <x v="1"/>
    <n v="1"/>
    <s v="Sat"/>
    <n v="0"/>
    <n v="0"/>
    <n v="0"/>
    <n v="0"/>
    <n v="0"/>
    <n v="0"/>
    <n v="1"/>
    <b v="0"/>
    <m/>
    <d v="1899-12-30T15:33:00"/>
    <d v="1899-12-30T16:32:00"/>
    <n v="59"/>
    <b v="1"/>
    <s v="Mike"/>
  </r>
  <r>
    <n v="970"/>
    <s v="Beale"/>
    <x v="1"/>
    <d v="1978-05-19T00:00:00"/>
    <s v="41-50"/>
    <n v="46"/>
    <x v="0"/>
    <n v="2"/>
    <s v="Sat, Wed"/>
    <n v="0"/>
    <n v="0"/>
    <n v="0"/>
    <n v="1"/>
    <n v="0"/>
    <n v="0"/>
    <n v="1"/>
    <b v="0"/>
    <m/>
    <d v="1899-12-30T08:22:00"/>
    <d v="1899-12-30T11:16:00"/>
    <n v="174"/>
    <b v="1"/>
    <s v="Mike"/>
  </r>
  <r>
    <n v="971"/>
    <s v="Emma"/>
    <x v="0"/>
    <d v="2002-01-24T00:00:00"/>
    <s v="20-30"/>
    <n v="22"/>
    <x v="0"/>
    <n v="3"/>
    <s v="Sat, Sun, Tue"/>
    <n v="1"/>
    <n v="0"/>
    <n v="1"/>
    <n v="0"/>
    <n v="0"/>
    <n v="0"/>
    <n v="1"/>
    <b v="1"/>
    <s v="HIT, BodyBalance, LesMiles"/>
    <d v="1899-12-30T16:37:00"/>
    <d v="1899-12-30T18:29:00"/>
    <n v="112"/>
    <b v="0"/>
    <m/>
  </r>
  <r>
    <n v="972"/>
    <s v="Kit"/>
    <x v="1"/>
    <d v="1993-11-21T00:00:00"/>
    <s v="20-30"/>
    <n v="30"/>
    <x v="0"/>
    <n v="3"/>
    <s v="Fri, Sat, Tue"/>
    <n v="0"/>
    <n v="0"/>
    <n v="1"/>
    <n v="0"/>
    <n v="0"/>
    <n v="1"/>
    <n v="1"/>
    <b v="1"/>
    <s v="Yoga, XCore"/>
    <d v="1899-12-30T14:44:00"/>
    <d v="1899-12-30T17:10:00"/>
    <n v="146"/>
    <b v="1"/>
    <s v="Hanna"/>
  </r>
  <r>
    <n v="973"/>
    <s v="Nikos"/>
    <x v="1"/>
    <d v="1991-03-18T00:00:00"/>
    <s v="31-41"/>
    <n v="33"/>
    <x v="1"/>
    <n v="1"/>
    <s v="Fri"/>
    <n v="0"/>
    <n v="0"/>
    <n v="0"/>
    <n v="0"/>
    <n v="0"/>
    <n v="1"/>
    <n v="0"/>
    <b v="1"/>
    <s v="BodyPump, Pilates"/>
    <d v="1899-12-30T16:41:00"/>
    <d v="1899-12-30T17:47:00"/>
    <n v="66"/>
    <b v="0"/>
    <m/>
  </r>
  <r>
    <n v="974"/>
    <s v="Samaria"/>
    <x v="0"/>
    <d v="1995-11-13T00:00:00"/>
    <s v="20-30"/>
    <n v="28"/>
    <x v="0"/>
    <n v="4"/>
    <s v="Fri, Sun, Tue, Wed"/>
    <n v="1"/>
    <n v="0"/>
    <n v="1"/>
    <n v="1"/>
    <n v="0"/>
    <n v="1"/>
    <n v="0"/>
    <b v="1"/>
    <s v="Spinning"/>
    <d v="1899-12-30T11:10:00"/>
    <d v="1899-12-30T12:09:00"/>
    <n v="59"/>
    <b v="1"/>
    <s v="Mike"/>
  </r>
  <r>
    <n v="975"/>
    <s v="Clemmy"/>
    <x v="1"/>
    <d v="1976-10-08T00:00:00"/>
    <s v="41-50"/>
    <n v="47"/>
    <x v="1"/>
    <n v="3"/>
    <s v="Fri, Sat, Wed"/>
    <n v="0"/>
    <n v="0"/>
    <n v="0"/>
    <n v="1"/>
    <n v="0"/>
    <n v="1"/>
    <n v="1"/>
    <b v="0"/>
    <m/>
    <d v="1899-12-30T11:07:00"/>
    <d v="1899-12-30T12:16:00"/>
    <n v="69"/>
    <b v="1"/>
    <s v="Hanna"/>
  </r>
  <r>
    <n v="976"/>
    <s v="Veda"/>
    <x v="0"/>
    <d v="2008-10-13T00:00:00"/>
    <s v="below 20"/>
    <n v="15"/>
    <x v="0"/>
    <n v="5"/>
    <s v="Fri, Mon, Sun, Thu, Wed"/>
    <n v="1"/>
    <n v="1"/>
    <n v="0"/>
    <n v="1"/>
    <n v="1"/>
    <n v="1"/>
    <n v="0"/>
    <b v="0"/>
    <m/>
    <d v="1899-12-30T16:39:00"/>
    <d v="1899-12-30T17:42:00"/>
    <n v="63"/>
    <b v="0"/>
    <m/>
  </r>
  <r>
    <n v="977"/>
    <s v="Zacherie"/>
    <x v="1"/>
    <d v="1988-11-28T00:00:00"/>
    <s v="31-41"/>
    <n v="35"/>
    <x v="1"/>
    <n v="3"/>
    <s v="Mon, Sun, Tue"/>
    <n v="1"/>
    <n v="1"/>
    <n v="1"/>
    <n v="0"/>
    <n v="0"/>
    <n v="0"/>
    <n v="0"/>
    <b v="1"/>
    <s v="BodyPump"/>
    <d v="1899-12-30T10:36:00"/>
    <d v="1899-12-30T12:50:00"/>
    <n v="134"/>
    <b v="1"/>
    <s v="Mike"/>
  </r>
  <r>
    <n v="978"/>
    <s v="Tremaine"/>
    <x v="1"/>
    <d v="2000-10-06T00:00:00"/>
    <s v="20-30"/>
    <n v="23"/>
    <x v="1"/>
    <n v="3"/>
    <s v="Mon, Sat, Wed"/>
    <n v="0"/>
    <n v="1"/>
    <n v="0"/>
    <n v="1"/>
    <n v="0"/>
    <n v="0"/>
    <n v="1"/>
    <b v="0"/>
    <m/>
    <d v="1899-12-30T19:00:00"/>
    <d v="1899-12-30T19:40:00"/>
    <n v="40"/>
    <b v="0"/>
    <m/>
  </r>
  <r>
    <n v="979"/>
    <s v="Adair"/>
    <x v="1"/>
    <d v="2008-05-02T00:00:00"/>
    <s v="below 20"/>
    <n v="16"/>
    <x v="0"/>
    <n v="3"/>
    <s v="Mon, Sun, Wed"/>
    <n v="1"/>
    <n v="1"/>
    <n v="0"/>
    <n v="1"/>
    <n v="0"/>
    <n v="0"/>
    <n v="0"/>
    <b v="1"/>
    <s v="LesMiles, BodyPump, Zumba"/>
    <d v="1899-12-30T13:30:00"/>
    <d v="1899-12-30T14:54:00"/>
    <n v="84"/>
    <b v="0"/>
    <m/>
  </r>
  <r>
    <n v="980"/>
    <s v="Quillan"/>
    <x v="1"/>
    <d v="1992-05-18T00:00:00"/>
    <s v="31-41"/>
    <n v="32"/>
    <x v="1"/>
    <n v="3"/>
    <s v="Sat, Sun, Tue"/>
    <n v="1"/>
    <n v="0"/>
    <n v="1"/>
    <n v="0"/>
    <n v="0"/>
    <n v="0"/>
    <n v="1"/>
    <b v="1"/>
    <s v="Kickboxen"/>
    <d v="1899-12-30T17:47:00"/>
    <d v="1899-12-30T19:18:00"/>
    <n v="91"/>
    <b v="0"/>
    <m/>
  </r>
  <r>
    <n v="981"/>
    <s v="Georgie"/>
    <x v="0"/>
    <d v="1992-01-22T00:00:00"/>
    <s v="31-41"/>
    <n v="32"/>
    <x v="1"/>
    <n v="3"/>
    <s v="Mon, Sun, Thu"/>
    <n v="1"/>
    <n v="1"/>
    <n v="0"/>
    <n v="0"/>
    <n v="1"/>
    <n v="0"/>
    <n v="0"/>
    <b v="1"/>
    <s v="XCore, Pilates, BodyPump"/>
    <d v="1899-12-30T14:52:00"/>
    <d v="1899-12-30T16:17:00"/>
    <n v="85"/>
    <b v="0"/>
    <m/>
  </r>
  <r>
    <n v="982"/>
    <s v="Agna"/>
    <x v="0"/>
    <d v="2003-08-21T00:00:00"/>
    <s v="20-30"/>
    <n v="21"/>
    <x v="1"/>
    <n v="2"/>
    <s v="Mon, Thu"/>
    <n v="0"/>
    <n v="1"/>
    <n v="0"/>
    <n v="0"/>
    <n v="1"/>
    <n v="0"/>
    <n v="0"/>
    <b v="1"/>
    <s v="Spinning"/>
    <d v="1899-12-30T19:59:00"/>
    <d v="1899-12-30T20:45:00"/>
    <n v="46"/>
    <b v="1"/>
    <s v="Mike"/>
  </r>
  <r>
    <n v="983"/>
    <s v="Benyamin"/>
    <x v="1"/>
    <d v="1988-03-02T00:00:00"/>
    <s v="31-41"/>
    <n v="36"/>
    <x v="0"/>
    <n v="4"/>
    <s v="Mon, Sat, Thu, Tue"/>
    <n v="0"/>
    <n v="1"/>
    <n v="1"/>
    <n v="0"/>
    <n v="1"/>
    <n v="0"/>
    <n v="1"/>
    <b v="1"/>
    <s v="Pilates, BodyBalance, Yoga"/>
    <d v="1899-12-30T19:22:00"/>
    <d v="1899-12-30T21:08:00"/>
    <n v="106"/>
    <b v="1"/>
    <s v="Mike"/>
  </r>
  <r>
    <n v="984"/>
    <s v="Jamal"/>
    <x v="1"/>
    <d v="1987-10-03T00:00:00"/>
    <s v="31-41"/>
    <n v="37"/>
    <x v="1"/>
    <n v="1"/>
    <s v="Sat"/>
    <n v="0"/>
    <n v="0"/>
    <n v="0"/>
    <n v="0"/>
    <n v="0"/>
    <n v="0"/>
    <n v="1"/>
    <b v="1"/>
    <s v="LesMiles, Pilates, Running"/>
    <d v="1899-12-30T16:04:00"/>
    <d v="1899-12-30T16:55:00"/>
    <n v="51"/>
    <b v="1"/>
    <s v="Mike"/>
  </r>
  <r>
    <n v="985"/>
    <s v="Josie"/>
    <x v="0"/>
    <d v="1975-10-12T00:00:00"/>
    <s v="41-50"/>
    <n v="48"/>
    <x v="0"/>
    <n v="1"/>
    <s v="Mon"/>
    <n v="0"/>
    <n v="1"/>
    <n v="0"/>
    <n v="0"/>
    <n v="0"/>
    <n v="0"/>
    <n v="0"/>
    <b v="1"/>
    <s v="Pilates, BodyPump, XCore"/>
    <d v="1899-12-30T15:17:00"/>
    <d v="1899-12-30T15:47:00"/>
    <n v="30"/>
    <b v="0"/>
    <m/>
  </r>
  <r>
    <n v="986"/>
    <s v="Jules"/>
    <x v="1"/>
    <d v="1981-12-16T00:00:00"/>
    <s v="41-50"/>
    <n v="42"/>
    <x v="1"/>
    <n v="1"/>
    <s v="Fri"/>
    <n v="0"/>
    <n v="0"/>
    <n v="0"/>
    <n v="0"/>
    <n v="0"/>
    <n v="1"/>
    <n v="0"/>
    <b v="1"/>
    <s v="HIT"/>
    <d v="1899-12-30T14:05:00"/>
    <d v="1899-12-30T16:00:00"/>
    <n v="115"/>
    <b v="1"/>
    <s v="Hanna"/>
  </r>
  <r>
    <n v="987"/>
    <s v="Hadria"/>
    <x v="0"/>
    <d v="1979-03-14T00:00:00"/>
    <s v="41-50"/>
    <n v="45"/>
    <x v="0"/>
    <n v="5"/>
    <s v="Mon, Sun, Thu, Tue, Wed"/>
    <n v="1"/>
    <n v="1"/>
    <n v="1"/>
    <n v="1"/>
    <n v="1"/>
    <n v="0"/>
    <n v="0"/>
    <b v="0"/>
    <m/>
    <d v="1899-12-30T19:04:00"/>
    <d v="1899-12-30T21:32:00"/>
    <n v="148"/>
    <b v="1"/>
    <s v="Chantal"/>
  </r>
  <r>
    <n v="988"/>
    <s v="Rad"/>
    <x v="1"/>
    <d v="1977-07-29T00:00:00"/>
    <s v="41-50"/>
    <n v="47"/>
    <x v="0"/>
    <n v="3"/>
    <s v="Fri, Mon, Sun"/>
    <n v="1"/>
    <n v="1"/>
    <n v="0"/>
    <n v="0"/>
    <n v="0"/>
    <n v="1"/>
    <n v="0"/>
    <b v="0"/>
    <m/>
    <d v="1899-12-30T10:48:00"/>
    <d v="1899-12-30T12:17:00"/>
    <n v="89"/>
    <b v="0"/>
    <m/>
  </r>
  <r>
    <n v="989"/>
    <s v="Magdalen"/>
    <x v="0"/>
    <d v="1990-01-29T00:00:00"/>
    <s v="31-41"/>
    <n v="34"/>
    <x v="1"/>
    <n v="1"/>
    <s v="Wed"/>
    <n v="0"/>
    <n v="0"/>
    <n v="0"/>
    <n v="1"/>
    <n v="0"/>
    <n v="0"/>
    <n v="0"/>
    <b v="1"/>
    <s v="LesMiles, Zumba, XCore"/>
    <d v="1899-12-30T09:14:00"/>
    <d v="1899-12-30T10:38:00"/>
    <n v="84"/>
    <b v="1"/>
    <s v="Chantal"/>
  </r>
  <r>
    <n v="990"/>
    <s v="Clywd"/>
    <x v="1"/>
    <d v="1997-10-07T00:00:00"/>
    <s v="20-30"/>
    <n v="26"/>
    <x v="0"/>
    <n v="3"/>
    <s v="Fri, Sat, Thu"/>
    <n v="0"/>
    <n v="0"/>
    <n v="0"/>
    <n v="0"/>
    <n v="1"/>
    <n v="1"/>
    <n v="1"/>
    <b v="0"/>
    <m/>
    <d v="1899-12-30T11:50:00"/>
    <d v="1899-12-30T13:57:00"/>
    <n v="127"/>
    <b v="0"/>
    <m/>
  </r>
  <r>
    <n v="991"/>
    <s v="Oliy"/>
    <x v="0"/>
    <d v="1981-04-01T00:00:00"/>
    <s v="41-50"/>
    <n v="43"/>
    <x v="1"/>
    <n v="3"/>
    <s v="Mon, Tue, Wed"/>
    <n v="0"/>
    <n v="1"/>
    <n v="1"/>
    <n v="1"/>
    <n v="0"/>
    <n v="0"/>
    <n v="0"/>
    <b v="0"/>
    <m/>
    <d v="1899-12-30T08:22:00"/>
    <d v="1899-12-30T09:09:00"/>
    <n v="47"/>
    <b v="1"/>
    <s v="Chantal"/>
  </r>
  <r>
    <n v="992"/>
    <s v="Isidor"/>
    <x v="1"/>
    <d v="1991-08-12T00:00:00"/>
    <s v="31-41"/>
    <n v="33"/>
    <x v="0"/>
    <n v="3"/>
    <s v="Sat, Sun, Wed"/>
    <n v="1"/>
    <n v="0"/>
    <n v="0"/>
    <n v="1"/>
    <n v="0"/>
    <n v="0"/>
    <n v="1"/>
    <b v="1"/>
    <s v="Kickboxen, Zumba, Yoga"/>
    <d v="1899-12-30T10:24:00"/>
    <d v="1899-12-30T12:05:00"/>
    <n v="101"/>
    <b v="1"/>
    <s v="Chantal"/>
  </r>
  <r>
    <n v="993"/>
    <s v="Melantha"/>
    <x v="0"/>
    <d v="1985-10-02T00:00:00"/>
    <s v="31-41"/>
    <n v="39"/>
    <x v="1"/>
    <n v="5"/>
    <s v="Mon, Sat, Sun, Thu, Tue"/>
    <n v="1"/>
    <n v="1"/>
    <n v="1"/>
    <n v="0"/>
    <n v="1"/>
    <n v="0"/>
    <n v="1"/>
    <b v="1"/>
    <s v="Running"/>
    <d v="1899-12-30T09:42:00"/>
    <d v="1899-12-30T11:43:00"/>
    <n v="121"/>
    <b v="1"/>
    <s v="Chantal"/>
  </r>
  <r>
    <n v="994"/>
    <s v="Averill"/>
    <x v="1"/>
    <d v="2007-01-29T00:00:00"/>
    <s v="below 20"/>
    <n v="17"/>
    <x v="1"/>
    <n v="4"/>
    <s v="Sat, Sun, Thu, Wed"/>
    <n v="1"/>
    <n v="0"/>
    <n v="0"/>
    <n v="1"/>
    <n v="1"/>
    <n v="0"/>
    <n v="1"/>
    <b v="1"/>
    <s v="LesMiles, BodyPump"/>
    <d v="1899-12-30T19:50:00"/>
    <d v="1899-12-30T22:02:00"/>
    <n v="132"/>
    <b v="1"/>
    <s v="Hanna"/>
  </r>
  <r>
    <n v="995"/>
    <s v="Cora"/>
    <x v="0"/>
    <d v="1988-03-23T00:00:00"/>
    <s v="31-41"/>
    <n v="36"/>
    <x v="1"/>
    <n v="2"/>
    <s v="Fri, Sat"/>
    <n v="0"/>
    <n v="0"/>
    <n v="0"/>
    <n v="0"/>
    <n v="0"/>
    <n v="1"/>
    <n v="1"/>
    <b v="0"/>
    <m/>
    <d v="1899-12-30T10:16:00"/>
    <d v="1899-12-30T10:50:00"/>
    <n v="34"/>
    <b v="0"/>
    <m/>
  </r>
  <r>
    <n v="996"/>
    <s v="Karlen"/>
    <x v="0"/>
    <d v="1984-09-22T00:00:00"/>
    <s v="31-41"/>
    <n v="40"/>
    <x v="1"/>
    <n v="3"/>
    <s v="Mon, Sun, Wed"/>
    <n v="1"/>
    <n v="1"/>
    <n v="0"/>
    <n v="1"/>
    <n v="0"/>
    <n v="0"/>
    <n v="0"/>
    <b v="0"/>
    <m/>
    <d v="1899-12-30T20:56:00"/>
    <d v="1899-12-30T23:32:00"/>
    <n v="156"/>
    <b v="0"/>
    <m/>
  </r>
  <r>
    <n v="997"/>
    <s v="Elaina"/>
    <x v="0"/>
    <d v="2008-11-19T00:00:00"/>
    <s v="below 20"/>
    <n v="15"/>
    <x v="1"/>
    <n v="3"/>
    <s v="Fri, Thu, Tue"/>
    <n v="0"/>
    <n v="0"/>
    <n v="1"/>
    <n v="0"/>
    <n v="1"/>
    <n v="1"/>
    <n v="0"/>
    <b v="1"/>
    <s v="XCore, LesMiles"/>
    <d v="1899-12-30T09:14:00"/>
    <d v="1899-12-30T09:53:00"/>
    <n v="39"/>
    <b v="0"/>
    <m/>
  </r>
  <r>
    <n v="998"/>
    <s v="Humfried"/>
    <x v="1"/>
    <d v="1984-10-05T00:00:00"/>
    <s v="31-41"/>
    <n v="39"/>
    <x v="1"/>
    <n v="2"/>
    <s v="Fri, Mon"/>
    <n v="0"/>
    <n v="1"/>
    <n v="0"/>
    <n v="0"/>
    <n v="0"/>
    <n v="1"/>
    <n v="0"/>
    <b v="0"/>
    <m/>
    <d v="1899-12-30T17:21:00"/>
    <d v="1899-12-30T19:04:00"/>
    <n v="103"/>
    <b v="1"/>
    <s v="Jeffrey"/>
  </r>
  <r>
    <n v="999"/>
    <s v="Brigg"/>
    <x v="1"/>
    <d v="2001-02-22T00:00:00"/>
    <s v="20-30"/>
    <n v="23"/>
    <x v="1"/>
    <n v="4"/>
    <s v="Fri, Mon, Sat, Tue"/>
    <n v="0"/>
    <n v="1"/>
    <n v="1"/>
    <n v="0"/>
    <n v="0"/>
    <n v="1"/>
    <n v="1"/>
    <b v="1"/>
    <s v="HIT, XCore"/>
    <d v="1899-12-30T10:23:00"/>
    <d v="1899-12-30T13:15:00"/>
    <n v="172"/>
    <b v="1"/>
    <s v="Jeffrey"/>
  </r>
  <r>
    <n v="1000"/>
    <s v="Norrie"/>
    <x v="0"/>
    <d v="2006-05-07T00:00:00"/>
    <s v="below 20"/>
    <n v="18"/>
    <x v="0"/>
    <n v="2"/>
    <s v="Sun, Tue"/>
    <n v="1"/>
    <n v="0"/>
    <n v="1"/>
    <n v="0"/>
    <n v="0"/>
    <n v="0"/>
    <n v="0"/>
    <b v="0"/>
    <m/>
    <d v="1899-12-30T16:41:00"/>
    <d v="1899-12-30T19:13:00"/>
    <n v="152"/>
    <b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1">
  <r>
    <n v="1"/>
    <s v="Fey"/>
    <s v="Female"/>
    <d v="1997-04-18T00:00:00"/>
    <x v="0"/>
    <n v="27"/>
    <x v="0"/>
    <x v="0"/>
    <x v="0"/>
    <x v="0"/>
    <x v="0"/>
    <x v="0"/>
    <x v="0"/>
    <x v="0"/>
    <x v="0"/>
    <x v="0"/>
    <x v="0"/>
    <x v="0"/>
    <d v="1899-12-30T19:31:00"/>
    <d v="1899-12-30T21:42:00"/>
    <n v="131"/>
    <x v="0"/>
    <x v="0"/>
  </r>
  <r>
    <n v="2"/>
    <s v="Doralin"/>
    <s v="Female"/>
    <d v="1977-09-18T00:00:00"/>
    <x v="1"/>
    <n v="47"/>
    <x v="1"/>
    <x v="1"/>
    <x v="1"/>
    <x v="1"/>
    <x v="1"/>
    <x v="1"/>
    <x v="1"/>
    <x v="0"/>
    <x v="1"/>
    <x v="0"/>
    <x v="1"/>
    <x v="1"/>
    <d v="1899-12-30T19:31:00"/>
    <d v="1899-12-30T21:43:00"/>
    <n v="132"/>
    <x v="1"/>
    <x v="1"/>
  </r>
  <r>
    <n v="3"/>
    <s v="Linc"/>
    <s v="Male"/>
    <d v="1983-03-30T00:00:00"/>
    <x v="1"/>
    <n v="41"/>
    <x v="0"/>
    <x v="2"/>
    <x v="2"/>
    <x v="1"/>
    <x v="1"/>
    <x v="1"/>
    <x v="1"/>
    <x v="0"/>
    <x v="0"/>
    <x v="1"/>
    <x v="0"/>
    <x v="2"/>
    <d v="1899-12-30T08:29:00"/>
    <d v="1899-12-30T09:55:00"/>
    <n v="86"/>
    <x v="1"/>
    <x v="2"/>
  </r>
  <r>
    <n v="4"/>
    <s v="Darren"/>
    <s v="Male"/>
    <d v="1980-04-12T00:00:00"/>
    <x v="1"/>
    <n v="44"/>
    <x v="0"/>
    <x v="1"/>
    <x v="3"/>
    <x v="0"/>
    <x v="1"/>
    <x v="0"/>
    <x v="1"/>
    <x v="0"/>
    <x v="1"/>
    <x v="0"/>
    <x v="1"/>
    <x v="1"/>
    <d v="1899-12-30T09:54:00"/>
    <d v="1899-12-30T12:15:00"/>
    <n v="141"/>
    <x v="1"/>
    <x v="2"/>
  </r>
  <r>
    <n v="5"/>
    <s v="Petr"/>
    <s v="Male"/>
    <d v="1980-09-10T00:00:00"/>
    <x v="1"/>
    <n v="44"/>
    <x v="1"/>
    <x v="3"/>
    <x v="4"/>
    <x v="0"/>
    <x v="1"/>
    <x v="0"/>
    <x v="1"/>
    <x v="1"/>
    <x v="0"/>
    <x v="1"/>
    <x v="0"/>
    <x v="3"/>
    <d v="1899-12-30T08:29:00"/>
    <d v="1899-12-30T10:39:00"/>
    <n v="130"/>
    <x v="1"/>
    <x v="2"/>
  </r>
  <r>
    <n v="6"/>
    <s v="Alvera"/>
    <s v="Female"/>
    <d v="2009-06-29T00:00:00"/>
    <x v="2"/>
    <n v="15"/>
    <x v="1"/>
    <x v="2"/>
    <x v="5"/>
    <x v="0"/>
    <x v="1"/>
    <x v="0"/>
    <x v="1"/>
    <x v="0"/>
    <x v="0"/>
    <x v="1"/>
    <x v="1"/>
    <x v="1"/>
    <d v="1899-12-30T17:19:00"/>
    <d v="1899-12-30T18:19:00"/>
    <n v="60"/>
    <x v="0"/>
    <x v="0"/>
  </r>
  <r>
    <n v="7"/>
    <s v="Anson"/>
    <s v="Male"/>
    <d v="1994-08-07T00:00:00"/>
    <x v="0"/>
    <n v="30"/>
    <x v="0"/>
    <x v="1"/>
    <x v="6"/>
    <x v="1"/>
    <x v="0"/>
    <x v="1"/>
    <x v="1"/>
    <x v="0"/>
    <x v="0"/>
    <x v="0"/>
    <x v="0"/>
    <x v="4"/>
    <d v="1899-12-30T19:46:00"/>
    <d v="1899-12-30T22:41:00"/>
    <n v="175"/>
    <x v="0"/>
    <x v="0"/>
  </r>
  <r>
    <n v="8"/>
    <s v="Uriah"/>
    <s v="Male"/>
    <d v="2003-11-13T00:00:00"/>
    <x v="0"/>
    <n v="20"/>
    <x v="1"/>
    <x v="3"/>
    <x v="7"/>
    <x v="1"/>
    <x v="1"/>
    <x v="1"/>
    <x v="1"/>
    <x v="0"/>
    <x v="0"/>
    <x v="0"/>
    <x v="0"/>
    <x v="5"/>
    <d v="1899-12-30T17:45:00"/>
    <d v="1899-12-30T18:53:00"/>
    <n v="68"/>
    <x v="0"/>
    <x v="0"/>
  </r>
  <r>
    <n v="9"/>
    <s v="Borden"/>
    <s v="Male"/>
    <d v="1978-07-28T00:00:00"/>
    <x v="1"/>
    <n v="46"/>
    <x v="0"/>
    <x v="1"/>
    <x v="8"/>
    <x v="0"/>
    <x v="0"/>
    <x v="0"/>
    <x v="0"/>
    <x v="0"/>
    <x v="0"/>
    <x v="1"/>
    <x v="0"/>
    <x v="6"/>
    <d v="1899-12-30T09:45:00"/>
    <d v="1899-12-30T12:33:00"/>
    <n v="168"/>
    <x v="1"/>
    <x v="2"/>
  </r>
  <r>
    <n v="10"/>
    <s v="Abbye"/>
    <s v="Female"/>
    <d v="2000-05-06T00:00:00"/>
    <x v="0"/>
    <n v="24"/>
    <x v="0"/>
    <x v="2"/>
    <x v="9"/>
    <x v="0"/>
    <x v="0"/>
    <x v="1"/>
    <x v="1"/>
    <x v="0"/>
    <x v="0"/>
    <x v="1"/>
    <x v="1"/>
    <x v="1"/>
    <d v="1899-12-30T13:05:00"/>
    <d v="1899-12-30T13:51:00"/>
    <n v="46"/>
    <x v="1"/>
    <x v="3"/>
  </r>
  <r>
    <n v="11"/>
    <s v="Conrade"/>
    <s v="Male"/>
    <d v="1983-07-11T00:00:00"/>
    <x v="1"/>
    <n v="41"/>
    <x v="1"/>
    <x v="2"/>
    <x v="10"/>
    <x v="0"/>
    <x v="1"/>
    <x v="1"/>
    <x v="1"/>
    <x v="1"/>
    <x v="0"/>
    <x v="1"/>
    <x v="1"/>
    <x v="1"/>
    <d v="1899-12-30T13:50:00"/>
    <d v="1899-12-30T16:45:00"/>
    <n v="175"/>
    <x v="1"/>
    <x v="4"/>
  </r>
  <r>
    <n v="12"/>
    <s v="Ely"/>
    <s v="Male"/>
    <d v="1997-09-19T00:00:00"/>
    <x v="0"/>
    <n v="27"/>
    <x v="0"/>
    <x v="1"/>
    <x v="11"/>
    <x v="0"/>
    <x v="0"/>
    <x v="0"/>
    <x v="1"/>
    <x v="0"/>
    <x v="0"/>
    <x v="0"/>
    <x v="0"/>
    <x v="7"/>
    <d v="1899-12-30T10:12:00"/>
    <d v="1899-12-30T11:43:00"/>
    <n v="91"/>
    <x v="1"/>
    <x v="2"/>
  </r>
  <r>
    <n v="13"/>
    <s v="Celine"/>
    <s v="Female"/>
    <d v="1994-04-22T00:00:00"/>
    <x v="0"/>
    <n v="30"/>
    <x v="1"/>
    <x v="3"/>
    <x v="12"/>
    <x v="1"/>
    <x v="1"/>
    <x v="1"/>
    <x v="0"/>
    <x v="0"/>
    <x v="0"/>
    <x v="1"/>
    <x v="0"/>
    <x v="2"/>
    <d v="1899-12-30T17:04:00"/>
    <d v="1899-12-30T18:48:00"/>
    <n v="104"/>
    <x v="0"/>
    <x v="0"/>
  </r>
  <r>
    <n v="14"/>
    <s v="Alie"/>
    <s v="Female"/>
    <d v="1989-03-21T00:00:00"/>
    <x v="3"/>
    <n v="35"/>
    <x v="0"/>
    <x v="1"/>
    <x v="13"/>
    <x v="1"/>
    <x v="0"/>
    <x v="1"/>
    <x v="0"/>
    <x v="0"/>
    <x v="0"/>
    <x v="1"/>
    <x v="1"/>
    <x v="1"/>
    <d v="1899-12-30T19:50:00"/>
    <d v="1899-12-30T21:50:00"/>
    <n v="120"/>
    <x v="0"/>
    <x v="0"/>
  </r>
  <r>
    <n v="15"/>
    <s v="Charmine"/>
    <s v="Female"/>
    <d v="1989-10-01T00:00:00"/>
    <x v="3"/>
    <n v="35"/>
    <x v="0"/>
    <x v="2"/>
    <x v="14"/>
    <x v="0"/>
    <x v="1"/>
    <x v="1"/>
    <x v="1"/>
    <x v="0"/>
    <x v="0"/>
    <x v="0"/>
    <x v="1"/>
    <x v="1"/>
    <d v="1899-12-30T20:12:00"/>
    <d v="1899-12-30T21:42:00"/>
    <n v="90"/>
    <x v="1"/>
    <x v="2"/>
  </r>
  <r>
    <n v="16"/>
    <s v="Katya"/>
    <s v="Female"/>
    <d v="1987-12-20T00:00:00"/>
    <x v="3"/>
    <n v="36"/>
    <x v="1"/>
    <x v="0"/>
    <x v="15"/>
    <x v="1"/>
    <x v="0"/>
    <x v="1"/>
    <x v="0"/>
    <x v="0"/>
    <x v="0"/>
    <x v="0"/>
    <x v="0"/>
    <x v="8"/>
    <d v="1899-12-30T17:28:00"/>
    <d v="1899-12-30T19:49:00"/>
    <n v="141"/>
    <x v="0"/>
    <x v="0"/>
  </r>
  <r>
    <n v="17"/>
    <s v="Chaddie"/>
    <s v="Male"/>
    <d v="1986-12-17T00:00:00"/>
    <x v="3"/>
    <n v="37"/>
    <x v="0"/>
    <x v="1"/>
    <x v="6"/>
    <x v="1"/>
    <x v="0"/>
    <x v="1"/>
    <x v="1"/>
    <x v="0"/>
    <x v="0"/>
    <x v="0"/>
    <x v="1"/>
    <x v="1"/>
    <d v="1899-12-30T09:25:00"/>
    <d v="1899-12-30T10:46:00"/>
    <n v="81"/>
    <x v="1"/>
    <x v="3"/>
  </r>
  <r>
    <n v="18"/>
    <s v="Trixy"/>
    <s v="Female"/>
    <d v="2011-04-30T00:00:00"/>
    <x v="2"/>
    <n v="13"/>
    <x v="1"/>
    <x v="1"/>
    <x v="16"/>
    <x v="1"/>
    <x v="1"/>
    <x v="1"/>
    <x v="0"/>
    <x v="1"/>
    <x v="0"/>
    <x v="1"/>
    <x v="1"/>
    <x v="1"/>
    <d v="1899-12-30T16:54:00"/>
    <d v="1899-12-30T19:00:00"/>
    <n v="126"/>
    <x v="1"/>
    <x v="2"/>
  </r>
  <r>
    <n v="19"/>
    <s v="Janene"/>
    <s v="Female"/>
    <d v="1986-05-29T00:00:00"/>
    <x v="3"/>
    <n v="38"/>
    <x v="1"/>
    <x v="2"/>
    <x v="5"/>
    <x v="0"/>
    <x v="1"/>
    <x v="0"/>
    <x v="1"/>
    <x v="0"/>
    <x v="0"/>
    <x v="1"/>
    <x v="0"/>
    <x v="9"/>
    <d v="1899-12-30T10:01:00"/>
    <d v="1899-12-30T11:35:00"/>
    <n v="94"/>
    <x v="1"/>
    <x v="4"/>
  </r>
  <r>
    <n v="20"/>
    <s v="Abe"/>
    <s v="Male"/>
    <d v="1991-09-13T00:00:00"/>
    <x v="3"/>
    <n v="33"/>
    <x v="0"/>
    <x v="3"/>
    <x v="17"/>
    <x v="0"/>
    <x v="1"/>
    <x v="1"/>
    <x v="0"/>
    <x v="0"/>
    <x v="0"/>
    <x v="0"/>
    <x v="0"/>
    <x v="10"/>
    <d v="1899-12-30T13:55:00"/>
    <d v="1899-12-30T16:09:00"/>
    <n v="134"/>
    <x v="0"/>
    <x v="0"/>
  </r>
  <r>
    <n v="21"/>
    <s v="Biddie"/>
    <s v="Female"/>
    <d v="1997-12-31T00:00:00"/>
    <x v="0"/>
    <n v="26"/>
    <x v="0"/>
    <x v="3"/>
    <x v="18"/>
    <x v="0"/>
    <x v="1"/>
    <x v="1"/>
    <x v="1"/>
    <x v="1"/>
    <x v="0"/>
    <x v="0"/>
    <x v="1"/>
    <x v="1"/>
    <d v="1899-12-30T08:19:00"/>
    <d v="1899-12-30T09:01:00"/>
    <n v="42"/>
    <x v="1"/>
    <x v="4"/>
  </r>
  <r>
    <n v="22"/>
    <s v="Jamey"/>
    <s v="Male"/>
    <d v="1997-10-29T00:00:00"/>
    <x v="0"/>
    <n v="26"/>
    <x v="0"/>
    <x v="1"/>
    <x v="19"/>
    <x v="1"/>
    <x v="0"/>
    <x v="1"/>
    <x v="1"/>
    <x v="0"/>
    <x v="1"/>
    <x v="1"/>
    <x v="0"/>
    <x v="11"/>
    <d v="1899-12-30T15:06:00"/>
    <d v="1899-12-30T16:50:00"/>
    <n v="104"/>
    <x v="0"/>
    <x v="0"/>
  </r>
  <r>
    <n v="23"/>
    <s v="Kimberlee"/>
    <s v="Female"/>
    <d v="2010-10-22T00:00:00"/>
    <x v="2"/>
    <n v="13"/>
    <x v="1"/>
    <x v="3"/>
    <x v="4"/>
    <x v="0"/>
    <x v="1"/>
    <x v="0"/>
    <x v="1"/>
    <x v="1"/>
    <x v="0"/>
    <x v="1"/>
    <x v="0"/>
    <x v="12"/>
    <d v="1899-12-30T20:56:00"/>
    <d v="1899-12-30T22:46:00"/>
    <n v="110"/>
    <x v="1"/>
    <x v="2"/>
  </r>
  <r>
    <n v="24"/>
    <s v="Mar"/>
    <s v="Male"/>
    <d v="2010-01-24T00:00:00"/>
    <x v="2"/>
    <n v="14"/>
    <x v="0"/>
    <x v="1"/>
    <x v="20"/>
    <x v="0"/>
    <x v="0"/>
    <x v="1"/>
    <x v="1"/>
    <x v="0"/>
    <x v="1"/>
    <x v="0"/>
    <x v="1"/>
    <x v="1"/>
    <d v="1899-12-30T14:34:00"/>
    <d v="1899-12-30T15:55:00"/>
    <n v="81"/>
    <x v="1"/>
    <x v="3"/>
  </r>
  <r>
    <n v="25"/>
    <s v="Bernardina"/>
    <s v="Female"/>
    <d v="2008-10-04T00:00:00"/>
    <x v="2"/>
    <n v="15"/>
    <x v="0"/>
    <x v="2"/>
    <x v="21"/>
    <x v="0"/>
    <x v="1"/>
    <x v="1"/>
    <x v="1"/>
    <x v="0"/>
    <x v="1"/>
    <x v="1"/>
    <x v="1"/>
    <x v="1"/>
    <d v="1899-12-30T08:42:00"/>
    <d v="1899-12-30T11:06:00"/>
    <n v="144"/>
    <x v="0"/>
    <x v="0"/>
  </r>
  <r>
    <n v="26"/>
    <s v="Hew"/>
    <s v="Male"/>
    <d v="1989-06-17T00:00:00"/>
    <x v="3"/>
    <n v="35"/>
    <x v="1"/>
    <x v="2"/>
    <x v="21"/>
    <x v="0"/>
    <x v="1"/>
    <x v="1"/>
    <x v="1"/>
    <x v="0"/>
    <x v="1"/>
    <x v="1"/>
    <x v="0"/>
    <x v="13"/>
    <d v="1899-12-30T13:12:00"/>
    <d v="1899-12-30T15:13:00"/>
    <n v="121"/>
    <x v="1"/>
    <x v="1"/>
  </r>
  <r>
    <n v="27"/>
    <s v="Kenon"/>
    <s v="Male"/>
    <d v="2005-03-31T00:00:00"/>
    <x v="2"/>
    <n v="19"/>
    <x v="0"/>
    <x v="1"/>
    <x v="22"/>
    <x v="0"/>
    <x v="0"/>
    <x v="0"/>
    <x v="1"/>
    <x v="1"/>
    <x v="0"/>
    <x v="1"/>
    <x v="0"/>
    <x v="14"/>
    <d v="1899-12-30T15:01:00"/>
    <d v="1899-12-30T15:54:00"/>
    <n v="53"/>
    <x v="0"/>
    <x v="0"/>
  </r>
  <r>
    <n v="28"/>
    <s v="Wat"/>
    <s v="Male"/>
    <d v="1992-04-10T00:00:00"/>
    <x v="3"/>
    <n v="32"/>
    <x v="1"/>
    <x v="4"/>
    <x v="23"/>
    <x v="0"/>
    <x v="0"/>
    <x v="1"/>
    <x v="0"/>
    <x v="1"/>
    <x v="1"/>
    <x v="0"/>
    <x v="0"/>
    <x v="15"/>
    <d v="1899-12-30T19:41:00"/>
    <d v="1899-12-30T21:46:00"/>
    <n v="125"/>
    <x v="1"/>
    <x v="1"/>
  </r>
  <r>
    <n v="29"/>
    <s v="Kandy"/>
    <s v="Female"/>
    <d v="1997-01-21T00:00:00"/>
    <x v="0"/>
    <n v="27"/>
    <x v="0"/>
    <x v="2"/>
    <x v="5"/>
    <x v="0"/>
    <x v="1"/>
    <x v="0"/>
    <x v="1"/>
    <x v="0"/>
    <x v="0"/>
    <x v="1"/>
    <x v="1"/>
    <x v="1"/>
    <d v="1899-12-30T11:25:00"/>
    <d v="1899-12-30T12:28:00"/>
    <n v="63"/>
    <x v="0"/>
    <x v="0"/>
  </r>
  <r>
    <n v="30"/>
    <s v="Nissa"/>
    <s v="Female"/>
    <d v="2002-11-04T00:00:00"/>
    <x v="0"/>
    <n v="21"/>
    <x v="0"/>
    <x v="1"/>
    <x v="24"/>
    <x v="0"/>
    <x v="0"/>
    <x v="1"/>
    <x v="0"/>
    <x v="0"/>
    <x v="1"/>
    <x v="1"/>
    <x v="0"/>
    <x v="16"/>
    <d v="1899-12-30T20:15:00"/>
    <d v="1899-12-30T20:47:00"/>
    <n v="32"/>
    <x v="0"/>
    <x v="0"/>
  </r>
  <r>
    <n v="31"/>
    <s v="Keith"/>
    <s v="Male"/>
    <d v="1988-03-04T00:00:00"/>
    <x v="3"/>
    <n v="36"/>
    <x v="0"/>
    <x v="1"/>
    <x v="1"/>
    <x v="1"/>
    <x v="1"/>
    <x v="1"/>
    <x v="1"/>
    <x v="0"/>
    <x v="1"/>
    <x v="0"/>
    <x v="1"/>
    <x v="1"/>
    <d v="1899-12-30T10:01:00"/>
    <d v="1899-12-30T11:18:00"/>
    <n v="77"/>
    <x v="1"/>
    <x v="3"/>
  </r>
  <r>
    <n v="32"/>
    <s v="Nataniel"/>
    <s v="Male"/>
    <d v="2000-03-02T00:00:00"/>
    <x v="0"/>
    <n v="24"/>
    <x v="1"/>
    <x v="4"/>
    <x v="25"/>
    <x v="1"/>
    <x v="0"/>
    <x v="1"/>
    <x v="0"/>
    <x v="0"/>
    <x v="1"/>
    <x v="0"/>
    <x v="1"/>
    <x v="1"/>
    <d v="1899-12-30T20:53:00"/>
    <d v="1899-12-30T22:50:00"/>
    <n v="117"/>
    <x v="0"/>
    <x v="0"/>
  </r>
  <r>
    <n v="33"/>
    <s v="Hestia"/>
    <s v="Female"/>
    <d v="1982-02-26T00:00:00"/>
    <x v="1"/>
    <n v="42"/>
    <x v="0"/>
    <x v="1"/>
    <x v="26"/>
    <x v="0"/>
    <x v="0"/>
    <x v="1"/>
    <x v="1"/>
    <x v="1"/>
    <x v="1"/>
    <x v="1"/>
    <x v="0"/>
    <x v="17"/>
    <d v="1899-12-30T10:23:00"/>
    <d v="1899-12-30T11:18:00"/>
    <n v="55"/>
    <x v="1"/>
    <x v="1"/>
  </r>
  <r>
    <n v="34"/>
    <s v="Trudi"/>
    <s v="Female"/>
    <d v="1976-12-07T00:00:00"/>
    <x v="1"/>
    <n v="47"/>
    <x v="0"/>
    <x v="3"/>
    <x v="27"/>
    <x v="0"/>
    <x v="1"/>
    <x v="1"/>
    <x v="1"/>
    <x v="0"/>
    <x v="1"/>
    <x v="0"/>
    <x v="0"/>
    <x v="18"/>
    <d v="1899-12-30T14:42:00"/>
    <d v="1899-12-30T16:57:00"/>
    <n v="135"/>
    <x v="1"/>
    <x v="4"/>
  </r>
  <r>
    <n v="35"/>
    <s v="Alf"/>
    <s v="Male"/>
    <d v="2004-03-06T00:00:00"/>
    <x v="0"/>
    <n v="20"/>
    <x v="0"/>
    <x v="4"/>
    <x v="28"/>
    <x v="0"/>
    <x v="1"/>
    <x v="0"/>
    <x v="0"/>
    <x v="1"/>
    <x v="1"/>
    <x v="0"/>
    <x v="1"/>
    <x v="1"/>
    <d v="1899-12-30T18:15:00"/>
    <d v="1899-12-30T20:02:00"/>
    <n v="107"/>
    <x v="1"/>
    <x v="2"/>
  </r>
  <r>
    <n v="36"/>
    <s v="Morie"/>
    <s v="Male"/>
    <d v="1990-03-09T00:00:00"/>
    <x v="3"/>
    <n v="34"/>
    <x v="1"/>
    <x v="1"/>
    <x v="29"/>
    <x v="1"/>
    <x v="0"/>
    <x v="1"/>
    <x v="1"/>
    <x v="1"/>
    <x v="0"/>
    <x v="1"/>
    <x v="0"/>
    <x v="19"/>
    <d v="1899-12-30T13:39:00"/>
    <d v="1899-12-30T16:17:00"/>
    <n v="158"/>
    <x v="0"/>
    <x v="0"/>
  </r>
  <r>
    <n v="37"/>
    <s v="Shelby"/>
    <s v="Female"/>
    <d v="1981-03-18T00:00:00"/>
    <x v="1"/>
    <n v="43"/>
    <x v="1"/>
    <x v="4"/>
    <x v="30"/>
    <x v="1"/>
    <x v="0"/>
    <x v="0"/>
    <x v="0"/>
    <x v="0"/>
    <x v="1"/>
    <x v="1"/>
    <x v="1"/>
    <x v="1"/>
    <d v="1899-12-30T09:02:00"/>
    <d v="1899-12-30T10:31:00"/>
    <n v="89"/>
    <x v="0"/>
    <x v="0"/>
  </r>
  <r>
    <n v="38"/>
    <s v="Sibella"/>
    <s v="Female"/>
    <d v="1983-11-01T00:00:00"/>
    <x v="3"/>
    <n v="40"/>
    <x v="0"/>
    <x v="3"/>
    <x v="31"/>
    <x v="0"/>
    <x v="0"/>
    <x v="1"/>
    <x v="1"/>
    <x v="0"/>
    <x v="0"/>
    <x v="0"/>
    <x v="1"/>
    <x v="1"/>
    <d v="1899-12-30T08:39:00"/>
    <d v="1899-12-30T09:27:00"/>
    <n v="48"/>
    <x v="0"/>
    <x v="0"/>
  </r>
  <r>
    <n v="39"/>
    <s v="Hercules"/>
    <s v="Male"/>
    <d v="1980-07-05T00:00:00"/>
    <x v="1"/>
    <n v="44"/>
    <x v="0"/>
    <x v="2"/>
    <x v="21"/>
    <x v="0"/>
    <x v="1"/>
    <x v="1"/>
    <x v="1"/>
    <x v="0"/>
    <x v="1"/>
    <x v="1"/>
    <x v="1"/>
    <x v="1"/>
    <d v="1899-12-30T20:43:00"/>
    <d v="1899-12-30T21:45:00"/>
    <n v="62"/>
    <x v="0"/>
    <x v="0"/>
  </r>
  <r>
    <n v="40"/>
    <s v="Kara"/>
    <s v="Female"/>
    <d v="2006-01-19T00:00:00"/>
    <x v="2"/>
    <n v="18"/>
    <x v="0"/>
    <x v="3"/>
    <x v="18"/>
    <x v="0"/>
    <x v="1"/>
    <x v="1"/>
    <x v="1"/>
    <x v="1"/>
    <x v="0"/>
    <x v="0"/>
    <x v="0"/>
    <x v="20"/>
    <d v="1899-12-30T10:26:00"/>
    <d v="1899-12-30T11:58:00"/>
    <n v="92"/>
    <x v="0"/>
    <x v="0"/>
  </r>
  <r>
    <n v="41"/>
    <s v="Samantha"/>
    <s v="Female"/>
    <d v="2008-06-11T00:00:00"/>
    <x v="2"/>
    <n v="16"/>
    <x v="0"/>
    <x v="1"/>
    <x v="32"/>
    <x v="0"/>
    <x v="1"/>
    <x v="1"/>
    <x v="0"/>
    <x v="1"/>
    <x v="0"/>
    <x v="0"/>
    <x v="1"/>
    <x v="1"/>
    <d v="1899-12-30T16:04:00"/>
    <d v="1899-12-30T17:19:00"/>
    <n v="75"/>
    <x v="1"/>
    <x v="4"/>
  </r>
  <r>
    <n v="42"/>
    <s v="Bambie"/>
    <s v="Female"/>
    <d v="1989-07-08T00:00:00"/>
    <x v="3"/>
    <n v="35"/>
    <x v="1"/>
    <x v="2"/>
    <x v="14"/>
    <x v="0"/>
    <x v="1"/>
    <x v="1"/>
    <x v="1"/>
    <x v="0"/>
    <x v="0"/>
    <x v="0"/>
    <x v="1"/>
    <x v="1"/>
    <d v="1899-12-30T09:38:00"/>
    <d v="1899-12-30T12:01:00"/>
    <n v="143"/>
    <x v="0"/>
    <x v="0"/>
  </r>
  <r>
    <n v="43"/>
    <s v="Nicol"/>
    <s v="Female"/>
    <d v="1995-06-26T00:00:00"/>
    <x v="0"/>
    <n v="29"/>
    <x v="0"/>
    <x v="2"/>
    <x v="14"/>
    <x v="0"/>
    <x v="1"/>
    <x v="1"/>
    <x v="1"/>
    <x v="0"/>
    <x v="0"/>
    <x v="0"/>
    <x v="0"/>
    <x v="13"/>
    <d v="1899-12-30T10:25:00"/>
    <d v="1899-12-30T11:08:00"/>
    <n v="43"/>
    <x v="1"/>
    <x v="1"/>
  </r>
  <r>
    <n v="44"/>
    <s v="Elizabet"/>
    <s v="Female"/>
    <d v="1996-04-05T00:00:00"/>
    <x v="0"/>
    <n v="28"/>
    <x v="1"/>
    <x v="2"/>
    <x v="2"/>
    <x v="1"/>
    <x v="1"/>
    <x v="1"/>
    <x v="1"/>
    <x v="0"/>
    <x v="0"/>
    <x v="1"/>
    <x v="1"/>
    <x v="1"/>
    <d v="1899-12-30T11:49:00"/>
    <d v="1899-12-30T12:21:00"/>
    <n v="32"/>
    <x v="1"/>
    <x v="4"/>
  </r>
  <r>
    <n v="45"/>
    <s v="Sigismond"/>
    <s v="Male"/>
    <d v="1976-01-19T00:00:00"/>
    <x v="1"/>
    <n v="48"/>
    <x v="0"/>
    <x v="3"/>
    <x v="33"/>
    <x v="0"/>
    <x v="1"/>
    <x v="1"/>
    <x v="0"/>
    <x v="0"/>
    <x v="1"/>
    <x v="1"/>
    <x v="1"/>
    <x v="1"/>
    <d v="1899-12-30T09:57:00"/>
    <d v="1899-12-30T11:11:00"/>
    <n v="74"/>
    <x v="1"/>
    <x v="4"/>
  </r>
  <r>
    <n v="46"/>
    <s v="Aridatha"/>
    <s v="Female"/>
    <d v="1981-05-22T00:00:00"/>
    <x v="1"/>
    <n v="43"/>
    <x v="1"/>
    <x v="0"/>
    <x v="34"/>
    <x v="0"/>
    <x v="0"/>
    <x v="0"/>
    <x v="1"/>
    <x v="1"/>
    <x v="1"/>
    <x v="1"/>
    <x v="0"/>
    <x v="21"/>
    <d v="1899-12-30T18:41:00"/>
    <d v="1899-12-30T19:50:00"/>
    <n v="69"/>
    <x v="1"/>
    <x v="4"/>
  </r>
  <r>
    <n v="47"/>
    <s v="Sigfrid"/>
    <s v="Male"/>
    <d v="1989-03-04T00:00:00"/>
    <x v="3"/>
    <n v="35"/>
    <x v="1"/>
    <x v="1"/>
    <x v="19"/>
    <x v="1"/>
    <x v="0"/>
    <x v="1"/>
    <x v="1"/>
    <x v="0"/>
    <x v="1"/>
    <x v="1"/>
    <x v="1"/>
    <x v="1"/>
    <d v="1899-12-30T15:02:00"/>
    <d v="1899-12-30T16:02:00"/>
    <n v="60"/>
    <x v="0"/>
    <x v="0"/>
  </r>
  <r>
    <n v="48"/>
    <s v="Dick"/>
    <s v="Male"/>
    <d v="1997-11-15T00:00:00"/>
    <x v="0"/>
    <n v="26"/>
    <x v="0"/>
    <x v="4"/>
    <x v="35"/>
    <x v="1"/>
    <x v="1"/>
    <x v="0"/>
    <x v="0"/>
    <x v="1"/>
    <x v="1"/>
    <x v="1"/>
    <x v="0"/>
    <x v="22"/>
    <d v="1899-12-30T16:29:00"/>
    <d v="1899-12-30T17:16:00"/>
    <n v="47"/>
    <x v="1"/>
    <x v="3"/>
  </r>
  <r>
    <n v="49"/>
    <s v="Anette"/>
    <s v="Female"/>
    <d v="1975-10-23T00:00:00"/>
    <x v="1"/>
    <n v="48"/>
    <x v="0"/>
    <x v="1"/>
    <x v="36"/>
    <x v="0"/>
    <x v="0"/>
    <x v="1"/>
    <x v="0"/>
    <x v="1"/>
    <x v="0"/>
    <x v="1"/>
    <x v="0"/>
    <x v="23"/>
    <d v="1899-12-30T11:56:00"/>
    <d v="1899-12-30T13:52:00"/>
    <n v="116"/>
    <x v="1"/>
    <x v="1"/>
  </r>
  <r>
    <n v="50"/>
    <s v="Nora"/>
    <s v="Female"/>
    <d v="1979-12-29T00:00:00"/>
    <x v="1"/>
    <n v="44"/>
    <x v="0"/>
    <x v="3"/>
    <x v="37"/>
    <x v="1"/>
    <x v="1"/>
    <x v="0"/>
    <x v="1"/>
    <x v="0"/>
    <x v="0"/>
    <x v="1"/>
    <x v="0"/>
    <x v="24"/>
    <d v="1899-12-30T08:54:00"/>
    <d v="1899-12-30T11:09:00"/>
    <n v="135"/>
    <x v="0"/>
    <x v="0"/>
  </r>
  <r>
    <n v="51"/>
    <s v="Maximilianus"/>
    <s v="Male"/>
    <d v="1979-07-17T00:00:00"/>
    <x v="1"/>
    <n v="45"/>
    <x v="1"/>
    <x v="1"/>
    <x v="38"/>
    <x v="1"/>
    <x v="1"/>
    <x v="1"/>
    <x v="0"/>
    <x v="0"/>
    <x v="1"/>
    <x v="1"/>
    <x v="1"/>
    <x v="1"/>
    <d v="1899-12-30T09:43:00"/>
    <d v="1899-12-30T11:13:00"/>
    <n v="90"/>
    <x v="0"/>
    <x v="0"/>
  </r>
  <r>
    <n v="52"/>
    <s v="Nathanil"/>
    <s v="Male"/>
    <d v="1996-04-21T00:00:00"/>
    <x v="0"/>
    <n v="28"/>
    <x v="0"/>
    <x v="3"/>
    <x v="39"/>
    <x v="0"/>
    <x v="1"/>
    <x v="0"/>
    <x v="1"/>
    <x v="0"/>
    <x v="1"/>
    <x v="1"/>
    <x v="0"/>
    <x v="25"/>
    <d v="1899-12-30T20:58:00"/>
    <d v="1899-12-30T21:45:00"/>
    <n v="47"/>
    <x v="0"/>
    <x v="0"/>
  </r>
  <r>
    <n v="53"/>
    <s v="Jada"/>
    <s v="Female"/>
    <d v="2004-07-17T00:00:00"/>
    <x v="0"/>
    <n v="20"/>
    <x v="0"/>
    <x v="3"/>
    <x v="31"/>
    <x v="0"/>
    <x v="0"/>
    <x v="1"/>
    <x v="1"/>
    <x v="0"/>
    <x v="0"/>
    <x v="0"/>
    <x v="0"/>
    <x v="26"/>
    <d v="1899-12-30T09:26:00"/>
    <d v="1899-12-30T10:46:00"/>
    <n v="80"/>
    <x v="0"/>
    <x v="0"/>
  </r>
  <r>
    <n v="54"/>
    <s v="Maud"/>
    <s v="Female"/>
    <d v="1980-11-27T00:00:00"/>
    <x v="1"/>
    <n v="43"/>
    <x v="1"/>
    <x v="0"/>
    <x v="40"/>
    <x v="1"/>
    <x v="0"/>
    <x v="1"/>
    <x v="0"/>
    <x v="0"/>
    <x v="1"/>
    <x v="1"/>
    <x v="0"/>
    <x v="27"/>
    <d v="1899-12-30T20:36:00"/>
    <d v="1899-12-30T22:21:00"/>
    <n v="105"/>
    <x v="1"/>
    <x v="2"/>
  </r>
  <r>
    <n v="55"/>
    <s v="Chadd"/>
    <s v="Male"/>
    <d v="2000-01-04T00:00:00"/>
    <x v="0"/>
    <n v="24"/>
    <x v="1"/>
    <x v="3"/>
    <x v="39"/>
    <x v="0"/>
    <x v="1"/>
    <x v="0"/>
    <x v="1"/>
    <x v="0"/>
    <x v="1"/>
    <x v="1"/>
    <x v="0"/>
    <x v="28"/>
    <d v="1899-12-30T15:49:00"/>
    <d v="1899-12-30T17:09:00"/>
    <n v="80"/>
    <x v="1"/>
    <x v="1"/>
  </r>
  <r>
    <n v="56"/>
    <s v="Paten"/>
    <s v="Male"/>
    <d v="2002-07-26T00:00:00"/>
    <x v="0"/>
    <n v="22"/>
    <x v="1"/>
    <x v="1"/>
    <x v="41"/>
    <x v="0"/>
    <x v="1"/>
    <x v="1"/>
    <x v="0"/>
    <x v="1"/>
    <x v="1"/>
    <x v="1"/>
    <x v="1"/>
    <x v="1"/>
    <d v="1899-12-30T17:13:00"/>
    <d v="1899-12-30T19:09:00"/>
    <n v="116"/>
    <x v="0"/>
    <x v="0"/>
  </r>
  <r>
    <n v="57"/>
    <s v="Isahella"/>
    <s v="Female"/>
    <d v="2001-06-12T00:00:00"/>
    <x v="0"/>
    <n v="23"/>
    <x v="1"/>
    <x v="1"/>
    <x v="42"/>
    <x v="0"/>
    <x v="0"/>
    <x v="1"/>
    <x v="0"/>
    <x v="0"/>
    <x v="0"/>
    <x v="0"/>
    <x v="1"/>
    <x v="1"/>
    <d v="1899-12-30T08:36:00"/>
    <d v="1899-12-30T10:20:00"/>
    <n v="104"/>
    <x v="0"/>
    <x v="0"/>
  </r>
  <r>
    <n v="58"/>
    <s v="Benton"/>
    <s v="Male"/>
    <d v="1977-12-30T00:00:00"/>
    <x v="1"/>
    <n v="46"/>
    <x v="0"/>
    <x v="4"/>
    <x v="43"/>
    <x v="1"/>
    <x v="1"/>
    <x v="0"/>
    <x v="0"/>
    <x v="1"/>
    <x v="0"/>
    <x v="0"/>
    <x v="0"/>
    <x v="29"/>
    <d v="1899-12-30T12:19:00"/>
    <d v="1899-12-30T15:07:00"/>
    <n v="168"/>
    <x v="1"/>
    <x v="1"/>
  </r>
  <r>
    <n v="59"/>
    <s v="Gus"/>
    <s v="Male"/>
    <d v="2007-07-11T00:00:00"/>
    <x v="2"/>
    <n v="17"/>
    <x v="0"/>
    <x v="3"/>
    <x v="37"/>
    <x v="1"/>
    <x v="1"/>
    <x v="0"/>
    <x v="1"/>
    <x v="0"/>
    <x v="0"/>
    <x v="1"/>
    <x v="0"/>
    <x v="30"/>
    <d v="1899-12-30T10:40:00"/>
    <d v="1899-12-30T11:30:00"/>
    <n v="50"/>
    <x v="0"/>
    <x v="0"/>
  </r>
  <r>
    <n v="60"/>
    <s v="Lesley"/>
    <s v="Female"/>
    <d v="1988-08-20T00:00:00"/>
    <x v="3"/>
    <n v="36"/>
    <x v="1"/>
    <x v="3"/>
    <x v="4"/>
    <x v="0"/>
    <x v="1"/>
    <x v="0"/>
    <x v="1"/>
    <x v="1"/>
    <x v="0"/>
    <x v="1"/>
    <x v="0"/>
    <x v="31"/>
    <d v="1899-12-30T19:38:00"/>
    <d v="1899-12-30T21:46:00"/>
    <n v="128"/>
    <x v="1"/>
    <x v="1"/>
  </r>
  <r>
    <n v="61"/>
    <s v="Eulalie"/>
    <s v="Female"/>
    <d v="1977-05-08T00:00:00"/>
    <x v="1"/>
    <n v="47"/>
    <x v="0"/>
    <x v="1"/>
    <x v="44"/>
    <x v="0"/>
    <x v="0"/>
    <x v="1"/>
    <x v="1"/>
    <x v="1"/>
    <x v="0"/>
    <x v="0"/>
    <x v="1"/>
    <x v="1"/>
    <d v="1899-12-30T18:30:00"/>
    <d v="1899-12-30T19:56:00"/>
    <n v="86"/>
    <x v="1"/>
    <x v="1"/>
  </r>
  <r>
    <n v="62"/>
    <s v="Talia"/>
    <s v="Female"/>
    <d v="1995-05-13T00:00:00"/>
    <x v="0"/>
    <n v="29"/>
    <x v="1"/>
    <x v="1"/>
    <x v="45"/>
    <x v="0"/>
    <x v="1"/>
    <x v="1"/>
    <x v="1"/>
    <x v="1"/>
    <x v="1"/>
    <x v="0"/>
    <x v="1"/>
    <x v="1"/>
    <d v="1899-12-30T10:28:00"/>
    <d v="1899-12-30T13:26:00"/>
    <n v="178"/>
    <x v="1"/>
    <x v="1"/>
  </r>
  <r>
    <n v="63"/>
    <s v="Chaddy"/>
    <s v="Male"/>
    <d v="1994-03-10T00:00:00"/>
    <x v="0"/>
    <n v="30"/>
    <x v="1"/>
    <x v="1"/>
    <x v="1"/>
    <x v="1"/>
    <x v="1"/>
    <x v="1"/>
    <x v="1"/>
    <x v="0"/>
    <x v="1"/>
    <x v="0"/>
    <x v="1"/>
    <x v="1"/>
    <d v="1899-12-30T17:22:00"/>
    <d v="1899-12-30T19:20:00"/>
    <n v="118"/>
    <x v="0"/>
    <x v="0"/>
  </r>
  <r>
    <n v="64"/>
    <s v="Bridget"/>
    <s v="Female"/>
    <d v="2002-05-16T00:00:00"/>
    <x v="0"/>
    <n v="22"/>
    <x v="0"/>
    <x v="1"/>
    <x v="46"/>
    <x v="0"/>
    <x v="1"/>
    <x v="0"/>
    <x v="1"/>
    <x v="1"/>
    <x v="1"/>
    <x v="1"/>
    <x v="1"/>
    <x v="1"/>
    <d v="1899-12-30T10:41:00"/>
    <d v="1899-12-30T12:03:00"/>
    <n v="82"/>
    <x v="1"/>
    <x v="4"/>
  </r>
  <r>
    <n v="65"/>
    <s v="Dierdre"/>
    <s v="Female"/>
    <d v="1982-11-21T00:00:00"/>
    <x v="1"/>
    <n v="41"/>
    <x v="1"/>
    <x v="3"/>
    <x v="47"/>
    <x v="0"/>
    <x v="0"/>
    <x v="1"/>
    <x v="0"/>
    <x v="0"/>
    <x v="0"/>
    <x v="1"/>
    <x v="1"/>
    <x v="1"/>
    <d v="1899-12-30T13:55:00"/>
    <d v="1899-12-30T16:15:00"/>
    <n v="140"/>
    <x v="0"/>
    <x v="0"/>
  </r>
  <r>
    <n v="66"/>
    <s v="Constancia"/>
    <s v="Female"/>
    <d v="1979-03-27T00:00:00"/>
    <x v="1"/>
    <n v="45"/>
    <x v="0"/>
    <x v="0"/>
    <x v="48"/>
    <x v="1"/>
    <x v="1"/>
    <x v="0"/>
    <x v="0"/>
    <x v="0"/>
    <x v="0"/>
    <x v="0"/>
    <x v="1"/>
    <x v="1"/>
    <d v="1899-12-30T13:06:00"/>
    <d v="1899-12-30T13:47:00"/>
    <n v="41"/>
    <x v="0"/>
    <x v="0"/>
  </r>
  <r>
    <n v="67"/>
    <s v="Arlie"/>
    <s v="Female"/>
    <d v="2002-04-26T00:00:00"/>
    <x v="0"/>
    <n v="22"/>
    <x v="0"/>
    <x v="2"/>
    <x v="2"/>
    <x v="1"/>
    <x v="1"/>
    <x v="1"/>
    <x v="1"/>
    <x v="0"/>
    <x v="0"/>
    <x v="1"/>
    <x v="0"/>
    <x v="32"/>
    <d v="1899-12-30T08:18:00"/>
    <d v="1899-12-30T08:55:00"/>
    <n v="37"/>
    <x v="0"/>
    <x v="0"/>
  </r>
  <r>
    <n v="68"/>
    <s v="Shelden"/>
    <s v="Male"/>
    <d v="2004-07-16T00:00:00"/>
    <x v="0"/>
    <n v="20"/>
    <x v="1"/>
    <x v="4"/>
    <x v="43"/>
    <x v="1"/>
    <x v="1"/>
    <x v="0"/>
    <x v="0"/>
    <x v="1"/>
    <x v="0"/>
    <x v="0"/>
    <x v="0"/>
    <x v="33"/>
    <d v="1899-12-30T13:04:00"/>
    <d v="1899-12-30T13:43:00"/>
    <n v="39"/>
    <x v="1"/>
    <x v="2"/>
  </r>
  <r>
    <n v="69"/>
    <s v="Carver"/>
    <s v="Male"/>
    <d v="1990-12-12T00:00:00"/>
    <x v="3"/>
    <n v="33"/>
    <x v="0"/>
    <x v="2"/>
    <x v="9"/>
    <x v="0"/>
    <x v="0"/>
    <x v="1"/>
    <x v="1"/>
    <x v="0"/>
    <x v="0"/>
    <x v="1"/>
    <x v="0"/>
    <x v="34"/>
    <d v="1899-12-30T09:04:00"/>
    <d v="1899-12-30T10:20:00"/>
    <n v="76"/>
    <x v="0"/>
    <x v="0"/>
  </r>
  <r>
    <n v="70"/>
    <s v="Franky"/>
    <s v="Female"/>
    <d v="1988-08-01T00:00:00"/>
    <x v="3"/>
    <n v="36"/>
    <x v="0"/>
    <x v="1"/>
    <x v="3"/>
    <x v="0"/>
    <x v="1"/>
    <x v="0"/>
    <x v="1"/>
    <x v="0"/>
    <x v="1"/>
    <x v="0"/>
    <x v="1"/>
    <x v="1"/>
    <d v="1899-12-30T11:11:00"/>
    <d v="1899-12-30T14:01:00"/>
    <n v="170"/>
    <x v="0"/>
    <x v="0"/>
  </r>
  <r>
    <n v="71"/>
    <s v="Vincenz"/>
    <s v="Male"/>
    <d v="1994-09-21T00:00:00"/>
    <x v="0"/>
    <n v="30"/>
    <x v="0"/>
    <x v="4"/>
    <x v="49"/>
    <x v="1"/>
    <x v="0"/>
    <x v="1"/>
    <x v="1"/>
    <x v="1"/>
    <x v="1"/>
    <x v="0"/>
    <x v="0"/>
    <x v="35"/>
    <d v="1899-12-30T13:04:00"/>
    <d v="1899-12-30T14:45:00"/>
    <n v="101"/>
    <x v="1"/>
    <x v="4"/>
  </r>
  <r>
    <n v="72"/>
    <s v="Adham"/>
    <s v="Male"/>
    <d v="2007-03-13T00:00:00"/>
    <x v="2"/>
    <n v="17"/>
    <x v="0"/>
    <x v="2"/>
    <x v="2"/>
    <x v="1"/>
    <x v="1"/>
    <x v="1"/>
    <x v="1"/>
    <x v="0"/>
    <x v="0"/>
    <x v="1"/>
    <x v="1"/>
    <x v="1"/>
    <d v="1899-12-30T10:30:00"/>
    <d v="1899-12-30T12:58:00"/>
    <n v="148"/>
    <x v="1"/>
    <x v="2"/>
  </r>
  <r>
    <n v="73"/>
    <s v="Guillaume"/>
    <s v="Male"/>
    <d v="1988-12-31T00:00:00"/>
    <x v="3"/>
    <n v="35"/>
    <x v="0"/>
    <x v="3"/>
    <x v="39"/>
    <x v="0"/>
    <x v="1"/>
    <x v="0"/>
    <x v="1"/>
    <x v="0"/>
    <x v="1"/>
    <x v="1"/>
    <x v="1"/>
    <x v="1"/>
    <d v="1899-12-30T17:06:00"/>
    <d v="1899-12-30T18:10:00"/>
    <n v="64"/>
    <x v="1"/>
    <x v="1"/>
  </r>
  <r>
    <n v="74"/>
    <s v="Bone"/>
    <s v="Male"/>
    <d v="1995-12-16T00:00:00"/>
    <x v="0"/>
    <n v="28"/>
    <x v="1"/>
    <x v="3"/>
    <x v="47"/>
    <x v="0"/>
    <x v="0"/>
    <x v="1"/>
    <x v="0"/>
    <x v="0"/>
    <x v="0"/>
    <x v="1"/>
    <x v="1"/>
    <x v="1"/>
    <d v="1899-12-30T20:17:00"/>
    <d v="1899-12-30T20:59:00"/>
    <n v="42"/>
    <x v="0"/>
    <x v="0"/>
  </r>
  <r>
    <n v="75"/>
    <s v="Florry"/>
    <s v="Female"/>
    <d v="1996-11-30T00:00:00"/>
    <x v="0"/>
    <n v="27"/>
    <x v="1"/>
    <x v="4"/>
    <x v="50"/>
    <x v="0"/>
    <x v="0"/>
    <x v="0"/>
    <x v="0"/>
    <x v="0"/>
    <x v="1"/>
    <x v="0"/>
    <x v="1"/>
    <x v="1"/>
    <d v="1899-12-30T09:57:00"/>
    <d v="1899-12-30T11:17:00"/>
    <n v="80"/>
    <x v="0"/>
    <x v="0"/>
  </r>
  <r>
    <n v="76"/>
    <s v="Thaddeus"/>
    <s v="Male"/>
    <d v="2004-06-09T00:00:00"/>
    <x v="0"/>
    <n v="20"/>
    <x v="0"/>
    <x v="2"/>
    <x v="51"/>
    <x v="0"/>
    <x v="1"/>
    <x v="1"/>
    <x v="0"/>
    <x v="0"/>
    <x v="0"/>
    <x v="1"/>
    <x v="1"/>
    <x v="1"/>
    <d v="1899-12-30T15:33:00"/>
    <d v="1899-12-30T16:19:00"/>
    <n v="46"/>
    <x v="1"/>
    <x v="2"/>
  </r>
  <r>
    <n v="77"/>
    <s v="Alexine"/>
    <s v="Female"/>
    <d v="2007-04-19T00:00:00"/>
    <x v="2"/>
    <n v="17"/>
    <x v="0"/>
    <x v="3"/>
    <x v="52"/>
    <x v="0"/>
    <x v="1"/>
    <x v="1"/>
    <x v="0"/>
    <x v="1"/>
    <x v="0"/>
    <x v="1"/>
    <x v="1"/>
    <x v="1"/>
    <d v="1899-12-30T15:54:00"/>
    <d v="1899-12-30T16:46:00"/>
    <n v="52"/>
    <x v="1"/>
    <x v="4"/>
  </r>
  <r>
    <n v="78"/>
    <s v="Boigie"/>
    <s v="Male"/>
    <d v="1990-10-24T00:00:00"/>
    <x v="3"/>
    <n v="33"/>
    <x v="0"/>
    <x v="3"/>
    <x v="53"/>
    <x v="0"/>
    <x v="0"/>
    <x v="0"/>
    <x v="1"/>
    <x v="0"/>
    <x v="0"/>
    <x v="1"/>
    <x v="0"/>
    <x v="36"/>
    <d v="1899-12-30T16:16:00"/>
    <d v="1899-12-30T17:42:00"/>
    <n v="86"/>
    <x v="1"/>
    <x v="2"/>
  </r>
  <r>
    <n v="79"/>
    <s v="Morgan"/>
    <s v="Female"/>
    <d v="1981-04-24T00:00:00"/>
    <x v="1"/>
    <n v="43"/>
    <x v="1"/>
    <x v="4"/>
    <x v="54"/>
    <x v="1"/>
    <x v="0"/>
    <x v="0"/>
    <x v="1"/>
    <x v="0"/>
    <x v="1"/>
    <x v="0"/>
    <x v="0"/>
    <x v="37"/>
    <d v="1899-12-30T12:44:00"/>
    <d v="1899-12-30T15:05:00"/>
    <n v="141"/>
    <x v="0"/>
    <x v="0"/>
  </r>
  <r>
    <n v="80"/>
    <s v="Merrily"/>
    <s v="Female"/>
    <d v="1988-09-23T00:00:00"/>
    <x v="3"/>
    <n v="36"/>
    <x v="1"/>
    <x v="3"/>
    <x v="55"/>
    <x v="1"/>
    <x v="0"/>
    <x v="1"/>
    <x v="1"/>
    <x v="0"/>
    <x v="0"/>
    <x v="1"/>
    <x v="0"/>
    <x v="38"/>
    <d v="1899-12-30T18:19:00"/>
    <d v="1899-12-30T19:42:00"/>
    <n v="83"/>
    <x v="1"/>
    <x v="3"/>
  </r>
  <r>
    <n v="81"/>
    <s v="Orv"/>
    <s v="Male"/>
    <d v="1978-10-15T00:00:00"/>
    <x v="1"/>
    <n v="45"/>
    <x v="1"/>
    <x v="3"/>
    <x v="53"/>
    <x v="0"/>
    <x v="0"/>
    <x v="0"/>
    <x v="1"/>
    <x v="0"/>
    <x v="0"/>
    <x v="1"/>
    <x v="1"/>
    <x v="1"/>
    <d v="1899-12-30T12:35:00"/>
    <d v="1899-12-30T14:41:00"/>
    <n v="126"/>
    <x v="1"/>
    <x v="2"/>
  </r>
  <r>
    <n v="82"/>
    <s v="Sayres"/>
    <s v="Male"/>
    <d v="1981-11-06T00:00:00"/>
    <x v="1"/>
    <n v="42"/>
    <x v="1"/>
    <x v="1"/>
    <x v="44"/>
    <x v="0"/>
    <x v="0"/>
    <x v="1"/>
    <x v="1"/>
    <x v="1"/>
    <x v="0"/>
    <x v="0"/>
    <x v="0"/>
    <x v="3"/>
    <d v="1899-12-30T18:55:00"/>
    <d v="1899-12-30T20:49:00"/>
    <n v="114"/>
    <x v="0"/>
    <x v="0"/>
  </r>
  <r>
    <n v="83"/>
    <s v="Estevan"/>
    <s v="Male"/>
    <d v="1995-04-02T00:00:00"/>
    <x v="0"/>
    <n v="29"/>
    <x v="0"/>
    <x v="2"/>
    <x v="10"/>
    <x v="0"/>
    <x v="1"/>
    <x v="1"/>
    <x v="1"/>
    <x v="1"/>
    <x v="0"/>
    <x v="1"/>
    <x v="1"/>
    <x v="1"/>
    <d v="1899-12-30T08:33:00"/>
    <d v="1899-12-30T09:42:00"/>
    <n v="69"/>
    <x v="0"/>
    <x v="0"/>
  </r>
  <r>
    <n v="84"/>
    <s v="Rusty"/>
    <s v="Male"/>
    <d v="2006-07-30T00:00:00"/>
    <x v="2"/>
    <n v="18"/>
    <x v="1"/>
    <x v="1"/>
    <x v="26"/>
    <x v="0"/>
    <x v="0"/>
    <x v="1"/>
    <x v="1"/>
    <x v="1"/>
    <x v="1"/>
    <x v="1"/>
    <x v="0"/>
    <x v="39"/>
    <d v="1899-12-30T09:15:00"/>
    <d v="1899-12-30T10:07:00"/>
    <n v="52"/>
    <x v="0"/>
    <x v="0"/>
  </r>
  <r>
    <n v="85"/>
    <s v="Crin"/>
    <s v="Female"/>
    <d v="1992-04-27T00:00:00"/>
    <x v="3"/>
    <n v="32"/>
    <x v="0"/>
    <x v="3"/>
    <x v="56"/>
    <x v="1"/>
    <x v="1"/>
    <x v="1"/>
    <x v="1"/>
    <x v="0"/>
    <x v="1"/>
    <x v="1"/>
    <x v="0"/>
    <x v="40"/>
    <d v="1899-12-30T19:07:00"/>
    <d v="1899-12-30T21:39:00"/>
    <n v="152"/>
    <x v="0"/>
    <x v="0"/>
  </r>
  <r>
    <n v="86"/>
    <s v="Kailey"/>
    <s v="Female"/>
    <d v="1997-02-09T00:00:00"/>
    <x v="0"/>
    <n v="27"/>
    <x v="1"/>
    <x v="1"/>
    <x v="6"/>
    <x v="1"/>
    <x v="0"/>
    <x v="1"/>
    <x v="1"/>
    <x v="0"/>
    <x v="0"/>
    <x v="0"/>
    <x v="0"/>
    <x v="41"/>
    <d v="1899-12-30T20:29:00"/>
    <d v="1899-12-30T23:20:00"/>
    <n v="171"/>
    <x v="1"/>
    <x v="1"/>
  </r>
  <r>
    <n v="87"/>
    <s v="Thorsten"/>
    <s v="Male"/>
    <d v="1977-06-27T00:00:00"/>
    <x v="1"/>
    <n v="47"/>
    <x v="0"/>
    <x v="1"/>
    <x v="44"/>
    <x v="0"/>
    <x v="0"/>
    <x v="1"/>
    <x v="1"/>
    <x v="1"/>
    <x v="0"/>
    <x v="0"/>
    <x v="0"/>
    <x v="42"/>
    <d v="1899-12-30T12:51:00"/>
    <d v="1899-12-30T15:37:00"/>
    <n v="166"/>
    <x v="1"/>
    <x v="1"/>
  </r>
  <r>
    <n v="88"/>
    <s v="Karolina"/>
    <s v="Female"/>
    <d v="2008-10-05T00:00:00"/>
    <x v="2"/>
    <n v="15"/>
    <x v="0"/>
    <x v="3"/>
    <x v="57"/>
    <x v="0"/>
    <x v="0"/>
    <x v="1"/>
    <x v="1"/>
    <x v="0"/>
    <x v="1"/>
    <x v="1"/>
    <x v="1"/>
    <x v="1"/>
    <d v="1899-12-30T11:29:00"/>
    <d v="1899-12-30T12:20:00"/>
    <n v="51"/>
    <x v="0"/>
    <x v="0"/>
  </r>
  <r>
    <n v="89"/>
    <s v="Shirlee"/>
    <s v="Female"/>
    <d v="1984-12-21T00:00:00"/>
    <x v="3"/>
    <n v="39"/>
    <x v="1"/>
    <x v="0"/>
    <x v="58"/>
    <x v="0"/>
    <x v="0"/>
    <x v="0"/>
    <x v="0"/>
    <x v="0"/>
    <x v="1"/>
    <x v="1"/>
    <x v="0"/>
    <x v="39"/>
    <d v="1899-12-30T10:34:00"/>
    <d v="1899-12-30T11:09:00"/>
    <n v="35"/>
    <x v="0"/>
    <x v="0"/>
  </r>
  <r>
    <n v="90"/>
    <s v="Henrie"/>
    <s v="Female"/>
    <d v="1978-08-24T00:00:00"/>
    <x v="1"/>
    <n v="46"/>
    <x v="1"/>
    <x v="2"/>
    <x v="5"/>
    <x v="0"/>
    <x v="1"/>
    <x v="0"/>
    <x v="1"/>
    <x v="0"/>
    <x v="0"/>
    <x v="1"/>
    <x v="1"/>
    <x v="1"/>
    <d v="1899-12-30T11:13:00"/>
    <d v="1899-12-30T12:15:00"/>
    <n v="62"/>
    <x v="0"/>
    <x v="0"/>
  </r>
  <r>
    <n v="91"/>
    <s v="Perri"/>
    <s v="Female"/>
    <d v="2003-03-08T00:00:00"/>
    <x v="0"/>
    <n v="21"/>
    <x v="0"/>
    <x v="1"/>
    <x v="59"/>
    <x v="1"/>
    <x v="0"/>
    <x v="0"/>
    <x v="1"/>
    <x v="0"/>
    <x v="0"/>
    <x v="1"/>
    <x v="1"/>
    <x v="1"/>
    <d v="1899-12-30T13:04:00"/>
    <d v="1899-12-30T14:34:00"/>
    <n v="90"/>
    <x v="0"/>
    <x v="0"/>
  </r>
  <r>
    <n v="92"/>
    <s v="Elvis"/>
    <s v="Male"/>
    <d v="1993-08-17T00:00:00"/>
    <x v="3"/>
    <n v="31"/>
    <x v="1"/>
    <x v="2"/>
    <x v="2"/>
    <x v="1"/>
    <x v="1"/>
    <x v="1"/>
    <x v="1"/>
    <x v="0"/>
    <x v="0"/>
    <x v="1"/>
    <x v="0"/>
    <x v="43"/>
    <d v="1899-12-30T14:37:00"/>
    <d v="1899-12-30T16:35:00"/>
    <n v="118"/>
    <x v="1"/>
    <x v="1"/>
  </r>
  <r>
    <n v="93"/>
    <s v="Nicolle"/>
    <s v="Female"/>
    <d v="1984-06-06T00:00:00"/>
    <x v="3"/>
    <n v="40"/>
    <x v="1"/>
    <x v="0"/>
    <x v="60"/>
    <x v="0"/>
    <x v="0"/>
    <x v="1"/>
    <x v="0"/>
    <x v="1"/>
    <x v="0"/>
    <x v="0"/>
    <x v="0"/>
    <x v="41"/>
    <d v="1899-12-30T09:55:00"/>
    <d v="1899-12-30T11:28:00"/>
    <n v="93"/>
    <x v="0"/>
    <x v="0"/>
  </r>
  <r>
    <n v="94"/>
    <s v="Karlyn"/>
    <s v="Female"/>
    <d v="1983-06-03T00:00:00"/>
    <x v="1"/>
    <n v="41"/>
    <x v="1"/>
    <x v="3"/>
    <x v="33"/>
    <x v="0"/>
    <x v="1"/>
    <x v="1"/>
    <x v="0"/>
    <x v="0"/>
    <x v="1"/>
    <x v="1"/>
    <x v="0"/>
    <x v="6"/>
    <d v="1899-12-30T16:43:00"/>
    <d v="1899-12-30T18:16:00"/>
    <n v="93"/>
    <x v="1"/>
    <x v="1"/>
  </r>
  <r>
    <n v="95"/>
    <s v="Jen"/>
    <s v="Female"/>
    <d v="2012-05-10T00:00:00"/>
    <x v="2"/>
    <n v="12"/>
    <x v="1"/>
    <x v="1"/>
    <x v="61"/>
    <x v="0"/>
    <x v="0"/>
    <x v="0"/>
    <x v="1"/>
    <x v="0"/>
    <x v="1"/>
    <x v="1"/>
    <x v="0"/>
    <x v="44"/>
    <d v="1899-12-30T10:10:00"/>
    <d v="1899-12-30T11:35:00"/>
    <n v="85"/>
    <x v="0"/>
    <x v="0"/>
  </r>
  <r>
    <n v="96"/>
    <s v="Hunt"/>
    <s v="Male"/>
    <d v="1984-04-10T00:00:00"/>
    <x v="3"/>
    <n v="40"/>
    <x v="1"/>
    <x v="2"/>
    <x v="9"/>
    <x v="0"/>
    <x v="0"/>
    <x v="1"/>
    <x v="1"/>
    <x v="0"/>
    <x v="0"/>
    <x v="1"/>
    <x v="1"/>
    <x v="1"/>
    <d v="1899-12-30T10:28:00"/>
    <d v="1899-12-30T12:55:00"/>
    <n v="147"/>
    <x v="0"/>
    <x v="0"/>
  </r>
  <r>
    <n v="97"/>
    <s v="Barnebas"/>
    <s v="Male"/>
    <d v="1995-03-24T00:00:00"/>
    <x v="0"/>
    <n v="29"/>
    <x v="0"/>
    <x v="1"/>
    <x v="32"/>
    <x v="0"/>
    <x v="1"/>
    <x v="1"/>
    <x v="0"/>
    <x v="1"/>
    <x v="0"/>
    <x v="0"/>
    <x v="1"/>
    <x v="1"/>
    <d v="1899-12-30T14:16:00"/>
    <d v="1899-12-30T17:13:00"/>
    <n v="177"/>
    <x v="0"/>
    <x v="0"/>
  </r>
  <r>
    <n v="98"/>
    <s v="Emanuel"/>
    <s v="Male"/>
    <d v="2005-09-18T00:00:00"/>
    <x v="2"/>
    <n v="19"/>
    <x v="0"/>
    <x v="3"/>
    <x v="47"/>
    <x v="0"/>
    <x v="0"/>
    <x v="1"/>
    <x v="0"/>
    <x v="0"/>
    <x v="0"/>
    <x v="1"/>
    <x v="1"/>
    <x v="1"/>
    <d v="1899-12-30T16:57:00"/>
    <d v="1899-12-30T17:48:00"/>
    <n v="51"/>
    <x v="1"/>
    <x v="3"/>
  </r>
  <r>
    <n v="99"/>
    <s v="Blondelle"/>
    <s v="Female"/>
    <d v="1990-03-23T00:00:00"/>
    <x v="3"/>
    <n v="34"/>
    <x v="0"/>
    <x v="3"/>
    <x v="52"/>
    <x v="0"/>
    <x v="1"/>
    <x v="1"/>
    <x v="0"/>
    <x v="1"/>
    <x v="0"/>
    <x v="1"/>
    <x v="1"/>
    <x v="1"/>
    <d v="1899-12-30T09:35:00"/>
    <d v="1899-12-30T10:57:00"/>
    <n v="82"/>
    <x v="1"/>
    <x v="4"/>
  </r>
  <r>
    <n v="100"/>
    <s v="Cherise"/>
    <s v="Female"/>
    <d v="2003-02-08T00:00:00"/>
    <x v="0"/>
    <n v="21"/>
    <x v="0"/>
    <x v="1"/>
    <x v="6"/>
    <x v="1"/>
    <x v="0"/>
    <x v="1"/>
    <x v="1"/>
    <x v="0"/>
    <x v="0"/>
    <x v="0"/>
    <x v="1"/>
    <x v="1"/>
    <d v="1899-12-30T08:34:00"/>
    <d v="1899-12-30T10:09:00"/>
    <n v="95"/>
    <x v="0"/>
    <x v="0"/>
  </r>
  <r>
    <n v="101"/>
    <s v="Giselbert"/>
    <s v="Male"/>
    <d v="1980-05-18T00:00:00"/>
    <x v="1"/>
    <n v="44"/>
    <x v="1"/>
    <x v="1"/>
    <x v="19"/>
    <x v="1"/>
    <x v="0"/>
    <x v="1"/>
    <x v="1"/>
    <x v="0"/>
    <x v="1"/>
    <x v="1"/>
    <x v="0"/>
    <x v="45"/>
    <d v="1899-12-30T10:11:00"/>
    <d v="1899-12-30T13:01:00"/>
    <n v="170"/>
    <x v="1"/>
    <x v="3"/>
  </r>
  <r>
    <n v="102"/>
    <s v="Shayna"/>
    <s v="Female"/>
    <d v="2000-02-15T00:00:00"/>
    <x v="0"/>
    <n v="24"/>
    <x v="1"/>
    <x v="1"/>
    <x v="42"/>
    <x v="0"/>
    <x v="0"/>
    <x v="1"/>
    <x v="0"/>
    <x v="0"/>
    <x v="0"/>
    <x v="0"/>
    <x v="0"/>
    <x v="46"/>
    <d v="1899-12-30T17:42:00"/>
    <d v="1899-12-30T20:23:00"/>
    <n v="161"/>
    <x v="1"/>
    <x v="2"/>
  </r>
  <r>
    <n v="103"/>
    <s v="Falito"/>
    <s v="Male"/>
    <d v="1990-11-06T00:00:00"/>
    <x v="3"/>
    <n v="33"/>
    <x v="1"/>
    <x v="4"/>
    <x v="28"/>
    <x v="0"/>
    <x v="1"/>
    <x v="0"/>
    <x v="0"/>
    <x v="1"/>
    <x v="1"/>
    <x v="0"/>
    <x v="0"/>
    <x v="47"/>
    <d v="1899-12-30T10:29:00"/>
    <d v="1899-12-30T12:41:00"/>
    <n v="132"/>
    <x v="1"/>
    <x v="1"/>
  </r>
  <r>
    <n v="104"/>
    <s v="Rodi"/>
    <s v="Female"/>
    <d v="1976-12-20T00:00:00"/>
    <x v="1"/>
    <n v="47"/>
    <x v="0"/>
    <x v="3"/>
    <x v="56"/>
    <x v="1"/>
    <x v="1"/>
    <x v="1"/>
    <x v="1"/>
    <x v="0"/>
    <x v="1"/>
    <x v="1"/>
    <x v="1"/>
    <x v="1"/>
    <d v="1899-12-30T13:19:00"/>
    <d v="1899-12-30T15:41:00"/>
    <n v="142"/>
    <x v="1"/>
    <x v="2"/>
  </r>
  <r>
    <n v="105"/>
    <s v="Dianemarie"/>
    <s v="Female"/>
    <d v="1986-03-15T00:00:00"/>
    <x v="3"/>
    <n v="38"/>
    <x v="0"/>
    <x v="2"/>
    <x v="51"/>
    <x v="0"/>
    <x v="1"/>
    <x v="1"/>
    <x v="0"/>
    <x v="0"/>
    <x v="0"/>
    <x v="1"/>
    <x v="0"/>
    <x v="41"/>
    <d v="1899-12-30T09:51:00"/>
    <d v="1899-12-30T10:35:00"/>
    <n v="44"/>
    <x v="1"/>
    <x v="2"/>
  </r>
  <r>
    <n v="106"/>
    <s v="Tomkin"/>
    <s v="Male"/>
    <d v="2012-08-28T00:00:00"/>
    <x v="2"/>
    <n v="12"/>
    <x v="0"/>
    <x v="1"/>
    <x v="3"/>
    <x v="0"/>
    <x v="1"/>
    <x v="0"/>
    <x v="1"/>
    <x v="0"/>
    <x v="1"/>
    <x v="0"/>
    <x v="0"/>
    <x v="48"/>
    <d v="1899-12-30T19:57:00"/>
    <d v="1899-12-30T20:49:00"/>
    <n v="52"/>
    <x v="0"/>
    <x v="0"/>
  </r>
  <r>
    <n v="107"/>
    <s v="Shawnee"/>
    <s v="Female"/>
    <d v="2003-07-22T00:00:00"/>
    <x v="0"/>
    <n v="21"/>
    <x v="1"/>
    <x v="3"/>
    <x v="31"/>
    <x v="0"/>
    <x v="0"/>
    <x v="1"/>
    <x v="1"/>
    <x v="0"/>
    <x v="0"/>
    <x v="0"/>
    <x v="1"/>
    <x v="1"/>
    <d v="1899-12-30T20:13:00"/>
    <d v="1899-12-30T22:42:00"/>
    <n v="149"/>
    <x v="0"/>
    <x v="0"/>
  </r>
  <r>
    <n v="108"/>
    <s v="Vivia"/>
    <s v="Female"/>
    <d v="2002-03-05T00:00:00"/>
    <x v="0"/>
    <n v="22"/>
    <x v="1"/>
    <x v="1"/>
    <x v="62"/>
    <x v="0"/>
    <x v="1"/>
    <x v="0"/>
    <x v="0"/>
    <x v="1"/>
    <x v="0"/>
    <x v="1"/>
    <x v="0"/>
    <x v="32"/>
    <d v="1899-12-30T19:52:00"/>
    <d v="1899-12-30T21:17:00"/>
    <n v="85"/>
    <x v="1"/>
    <x v="1"/>
  </r>
  <r>
    <n v="109"/>
    <s v="Amara"/>
    <s v="Female"/>
    <d v="1991-03-27T00:00:00"/>
    <x v="3"/>
    <n v="33"/>
    <x v="0"/>
    <x v="2"/>
    <x v="21"/>
    <x v="0"/>
    <x v="1"/>
    <x v="1"/>
    <x v="1"/>
    <x v="0"/>
    <x v="1"/>
    <x v="1"/>
    <x v="1"/>
    <x v="1"/>
    <d v="1899-12-30T14:02:00"/>
    <d v="1899-12-30T14:57:00"/>
    <n v="55"/>
    <x v="0"/>
    <x v="0"/>
  </r>
  <r>
    <n v="110"/>
    <s v="Aile"/>
    <s v="Female"/>
    <d v="2004-03-01T00:00:00"/>
    <x v="0"/>
    <n v="20"/>
    <x v="0"/>
    <x v="3"/>
    <x v="18"/>
    <x v="0"/>
    <x v="1"/>
    <x v="1"/>
    <x v="1"/>
    <x v="1"/>
    <x v="0"/>
    <x v="0"/>
    <x v="0"/>
    <x v="9"/>
    <d v="1899-12-30T17:52:00"/>
    <d v="1899-12-30T20:39:00"/>
    <n v="167"/>
    <x v="0"/>
    <x v="0"/>
  </r>
  <r>
    <n v="111"/>
    <s v="Irena"/>
    <s v="Female"/>
    <d v="1994-02-01T00:00:00"/>
    <x v="0"/>
    <n v="30"/>
    <x v="1"/>
    <x v="1"/>
    <x v="63"/>
    <x v="1"/>
    <x v="1"/>
    <x v="0"/>
    <x v="1"/>
    <x v="0"/>
    <x v="1"/>
    <x v="1"/>
    <x v="0"/>
    <x v="45"/>
    <d v="1899-12-30T17:43:00"/>
    <d v="1899-12-30T18:25:00"/>
    <n v="42"/>
    <x v="0"/>
    <x v="0"/>
  </r>
  <r>
    <n v="112"/>
    <s v="Waylin"/>
    <s v="Male"/>
    <d v="2009-03-06T00:00:00"/>
    <x v="2"/>
    <n v="15"/>
    <x v="1"/>
    <x v="1"/>
    <x v="64"/>
    <x v="0"/>
    <x v="1"/>
    <x v="0"/>
    <x v="0"/>
    <x v="0"/>
    <x v="1"/>
    <x v="1"/>
    <x v="0"/>
    <x v="49"/>
    <d v="1899-12-30T16:33:00"/>
    <d v="1899-12-30T17:59:00"/>
    <n v="86"/>
    <x v="0"/>
    <x v="0"/>
  </r>
  <r>
    <n v="113"/>
    <s v="Yvonne"/>
    <s v="Female"/>
    <d v="1977-07-31T00:00:00"/>
    <x v="1"/>
    <n v="47"/>
    <x v="0"/>
    <x v="2"/>
    <x v="2"/>
    <x v="1"/>
    <x v="1"/>
    <x v="1"/>
    <x v="1"/>
    <x v="0"/>
    <x v="0"/>
    <x v="1"/>
    <x v="1"/>
    <x v="1"/>
    <d v="1899-12-30T16:23:00"/>
    <d v="1899-12-30T17:36:00"/>
    <n v="73"/>
    <x v="1"/>
    <x v="1"/>
  </r>
  <r>
    <n v="114"/>
    <s v="Catherine"/>
    <s v="Female"/>
    <d v="1994-06-18T00:00:00"/>
    <x v="0"/>
    <n v="30"/>
    <x v="0"/>
    <x v="1"/>
    <x v="65"/>
    <x v="1"/>
    <x v="1"/>
    <x v="0"/>
    <x v="0"/>
    <x v="0"/>
    <x v="0"/>
    <x v="1"/>
    <x v="1"/>
    <x v="1"/>
    <d v="1899-12-30T13:51:00"/>
    <d v="1899-12-30T14:54:00"/>
    <n v="63"/>
    <x v="1"/>
    <x v="3"/>
  </r>
  <r>
    <n v="115"/>
    <s v="Mae"/>
    <s v="Female"/>
    <d v="2010-09-16T00:00:00"/>
    <x v="2"/>
    <n v="14"/>
    <x v="0"/>
    <x v="1"/>
    <x v="36"/>
    <x v="0"/>
    <x v="0"/>
    <x v="1"/>
    <x v="0"/>
    <x v="1"/>
    <x v="0"/>
    <x v="1"/>
    <x v="1"/>
    <x v="1"/>
    <d v="1899-12-30T14:36:00"/>
    <d v="1899-12-30T16:03:00"/>
    <n v="87"/>
    <x v="1"/>
    <x v="3"/>
  </r>
  <r>
    <n v="116"/>
    <s v="Esra"/>
    <s v="Male"/>
    <d v="1991-03-17T00:00:00"/>
    <x v="3"/>
    <n v="33"/>
    <x v="0"/>
    <x v="0"/>
    <x v="48"/>
    <x v="1"/>
    <x v="1"/>
    <x v="0"/>
    <x v="0"/>
    <x v="0"/>
    <x v="0"/>
    <x v="0"/>
    <x v="1"/>
    <x v="1"/>
    <d v="1899-12-30T19:08:00"/>
    <d v="1899-12-30T21:24:00"/>
    <n v="136"/>
    <x v="0"/>
    <x v="0"/>
  </r>
  <r>
    <n v="117"/>
    <s v="Woodie"/>
    <s v="Male"/>
    <d v="1975-04-04T00:00:00"/>
    <x v="1"/>
    <n v="49"/>
    <x v="1"/>
    <x v="2"/>
    <x v="14"/>
    <x v="0"/>
    <x v="1"/>
    <x v="1"/>
    <x v="1"/>
    <x v="0"/>
    <x v="0"/>
    <x v="0"/>
    <x v="0"/>
    <x v="9"/>
    <d v="1899-12-30T18:02:00"/>
    <d v="1899-12-30T19:37:00"/>
    <n v="95"/>
    <x v="0"/>
    <x v="0"/>
  </r>
  <r>
    <n v="118"/>
    <s v="Esra"/>
    <s v="Male"/>
    <d v="1983-12-28T00:00:00"/>
    <x v="3"/>
    <n v="40"/>
    <x v="1"/>
    <x v="4"/>
    <x v="50"/>
    <x v="0"/>
    <x v="0"/>
    <x v="0"/>
    <x v="0"/>
    <x v="0"/>
    <x v="1"/>
    <x v="0"/>
    <x v="1"/>
    <x v="1"/>
    <d v="1899-12-30T08:23:00"/>
    <d v="1899-12-30T10:02:00"/>
    <n v="99"/>
    <x v="0"/>
    <x v="0"/>
  </r>
  <r>
    <n v="119"/>
    <s v="Bank"/>
    <s v="Male"/>
    <d v="1978-07-07T00:00:00"/>
    <x v="1"/>
    <n v="46"/>
    <x v="0"/>
    <x v="1"/>
    <x v="36"/>
    <x v="0"/>
    <x v="0"/>
    <x v="1"/>
    <x v="0"/>
    <x v="1"/>
    <x v="0"/>
    <x v="1"/>
    <x v="0"/>
    <x v="50"/>
    <d v="1899-12-30T13:30:00"/>
    <d v="1899-12-30T16:26:00"/>
    <n v="176"/>
    <x v="1"/>
    <x v="3"/>
  </r>
  <r>
    <n v="120"/>
    <s v="Selle"/>
    <s v="Female"/>
    <d v="1984-05-06T00:00:00"/>
    <x v="3"/>
    <n v="40"/>
    <x v="1"/>
    <x v="1"/>
    <x v="6"/>
    <x v="1"/>
    <x v="0"/>
    <x v="1"/>
    <x v="1"/>
    <x v="0"/>
    <x v="0"/>
    <x v="0"/>
    <x v="1"/>
    <x v="1"/>
    <d v="1899-12-30T14:55:00"/>
    <d v="1899-12-30T17:45:00"/>
    <n v="170"/>
    <x v="1"/>
    <x v="1"/>
  </r>
  <r>
    <n v="121"/>
    <s v="Robinetta"/>
    <s v="Female"/>
    <d v="2002-03-30T00:00:00"/>
    <x v="0"/>
    <n v="22"/>
    <x v="0"/>
    <x v="3"/>
    <x v="66"/>
    <x v="0"/>
    <x v="0"/>
    <x v="1"/>
    <x v="1"/>
    <x v="1"/>
    <x v="0"/>
    <x v="1"/>
    <x v="0"/>
    <x v="51"/>
    <d v="1899-12-30T19:19:00"/>
    <d v="1899-12-30T21:51:00"/>
    <n v="152"/>
    <x v="0"/>
    <x v="0"/>
  </r>
  <r>
    <n v="122"/>
    <s v="Corrie"/>
    <s v="Female"/>
    <d v="1981-07-02T00:00:00"/>
    <x v="1"/>
    <n v="43"/>
    <x v="0"/>
    <x v="2"/>
    <x v="5"/>
    <x v="0"/>
    <x v="1"/>
    <x v="0"/>
    <x v="1"/>
    <x v="0"/>
    <x v="0"/>
    <x v="1"/>
    <x v="0"/>
    <x v="52"/>
    <d v="1899-12-30T20:09:00"/>
    <d v="1899-12-30T22:15:00"/>
    <n v="126"/>
    <x v="0"/>
    <x v="0"/>
  </r>
  <r>
    <n v="123"/>
    <s v="Carmencita"/>
    <s v="Female"/>
    <d v="1990-10-28T00:00:00"/>
    <x v="3"/>
    <n v="33"/>
    <x v="1"/>
    <x v="1"/>
    <x v="1"/>
    <x v="1"/>
    <x v="1"/>
    <x v="1"/>
    <x v="1"/>
    <x v="0"/>
    <x v="1"/>
    <x v="0"/>
    <x v="1"/>
    <x v="1"/>
    <d v="1899-12-30T09:46:00"/>
    <d v="1899-12-30T10:26:00"/>
    <n v="40"/>
    <x v="0"/>
    <x v="0"/>
  </r>
  <r>
    <n v="124"/>
    <s v="Fifi"/>
    <s v="Female"/>
    <d v="2010-07-29T00:00:00"/>
    <x v="2"/>
    <n v="14"/>
    <x v="0"/>
    <x v="1"/>
    <x v="59"/>
    <x v="1"/>
    <x v="0"/>
    <x v="0"/>
    <x v="1"/>
    <x v="0"/>
    <x v="0"/>
    <x v="1"/>
    <x v="1"/>
    <x v="1"/>
    <d v="1899-12-30T14:40:00"/>
    <d v="1899-12-30T15:29:00"/>
    <n v="49"/>
    <x v="1"/>
    <x v="4"/>
  </r>
  <r>
    <n v="125"/>
    <s v="Jae"/>
    <s v="Male"/>
    <d v="2010-04-20T00:00:00"/>
    <x v="2"/>
    <n v="14"/>
    <x v="1"/>
    <x v="1"/>
    <x v="67"/>
    <x v="1"/>
    <x v="1"/>
    <x v="1"/>
    <x v="1"/>
    <x v="1"/>
    <x v="1"/>
    <x v="1"/>
    <x v="1"/>
    <x v="1"/>
    <d v="1899-12-30T14:09:00"/>
    <d v="1899-12-30T17:06:00"/>
    <n v="177"/>
    <x v="1"/>
    <x v="3"/>
  </r>
  <r>
    <n v="126"/>
    <s v="Iago"/>
    <s v="Male"/>
    <d v="2009-10-16T00:00:00"/>
    <x v="2"/>
    <n v="14"/>
    <x v="1"/>
    <x v="1"/>
    <x v="59"/>
    <x v="1"/>
    <x v="0"/>
    <x v="0"/>
    <x v="1"/>
    <x v="0"/>
    <x v="0"/>
    <x v="1"/>
    <x v="1"/>
    <x v="1"/>
    <d v="1899-12-30T08:40:00"/>
    <d v="1899-12-30T09:56:00"/>
    <n v="76"/>
    <x v="1"/>
    <x v="1"/>
  </r>
  <r>
    <n v="127"/>
    <s v="Minnie"/>
    <s v="Female"/>
    <d v="2004-12-16T00:00:00"/>
    <x v="2"/>
    <n v="19"/>
    <x v="1"/>
    <x v="1"/>
    <x v="62"/>
    <x v="0"/>
    <x v="1"/>
    <x v="0"/>
    <x v="0"/>
    <x v="1"/>
    <x v="0"/>
    <x v="1"/>
    <x v="1"/>
    <x v="1"/>
    <d v="1899-12-30T10:58:00"/>
    <d v="1899-12-30T12:39:00"/>
    <n v="101"/>
    <x v="1"/>
    <x v="4"/>
  </r>
  <r>
    <n v="128"/>
    <s v="Lian"/>
    <s v="Female"/>
    <d v="1992-02-27T00:00:00"/>
    <x v="3"/>
    <n v="32"/>
    <x v="0"/>
    <x v="1"/>
    <x v="65"/>
    <x v="1"/>
    <x v="1"/>
    <x v="0"/>
    <x v="0"/>
    <x v="0"/>
    <x v="0"/>
    <x v="1"/>
    <x v="1"/>
    <x v="1"/>
    <d v="1899-12-30T14:23:00"/>
    <d v="1899-12-30T16:57:00"/>
    <n v="154"/>
    <x v="0"/>
    <x v="0"/>
  </r>
  <r>
    <n v="129"/>
    <s v="Bradney"/>
    <s v="Male"/>
    <d v="1977-03-30T00:00:00"/>
    <x v="1"/>
    <n v="47"/>
    <x v="0"/>
    <x v="2"/>
    <x v="51"/>
    <x v="0"/>
    <x v="1"/>
    <x v="1"/>
    <x v="0"/>
    <x v="0"/>
    <x v="0"/>
    <x v="1"/>
    <x v="0"/>
    <x v="43"/>
    <d v="1899-12-30T12:24:00"/>
    <d v="1899-12-30T13:13:00"/>
    <n v="49"/>
    <x v="1"/>
    <x v="4"/>
  </r>
  <r>
    <n v="130"/>
    <s v="Cody"/>
    <s v="Male"/>
    <d v="1981-05-27T00:00:00"/>
    <x v="1"/>
    <n v="43"/>
    <x v="0"/>
    <x v="3"/>
    <x v="68"/>
    <x v="0"/>
    <x v="1"/>
    <x v="0"/>
    <x v="0"/>
    <x v="0"/>
    <x v="0"/>
    <x v="1"/>
    <x v="1"/>
    <x v="1"/>
    <d v="1899-12-30T19:40:00"/>
    <d v="1899-12-30T21:00:00"/>
    <n v="80"/>
    <x v="1"/>
    <x v="1"/>
  </r>
  <r>
    <n v="131"/>
    <s v="Garrott"/>
    <s v="Male"/>
    <d v="1989-11-17T00:00:00"/>
    <x v="3"/>
    <n v="34"/>
    <x v="1"/>
    <x v="1"/>
    <x v="16"/>
    <x v="1"/>
    <x v="1"/>
    <x v="1"/>
    <x v="0"/>
    <x v="1"/>
    <x v="0"/>
    <x v="1"/>
    <x v="1"/>
    <x v="1"/>
    <d v="1899-12-30T15:41:00"/>
    <d v="1899-12-30T17:27:00"/>
    <n v="106"/>
    <x v="1"/>
    <x v="4"/>
  </r>
  <r>
    <n v="132"/>
    <s v="Finley"/>
    <s v="Male"/>
    <d v="2003-03-19T00:00:00"/>
    <x v="0"/>
    <n v="21"/>
    <x v="0"/>
    <x v="2"/>
    <x v="5"/>
    <x v="0"/>
    <x v="1"/>
    <x v="0"/>
    <x v="1"/>
    <x v="0"/>
    <x v="0"/>
    <x v="1"/>
    <x v="1"/>
    <x v="1"/>
    <d v="1899-12-30T18:11:00"/>
    <d v="1899-12-30T19:44:00"/>
    <n v="93"/>
    <x v="1"/>
    <x v="4"/>
  </r>
  <r>
    <n v="133"/>
    <s v="Gearalt"/>
    <s v="Male"/>
    <d v="1997-04-26T00:00:00"/>
    <x v="0"/>
    <n v="27"/>
    <x v="0"/>
    <x v="3"/>
    <x v="7"/>
    <x v="1"/>
    <x v="1"/>
    <x v="1"/>
    <x v="1"/>
    <x v="0"/>
    <x v="0"/>
    <x v="0"/>
    <x v="0"/>
    <x v="34"/>
    <d v="1899-12-30T11:35:00"/>
    <d v="1899-12-30T14:31:00"/>
    <n v="176"/>
    <x v="0"/>
    <x v="0"/>
  </r>
  <r>
    <n v="134"/>
    <s v="Pooh"/>
    <s v="Female"/>
    <d v="1993-08-20T00:00:00"/>
    <x v="3"/>
    <n v="31"/>
    <x v="0"/>
    <x v="4"/>
    <x v="69"/>
    <x v="1"/>
    <x v="0"/>
    <x v="1"/>
    <x v="0"/>
    <x v="1"/>
    <x v="0"/>
    <x v="0"/>
    <x v="0"/>
    <x v="8"/>
    <d v="1899-12-30T09:31:00"/>
    <d v="1899-12-30T12:24:00"/>
    <n v="173"/>
    <x v="1"/>
    <x v="2"/>
  </r>
  <r>
    <n v="135"/>
    <s v="Kris"/>
    <s v="Female"/>
    <d v="2003-05-19T00:00:00"/>
    <x v="0"/>
    <n v="21"/>
    <x v="1"/>
    <x v="3"/>
    <x v="37"/>
    <x v="1"/>
    <x v="1"/>
    <x v="0"/>
    <x v="1"/>
    <x v="0"/>
    <x v="0"/>
    <x v="1"/>
    <x v="1"/>
    <x v="1"/>
    <d v="1899-12-30T13:05:00"/>
    <d v="1899-12-30T14:02:00"/>
    <n v="57"/>
    <x v="1"/>
    <x v="2"/>
  </r>
  <r>
    <n v="136"/>
    <s v="Helga"/>
    <s v="Female"/>
    <d v="2009-06-30T00:00:00"/>
    <x v="2"/>
    <n v="15"/>
    <x v="1"/>
    <x v="3"/>
    <x v="39"/>
    <x v="0"/>
    <x v="1"/>
    <x v="0"/>
    <x v="1"/>
    <x v="0"/>
    <x v="1"/>
    <x v="1"/>
    <x v="1"/>
    <x v="1"/>
    <d v="1899-12-30T16:51:00"/>
    <d v="1899-12-30T17:36:00"/>
    <n v="45"/>
    <x v="0"/>
    <x v="0"/>
  </r>
  <r>
    <n v="137"/>
    <s v="Marga"/>
    <s v="Female"/>
    <d v="2004-09-18T00:00:00"/>
    <x v="0"/>
    <n v="20"/>
    <x v="0"/>
    <x v="1"/>
    <x v="20"/>
    <x v="0"/>
    <x v="0"/>
    <x v="1"/>
    <x v="1"/>
    <x v="0"/>
    <x v="1"/>
    <x v="0"/>
    <x v="1"/>
    <x v="1"/>
    <d v="1899-12-30T10:32:00"/>
    <d v="1899-12-30T13:30:00"/>
    <n v="178"/>
    <x v="0"/>
    <x v="0"/>
  </r>
  <r>
    <n v="138"/>
    <s v="Gunar"/>
    <s v="Male"/>
    <d v="1988-04-10T00:00:00"/>
    <x v="3"/>
    <n v="36"/>
    <x v="1"/>
    <x v="2"/>
    <x v="51"/>
    <x v="0"/>
    <x v="1"/>
    <x v="1"/>
    <x v="0"/>
    <x v="0"/>
    <x v="0"/>
    <x v="1"/>
    <x v="1"/>
    <x v="1"/>
    <d v="1899-12-30T20:55:00"/>
    <d v="1899-12-30T22:16:00"/>
    <n v="81"/>
    <x v="0"/>
    <x v="0"/>
  </r>
  <r>
    <n v="139"/>
    <s v="Nesta"/>
    <s v="Female"/>
    <d v="1993-04-07T00:00:00"/>
    <x v="3"/>
    <n v="31"/>
    <x v="1"/>
    <x v="4"/>
    <x v="70"/>
    <x v="1"/>
    <x v="0"/>
    <x v="0"/>
    <x v="1"/>
    <x v="1"/>
    <x v="1"/>
    <x v="1"/>
    <x v="1"/>
    <x v="1"/>
    <d v="1899-12-30T19:28:00"/>
    <d v="1899-12-30T21:35:00"/>
    <n v="127"/>
    <x v="0"/>
    <x v="0"/>
  </r>
  <r>
    <n v="140"/>
    <s v="Brittany"/>
    <s v="Female"/>
    <d v="2010-02-25T00:00:00"/>
    <x v="2"/>
    <n v="14"/>
    <x v="1"/>
    <x v="3"/>
    <x v="12"/>
    <x v="1"/>
    <x v="1"/>
    <x v="1"/>
    <x v="0"/>
    <x v="0"/>
    <x v="0"/>
    <x v="1"/>
    <x v="0"/>
    <x v="53"/>
    <d v="1899-12-30T10:33:00"/>
    <d v="1899-12-30T11:05:00"/>
    <n v="32"/>
    <x v="0"/>
    <x v="0"/>
  </r>
  <r>
    <n v="141"/>
    <s v="Park"/>
    <s v="Male"/>
    <d v="1984-05-28T00:00:00"/>
    <x v="3"/>
    <n v="40"/>
    <x v="0"/>
    <x v="1"/>
    <x v="3"/>
    <x v="0"/>
    <x v="1"/>
    <x v="0"/>
    <x v="1"/>
    <x v="0"/>
    <x v="1"/>
    <x v="0"/>
    <x v="0"/>
    <x v="54"/>
    <d v="1899-12-30T19:59:00"/>
    <d v="1899-12-30T22:37:00"/>
    <n v="158"/>
    <x v="1"/>
    <x v="2"/>
  </r>
  <r>
    <n v="142"/>
    <s v="Rosalinde"/>
    <s v="Female"/>
    <d v="2002-03-07T00:00:00"/>
    <x v="0"/>
    <n v="22"/>
    <x v="1"/>
    <x v="4"/>
    <x v="71"/>
    <x v="1"/>
    <x v="0"/>
    <x v="0"/>
    <x v="0"/>
    <x v="1"/>
    <x v="0"/>
    <x v="1"/>
    <x v="0"/>
    <x v="55"/>
    <d v="1899-12-30T08:13:00"/>
    <d v="1899-12-30T11:09:00"/>
    <n v="176"/>
    <x v="0"/>
    <x v="0"/>
  </r>
  <r>
    <n v="143"/>
    <s v="Ginnifer"/>
    <s v="Female"/>
    <d v="2008-03-19T00:00:00"/>
    <x v="2"/>
    <n v="16"/>
    <x v="0"/>
    <x v="1"/>
    <x v="26"/>
    <x v="0"/>
    <x v="0"/>
    <x v="1"/>
    <x v="1"/>
    <x v="1"/>
    <x v="1"/>
    <x v="1"/>
    <x v="1"/>
    <x v="1"/>
    <d v="1899-12-30T17:21:00"/>
    <d v="1899-12-30T19:20:00"/>
    <n v="119"/>
    <x v="1"/>
    <x v="1"/>
  </r>
  <r>
    <n v="144"/>
    <s v="Rickard"/>
    <s v="Male"/>
    <d v="1975-03-11T00:00:00"/>
    <x v="1"/>
    <n v="49"/>
    <x v="0"/>
    <x v="1"/>
    <x v="46"/>
    <x v="0"/>
    <x v="1"/>
    <x v="0"/>
    <x v="1"/>
    <x v="1"/>
    <x v="1"/>
    <x v="1"/>
    <x v="0"/>
    <x v="56"/>
    <d v="1899-12-30T20:30:00"/>
    <d v="1899-12-30T22:53:00"/>
    <n v="143"/>
    <x v="1"/>
    <x v="3"/>
  </r>
  <r>
    <n v="145"/>
    <s v="Winne"/>
    <s v="Female"/>
    <d v="2010-06-21T00:00:00"/>
    <x v="2"/>
    <n v="14"/>
    <x v="0"/>
    <x v="1"/>
    <x v="72"/>
    <x v="1"/>
    <x v="1"/>
    <x v="1"/>
    <x v="1"/>
    <x v="1"/>
    <x v="0"/>
    <x v="0"/>
    <x v="1"/>
    <x v="1"/>
    <d v="1899-12-30T10:11:00"/>
    <d v="1899-12-30T11:03:00"/>
    <n v="52"/>
    <x v="0"/>
    <x v="0"/>
  </r>
  <r>
    <n v="146"/>
    <s v="Julina"/>
    <s v="Female"/>
    <d v="2010-08-20T00:00:00"/>
    <x v="2"/>
    <n v="14"/>
    <x v="1"/>
    <x v="4"/>
    <x v="70"/>
    <x v="1"/>
    <x v="0"/>
    <x v="0"/>
    <x v="1"/>
    <x v="1"/>
    <x v="1"/>
    <x v="1"/>
    <x v="0"/>
    <x v="19"/>
    <d v="1899-12-30T20:23:00"/>
    <d v="1899-12-30T21:23:00"/>
    <n v="60"/>
    <x v="1"/>
    <x v="2"/>
  </r>
  <r>
    <n v="147"/>
    <s v="Timothee"/>
    <s v="Male"/>
    <d v="1988-03-17T00:00:00"/>
    <x v="3"/>
    <n v="36"/>
    <x v="1"/>
    <x v="1"/>
    <x v="65"/>
    <x v="1"/>
    <x v="1"/>
    <x v="0"/>
    <x v="0"/>
    <x v="0"/>
    <x v="0"/>
    <x v="1"/>
    <x v="0"/>
    <x v="43"/>
    <d v="1899-12-30T18:19:00"/>
    <d v="1899-12-30T19:48:00"/>
    <n v="89"/>
    <x v="0"/>
    <x v="0"/>
  </r>
  <r>
    <n v="148"/>
    <s v="Hazlett"/>
    <s v="Male"/>
    <d v="1988-03-22T00:00:00"/>
    <x v="3"/>
    <n v="36"/>
    <x v="0"/>
    <x v="3"/>
    <x v="52"/>
    <x v="0"/>
    <x v="1"/>
    <x v="1"/>
    <x v="0"/>
    <x v="1"/>
    <x v="0"/>
    <x v="1"/>
    <x v="0"/>
    <x v="57"/>
    <d v="1899-12-30T09:08:00"/>
    <d v="1899-12-30T12:02:00"/>
    <n v="174"/>
    <x v="1"/>
    <x v="2"/>
  </r>
  <r>
    <n v="149"/>
    <s v="Andrew"/>
    <s v="Male"/>
    <d v="1998-06-29T00:00:00"/>
    <x v="0"/>
    <n v="26"/>
    <x v="1"/>
    <x v="3"/>
    <x v="52"/>
    <x v="0"/>
    <x v="1"/>
    <x v="1"/>
    <x v="0"/>
    <x v="1"/>
    <x v="0"/>
    <x v="1"/>
    <x v="1"/>
    <x v="1"/>
    <d v="1899-12-30T17:57:00"/>
    <d v="1899-12-30T19:49:00"/>
    <n v="112"/>
    <x v="0"/>
    <x v="0"/>
  </r>
  <r>
    <n v="150"/>
    <s v="Cirilo"/>
    <s v="Male"/>
    <d v="2005-06-27T00:00:00"/>
    <x v="2"/>
    <n v="19"/>
    <x v="0"/>
    <x v="2"/>
    <x v="9"/>
    <x v="0"/>
    <x v="0"/>
    <x v="1"/>
    <x v="1"/>
    <x v="0"/>
    <x v="0"/>
    <x v="1"/>
    <x v="1"/>
    <x v="1"/>
    <d v="1899-12-30T16:10:00"/>
    <d v="1899-12-30T17:32:00"/>
    <n v="82"/>
    <x v="1"/>
    <x v="2"/>
  </r>
  <r>
    <n v="151"/>
    <s v="Alberto"/>
    <s v="Male"/>
    <d v="1995-02-02T00:00:00"/>
    <x v="0"/>
    <n v="29"/>
    <x v="0"/>
    <x v="3"/>
    <x v="33"/>
    <x v="0"/>
    <x v="1"/>
    <x v="1"/>
    <x v="0"/>
    <x v="0"/>
    <x v="1"/>
    <x v="1"/>
    <x v="0"/>
    <x v="58"/>
    <d v="1899-12-30T20:15:00"/>
    <d v="1899-12-30T21:11:00"/>
    <n v="56"/>
    <x v="0"/>
    <x v="0"/>
  </r>
  <r>
    <n v="152"/>
    <s v="Marion"/>
    <s v="Male"/>
    <d v="1997-09-25T00:00:00"/>
    <x v="0"/>
    <n v="27"/>
    <x v="0"/>
    <x v="3"/>
    <x v="53"/>
    <x v="0"/>
    <x v="0"/>
    <x v="0"/>
    <x v="1"/>
    <x v="0"/>
    <x v="0"/>
    <x v="1"/>
    <x v="1"/>
    <x v="1"/>
    <d v="1899-12-30T20:44:00"/>
    <d v="1899-12-30T21:33:00"/>
    <n v="49"/>
    <x v="1"/>
    <x v="4"/>
  </r>
  <r>
    <n v="153"/>
    <s v="Gail"/>
    <s v="Male"/>
    <d v="1977-07-22T00:00:00"/>
    <x v="1"/>
    <n v="47"/>
    <x v="0"/>
    <x v="3"/>
    <x v="73"/>
    <x v="1"/>
    <x v="1"/>
    <x v="1"/>
    <x v="1"/>
    <x v="1"/>
    <x v="0"/>
    <x v="1"/>
    <x v="0"/>
    <x v="59"/>
    <d v="1899-12-30T16:41:00"/>
    <d v="1899-12-30T17:16:00"/>
    <n v="35"/>
    <x v="1"/>
    <x v="1"/>
  </r>
  <r>
    <n v="154"/>
    <s v="Burke"/>
    <s v="Male"/>
    <d v="1985-03-16T00:00:00"/>
    <x v="3"/>
    <n v="39"/>
    <x v="1"/>
    <x v="3"/>
    <x v="18"/>
    <x v="0"/>
    <x v="1"/>
    <x v="1"/>
    <x v="1"/>
    <x v="1"/>
    <x v="0"/>
    <x v="0"/>
    <x v="0"/>
    <x v="0"/>
    <d v="1899-12-30T11:18:00"/>
    <d v="1899-12-30T13:02:00"/>
    <n v="104"/>
    <x v="1"/>
    <x v="2"/>
  </r>
  <r>
    <n v="155"/>
    <s v="Moe"/>
    <s v="Male"/>
    <d v="1977-08-27T00:00:00"/>
    <x v="1"/>
    <n v="47"/>
    <x v="1"/>
    <x v="2"/>
    <x v="9"/>
    <x v="0"/>
    <x v="0"/>
    <x v="1"/>
    <x v="1"/>
    <x v="0"/>
    <x v="0"/>
    <x v="1"/>
    <x v="1"/>
    <x v="1"/>
    <d v="1899-12-30T14:41:00"/>
    <d v="1899-12-30T15:14:00"/>
    <n v="33"/>
    <x v="1"/>
    <x v="4"/>
  </r>
  <r>
    <n v="156"/>
    <s v="Jocelyne"/>
    <s v="Female"/>
    <d v="2004-02-01T00:00:00"/>
    <x v="0"/>
    <n v="20"/>
    <x v="0"/>
    <x v="3"/>
    <x v="27"/>
    <x v="0"/>
    <x v="1"/>
    <x v="1"/>
    <x v="1"/>
    <x v="0"/>
    <x v="1"/>
    <x v="0"/>
    <x v="1"/>
    <x v="1"/>
    <d v="1899-12-30T18:54:00"/>
    <d v="1899-12-30T20:04:00"/>
    <n v="70"/>
    <x v="1"/>
    <x v="1"/>
  </r>
  <r>
    <n v="157"/>
    <s v="Jillie"/>
    <s v="Female"/>
    <d v="2004-08-30T00:00:00"/>
    <x v="0"/>
    <n v="20"/>
    <x v="1"/>
    <x v="0"/>
    <x v="74"/>
    <x v="0"/>
    <x v="1"/>
    <x v="0"/>
    <x v="1"/>
    <x v="1"/>
    <x v="1"/>
    <x v="0"/>
    <x v="1"/>
    <x v="1"/>
    <d v="1899-12-30T11:51:00"/>
    <d v="1899-12-30T13:13:00"/>
    <n v="82"/>
    <x v="1"/>
    <x v="3"/>
  </r>
  <r>
    <n v="158"/>
    <s v="Torrance"/>
    <s v="Male"/>
    <d v="2002-02-02T00:00:00"/>
    <x v="0"/>
    <n v="22"/>
    <x v="1"/>
    <x v="3"/>
    <x v="53"/>
    <x v="0"/>
    <x v="0"/>
    <x v="0"/>
    <x v="1"/>
    <x v="0"/>
    <x v="0"/>
    <x v="1"/>
    <x v="1"/>
    <x v="1"/>
    <d v="1899-12-30T14:12:00"/>
    <d v="1899-12-30T15:37:00"/>
    <n v="85"/>
    <x v="1"/>
    <x v="2"/>
  </r>
  <r>
    <n v="159"/>
    <s v="Ruthann"/>
    <s v="Female"/>
    <d v="2002-06-03T00:00:00"/>
    <x v="0"/>
    <n v="22"/>
    <x v="1"/>
    <x v="1"/>
    <x v="75"/>
    <x v="0"/>
    <x v="1"/>
    <x v="0"/>
    <x v="1"/>
    <x v="1"/>
    <x v="0"/>
    <x v="0"/>
    <x v="0"/>
    <x v="60"/>
    <d v="1899-12-30T17:57:00"/>
    <d v="1899-12-30T20:19:00"/>
    <n v="142"/>
    <x v="1"/>
    <x v="4"/>
  </r>
  <r>
    <n v="160"/>
    <s v="Millie"/>
    <s v="Female"/>
    <d v="2000-03-19T00:00:00"/>
    <x v="0"/>
    <n v="24"/>
    <x v="0"/>
    <x v="1"/>
    <x v="76"/>
    <x v="1"/>
    <x v="1"/>
    <x v="0"/>
    <x v="1"/>
    <x v="1"/>
    <x v="0"/>
    <x v="1"/>
    <x v="0"/>
    <x v="61"/>
    <d v="1899-12-30T15:17:00"/>
    <d v="1899-12-30T16:48:00"/>
    <n v="91"/>
    <x v="1"/>
    <x v="4"/>
  </r>
  <r>
    <n v="161"/>
    <s v="Adriane"/>
    <s v="Female"/>
    <d v="2006-12-22T00:00:00"/>
    <x v="2"/>
    <n v="17"/>
    <x v="1"/>
    <x v="1"/>
    <x v="77"/>
    <x v="0"/>
    <x v="1"/>
    <x v="1"/>
    <x v="0"/>
    <x v="0"/>
    <x v="1"/>
    <x v="0"/>
    <x v="0"/>
    <x v="62"/>
    <d v="1899-12-30T15:41:00"/>
    <d v="1899-12-30T18:15:00"/>
    <n v="154"/>
    <x v="1"/>
    <x v="1"/>
  </r>
  <r>
    <n v="162"/>
    <s v="Peder"/>
    <s v="Male"/>
    <d v="1995-01-27T00:00:00"/>
    <x v="0"/>
    <n v="29"/>
    <x v="1"/>
    <x v="2"/>
    <x v="10"/>
    <x v="0"/>
    <x v="1"/>
    <x v="1"/>
    <x v="1"/>
    <x v="1"/>
    <x v="0"/>
    <x v="1"/>
    <x v="1"/>
    <x v="1"/>
    <d v="1899-12-30T17:00:00"/>
    <d v="1899-12-30T19:46:00"/>
    <n v="166"/>
    <x v="0"/>
    <x v="0"/>
  </r>
  <r>
    <n v="163"/>
    <s v="Cesaro"/>
    <s v="Male"/>
    <d v="1987-11-24T00:00:00"/>
    <x v="3"/>
    <n v="36"/>
    <x v="0"/>
    <x v="1"/>
    <x v="78"/>
    <x v="1"/>
    <x v="1"/>
    <x v="1"/>
    <x v="0"/>
    <x v="0"/>
    <x v="0"/>
    <x v="0"/>
    <x v="1"/>
    <x v="1"/>
    <d v="1899-12-30T08:42:00"/>
    <d v="1899-12-30T11:16:00"/>
    <n v="154"/>
    <x v="1"/>
    <x v="3"/>
  </r>
  <r>
    <n v="164"/>
    <s v="Quincy"/>
    <s v="Male"/>
    <d v="2004-01-29T00:00:00"/>
    <x v="0"/>
    <n v="20"/>
    <x v="1"/>
    <x v="4"/>
    <x v="23"/>
    <x v="0"/>
    <x v="0"/>
    <x v="1"/>
    <x v="0"/>
    <x v="1"/>
    <x v="1"/>
    <x v="0"/>
    <x v="1"/>
    <x v="1"/>
    <d v="1899-12-30T17:41:00"/>
    <d v="1899-12-30T20:08:00"/>
    <n v="147"/>
    <x v="0"/>
    <x v="0"/>
  </r>
  <r>
    <n v="165"/>
    <s v="Christian"/>
    <s v="Male"/>
    <d v="1995-05-22T00:00:00"/>
    <x v="0"/>
    <n v="29"/>
    <x v="1"/>
    <x v="3"/>
    <x v="37"/>
    <x v="1"/>
    <x v="1"/>
    <x v="0"/>
    <x v="1"/>
    <x v="0"/>
    <x v="0"/>
    <x v="1"/>
    <x v="0"/>
    <x v="34"/>
    <d v="1899-12-30T14:45:00"/>
    <d v="1899-12-30T17:27:00"/>
    <n v="162"/>
    <x v="1"/>
    <x v="1"/>
  </r>
  <r>
    <n v="166"/>
    <s v="Bordie"/>
    <s v="Male"/>
    <d v="1992-09-19T00:00:00"/>
    <x v="3"/>
    <n v="32"/>
    <x v="0"/>
    <x v="1"/>
    <x v="19"/>
    <x v="1"/>
    <x v="0"/>
    <x v="1"/>
    <x v="1"/>
    <x v="0"/>
    <x v="1"/>
    <x v="1"/>
    <x v="1"/>
    <x v="1"/>
    <d v="1899-12-30T20:34:00"/>
    <d v="1899-12-30T21:23:00"/>
    <n v="49"/>
    <x v="1"/>
    <x v="1"/>
  </r>
  <r>
    <n v="167"/>
    <s v="Nessie"/>
    <s v="Female"/>
    <d v="1981-10-15T00:00:00"/>
    <x v="1"/>
    <n v="42"/>
    <x v="0"/>
    <x v="0"/>
    <x v="58"/>
    <x v="0"/>
    <x v="0"/>
    <x v="0"/>
    <x v="0"/>
    <x v="0"/>
    <x v="1"/>
    <x v="1"/>
    <x v="0"/>
    <x v="63"/>
    <d v="1899-12-30T09:55:00"/>
    <d v="1899-12-30T12:44:00"/>
    <n v="169"/>
    <x v="0"/>
    <x v="0"/>
  </r>
  <r>
    <n v="168"/>
    <s v="Desi"/>
    <s v="Male"/>
    <d v="2010-10-05T00:00:00"/>
    <x v="2"/>
    <n v="13"/>
    <x v="1"/>
    <x v="1"/>
    <x v="24"/>
    <x v="0"/>
    <x v="0"/>
    <x v="1"/>
    <x v="0"/>
    <x v="0"/>
    <x v="1"/>
    <x v="1"/>
    <x v="0"/>
    <x v="43"/>
    <d v="1899-12-30T12:27:00"/>
    <d v="1899-12-30T13:36:00"/>
    <n v="69"/>
    <x v="0"/>
    <x v="0"/>
  </r>
  <r>
    <n v="169"/>
    <s v="Odelinda"/>
    <s v="Female"/>
    <d v="1988-11-28T00:00:00"/>
    <x v="3"/>
    <n v="35"/>
    <x v="0"/>
    <x v="1"/>
    <x v="1"/>
    <x v="1"/>
    <x v="1"/>
    <x v="1"/>
    <x v="1"/>
    <x v="0"/>
    <x v="1"/>
    <x v="0"/>
    <x v="0"/>
    <x v="0"/>
    <d v="1899-12-30T13:32:00"/>
    <d v="1899-12-30T14:09:00"/>
    <n v="37"/>
    <x v="0"/>
    <x v="0"/>
  </r>
  <r>
    <n v="170"/>
    <s v="Rodger"/>
    <s v="Male"/>
    <d v="1981-07-29T00:00:00"/>
    <x v="1"/>
    <n v="43"/>
    <x v="1"/>
    <x v="1"/>
    <x v="32"/>
    <x v="0"/>
    <x v="1"/>
    <x v="1"/>
    <x v="0"/>
    <x v="1"/>
    <x v="0"/>
    <x v="0"/>
    <x v="1"/>
    <x v="1"/>
    <d v="1899-12-30T12:12:00"/>
    <d v="1899-12-30T13:05:00"/>
    <n v="53"/>
    <x v="1"/>
    <x v="2"/>
  </r>
  <r>
    <n v="171"/>
    <s v="Corabella"/>
    <s v="Female"/>
    <d v="1987-08-22T00:00:00"/>
    <x v="3"/>
    <n v="37"/>
    <x v="1"/>
    <x v="2"/>
    <x v="2"/>
    <x v="1"/>
    <x v="1"/>
    <x v="1"/>
    <x v="1"/>
    <x v="0"/>
    <x v="0"/>
    <x v="1"/>
    <x v="1"/>
    <x v="1"/>
    <d v="1899-12-30T16:39:00"/>
    <d v="1899-12-30T17:40:00"/>
    <n v="61"/>
    <x v="1"/>
    <x v="4"/>
  </r>
  <r>
    <n v="172"/>
    <s v="Joni"/>
    <s v="Female"/>
    <d v="1975-07-05T00:00:00"/>
    <x v="1"/>
    <n v="49"/>
    <x v="1"/>
    <x v="4"/>
    <x v="54"/>
    <x v="1"/>
    <x v="0"/>
    <x v="0"/>
    <x v="1"/>
    <x v="0"/>
    <x v="1"/>
    <x v="0"/>
    <x v="0"/>
    <x v="9"/>
    <d v="1899-12-30T08:15:00"/>
    <d v="1899-12-30T10:06:00"/>
    <n v="111"/>
    <x v="0"/>
    <x v="0"/>
  </r>
  <r>
    <n v="173"/>
    <s v="Feliks"/>
    <s v="Male"/>
    <d v="1977-07-27T00:00:00"/>
    <x v="1"/>
    <n v="47"/>
    <x v="1"/>
    <x v="3"/>
    <x v="66"/>
    <x v="0"/>
    <x v="0"/>
    <x v="1"/>
    <x v="1"/>
    <x v="1"/>
    <x v="0"/>
    <x v="1"/>
    <x v="1"/>
    <x v="1"/>
    <d v="1899-12-30T16:55:00"/>
    <d v="1899-12-30T19:34:00"/>
    <n v="159"/>
    <x v="0"/>
    <x v="0"/>
  </r>
  <r>
    <n v="174"/>
    <s v="Panchito"/>
    <s v="Male"/>
    <d v="1975-03-17T00:00:00"/>
    <x v="1"/>
    <n v="49"/>
    <x v="0"/>
    <x v="2"/>
    <x v="14"/>
    <x v="0"/>
    <x v="1"/>
    <x v="1"/>
    <x v="1"/>
    <x v="0"/>
    <x v="0"/>
    <x v="0"/>
    <x v="1"/>
    <x v="1"/>
    <d v="1899-12-30T11:21:00"/>
    <d v="1899-12-30T12:42:00"/>
    <n v="81"/>
    <x v="0"/>
    <x v="0"/>
  </r>
  <r>
    <n v="175"/>
    <s v="Spenser"/>
    <s v="Male"/>
    <d v="2005-09-22T00:00:00"/>
    <x v="2"/>
    <n v="19"/>
    <x v="1"/>
    <x v="3"/>
    <x v="47"/>
    <x v="0"/>
    <x v="0"/>
    <x v="1"/>
    <x v="0"/>
    <x v="0"/>
    <x v="0"/>
    <x v="1"/>
    <x v="0"/>
    <x v="39"/>
    <d v="1899-12-30T14:01:00"/>
    <d v="1899-12-30T14:56:00"/>
    <n v="55"/>
    <x v="0"/>
    <x v="0"/>
  </r>
  <r>
    <n v="176"/>
    <s v="Burty"/>
    <s v="Male"/>
    <d v="1976-02-24T00:00:00"/>
    <x v="1"/>
    <n v="48"/>
    <x v="1"/>
    <x v="0"/>
    <x v="58"/>
    <x v="0"/>
    <x v="0"/>
    <x v="0"/>
    <x v="0"/>
    <x v="0"/>
    <x v="1"/>
    <x v="1"/>
    <x v="1"/>
    <x v="1"/>
    <d v="1899-12-30T09:34:00"/>
    <d v="1899-12-30T12:33:00"/>
    <n v="179"/>
    <x v="0"/>
    <x v="0"/>
  </r>
  <r>
    <n v="177"/>
    <s v="Nadean"/>
    <s v="Female"/>
    <d v="2001-01-29T00:00:00"/>
    <x v="0"/>
    <n v="23"/>
    <x v="0"/>
    <x v="1"/>
    <x v="42"/>
    <x v="0"/>
    <x v="0"/>
    <x v="1"/>
    <x v="0"/>
    <x v="0"/>
    <x v="0"/>
    <x v="0"/>
    <x v="1"/>
    <x v="1"/>
    <d v="1899-12-30T09:56:00"/>
    <d v="1899-12-30T12:11:00"/>
    <n v="135"/>
    <x v="1"/>
    <x v="1"/>
  </r>
  <r>
    <n v="178"/>
    <s v="Chick"/>
    <s v="Male"/>
    <d v="2000-11-18T00:00:00"/>
    <x v="0"/>
    <n v="23"/>
    <x v="0"/>
    <x v="0"/>
    <x v="79"/>
    <x v="0"/>
    <x v="0"/>
    <x v="0"/>
    <x v="1"/>
    <x v="0"/>
    <x v="1"/>
    <x v="0"/>
    <x v="1"/>
    <x v="1"/>
    <d v="1899-12-30T11:02:00"/>
    <d v="1899-12-30T12:38:00"/>
    <n v="96"/>
    <x v="1"/>
    <x v="1"/>
  </r>
  <r>
    <n v="179"/>
    <s v="Maryrose"/>
    <s v="Female"/>
    <d v="2010-11-25T00:00:00"/>
    <x v="2"/>
    <n v="13"/>
    <x v="1"/>
    <x v="3"/>
    <x v="18"/>
    <x v="0"/>
    <x v="1"/>
    <x v="1"/>
    <x v="1"/>
    <x v="1"/>
    <x v="0"/>
    <x v="0"/>
    <x v="1"/>
    <x v="1"/>
    <d v="1899-12-30T17:27:00"/>
    <d v="1899-12-30T19:23:00"/>
    <n v="116"/>
    <x v="0"/>
    <x v="0"/>
  </r>
  <r>
    <n v="180"/>
    <s v="Nolly"/>
    <s v="Male"/>
    <d v="1976-06-20T00:00:00"/>
    <x v="1"/>
    <n v="48"/>
    <x v="0"/>
    <x v="1"/>
    <x v="61"/>
    <x v="0"/>
    <x v="0"/>
    <x v="0"/>
    <x v="1"/>
    <x v="0"/>
    <x v="1"/>
    <x v="1"/>
    <x v="0"/>
    <x v="64"/>
    <d v="1899-12-30T08:33:00"/>
    <d v="1899-12-30T09:30:00"/>
    <n v="57"/>
    <x v="1"/>
    <x v="3"/>
  </r>
  <r>
    <n v="181"/>
    <s v="Jeremiah"/>
    <s v="Male"/>
    <d v="1996-12-20T00:00:00"/>
    <x v="0"/>
    <n v="27"/>
    <x v="0"/>
    <x v="4"/>
    <x v="80"/>
    <x v="0"/>
    <x v="0"/>
    <x v="0"/>
    <x v="1"/>
    <x v="1"/>
    <x v="1"/>
    <x v="0"/>
    <x v="0"/>
    <x v="65"/>
    <d v="1899-12-30T10:50:00"/>
    <d v="1899-12-30T12:06:00"/>
    <n v="76"/>
    <x v="0"/>
    <x v="0"/>
  </r>
  <r>
    <n v="182"/>
    <s v="Martguerita"/>
    <s v="Female"/>
    <d v="2010-02-16T00:00:00"/>
    <x v="2"/>
    <n v="14"/>
    <x v="1"/>
    <x v="1"/>
    <x v="29"/>
    <x v="1"/>
    <x v="0"/>
    <x v="1"/>
    <x v="1"/>
    <x v="1"/>
    <x v="0"/>
    <x v="1"/>
    <x v="0"/>
    <x v="19"/>
    <d v="1899-12-30T09:01:00"/>
    <d v="1899-12-30T10:08:00"/>
    <n v="67"/>
    <x v="1"/>
    <x v="1"/>
  </r>
  <r>
    <n v="183"/>
    <s v="Steffen"/>
    <s v="Male"/>
    <d v="2010-07-14T00:00:00"/>
    <x v="2"/>
    <n v="14"/>
    <x v="0"/>
    <x v="2"/>
    <x v="14"/>
    <x v="0"/>
    <x v="1"/>
    <x v="1"/>
    <x v="1"/>
    <x v="0"/>
    <x v="0"/>
    <x v="0"/>
    <x v="1"/>
    <x v="1"/>
    <d v="1899-12-30T13:06:00"/>
    <d v="1899-12-30T13:45:00"/>
    <n v="39"/>
    <x v="0"/>
    <x v="0"/>
  </r>
  <r>
    <n v="184"/>
    <s v="Klement"/>
    <s v="Male"/>
    <d v="2006-10-16T00:00:00"/>
    <x v="2"/>
    <n v="17"/>
    <x v="1"/>
    <x v="2"/>
    <x v="2"/>
    <x v="1"/>
    <x v="1"/>
    <x v="1"/>
    <x v="1"/>
    <x v="0"/>
    <x v="0"/>
    <x v="1"/>
    <x v="1"/>
    <x v="1"/>
    <d v="1899-12-30T17:58:00"/>
    <d v="1899-12-30T18:58:00"/>
    <n v="60"/>
    <x v="1"/>
    <x v="4"/>
  </r>
  <r>
    <n v="185"/>
    <s v="Webb"/>
    <s v="Male"/>
    <d v="1985-09-18T00:00:00"/>
    <x v="3"/>
    <n v="39"/>
    <x v="1"/>
    <x v="3"/>
    <x v="55"/>
    <x v="1"/>
    <x v="0"/>
    <x v="1"/>
    <x v="1"/>
    <x v="0"/>
    <x v="0"/>
    <x v="1"/>
    <x v="0"/>
    <x v="66"/>
    <d v="1899-12-30T09:20:00"/>
    <d v="1899-12-30T10:11:00"/>
    <n v="51"/>
    <x v="0"/>
    <x v="0"/>
  </r>
  <r>
    <n v="186"/>
    <s v="Chloe"/>
    <s v="Female"/>
    <d v="1975-03-24T00:00:00"/>
    <x v="1"/>
    <n v="49"/>
    <x v="1"/>
    <x v="1"/>
    <x v="6"/>
    <x v="1"/>
    <x v="0"/>
    <x v="1"/>
    <x v="1"/>
    <x v="0"/>
    <x v="0"/>
    <x v="0"/>
    <x v="1"/>
    <x v="1"/>
    <d v="1899-12-30T17:42:00"/>
    <d v="1899-12-30T19:11:00"/>
    <n v="89"/>
    <x v="1"/>
    <x v="2"/>
  </r>
  <r>
    <n v="187"/>
    <s v="Salvidor"/>
    <s v="Male"/>
    <d v="2012-04-17T00:00:00"/>
    <x v="2"/>
    <n v="12"/>
    <x v="1"/>
    <x v="4"/>
    <x v="50"/>
    <x v="0"/>
    <x v="0"/>
    <x v="0"/>
    <x v="0"/>
    <x v="0"/>
    <x v="1"/>
    <x v="0"/>
    <x v="0"/>
    <x v="67"/>
    <d v="1899-12-30T19:49:00"/>
    <d v="1899-12-30T20:51:00"/>
    <n v="62"/>
    <x v="1"/>
    <x v="2"/>
  </r>
  <r>
    <n v="188"/>
    <s v="Ethelyn"/>
    <s v="Female"/>
    <d v="1987-02-28T00:00:00"/>
    <x v="3"/>
    <n v="37"/>
    <x v="0"/>
    <x v="2"/>
    <x v="14"/>
    <x v="0"/>
    <x v="1"/>
    <x v="1"/>
    <x v="1"/>
    <x v="0"/>
    <x v="0"/>
    <x v="0"/>
    <x v="0"/>
    <x v="68"/>
    <d v="1899-12-30T08:21:00"/>
    <d v="1899-12-30T09:04:00"/>
    <n v="43"/>
    <x v="0"/>
    <x v="0"/>
  </r>
  <r>
    <n v="189"/>
    <s v="Terry"/>
    <s v="Male"/>
    <d v="1987-11-12T00:00:00"/>
    <x v="3"/>
    <n v="36"/>
    <x v="0"/>
    <x v="3"/>
    <x v="37"/>
    <x v="1"/>
    <x v="1"/>
    <x v="0"/>
    <x v="1"/>
    <x v="0"/>
    <x v="0"/>
    <x v="1"/>
    <x v="0"/>
    <x v="69"/>
    <d v="1899-12-30T11:28:00"/>
    <d v="1899-12-30T12:43:00"/>
    <n v="75"/>
    <x v="0"/>
    <x v="0"/>
  </r>
  <r>
    <n v="190"/>
    <s v="Nealy"/>
    <s v="Male"/>
    <d v="2011-09-08T00:00:00"/>
    <x v="2"/>
    <n v="13"/>
    <x v="1"/>
    <x v="0"/>
    <x v="48"/>
    <x v="1"/>
    <x v="1"/>
    <x v="0"/>
    <x v="0"/>
    <x v="0"/>
    <x v="0"/>
    <x v="0"/>
    <x v="1"/>
    <x v="1"/>
    <d v="1899-12-30T14:47:00"/>
    <d v="1899-12-30T16:59:00"/>
    <n v="132"/>
    <x v="0"/>
    <x v="0"/>
  </r>
  <r>
    <n v="191"/>
    <s v="Cirstoforo"/>
    <s v="Male"/>
    <d v="1992-10-23T00:00:00"/>
    <x v="3"/>
    <n v="31"/>
    <x v="0"/>
    <x v="3"/>
    <x v="53"/>
    <x v="0"/>
    <x v="0"/>
    <x v="0"/>
    <x v="1"/>
    <x v="0"/>
    <x v="0"/>
    <x v="1"/>
    <x v="1"/>
    <x v="1"/>
    <d v="1899-12-30T13:48:00"/>
    <d v="1899-12-30T16:27:00"/>
    <n v="159"/>
    <x v="0"/>
    <x v="0"/>
  </r>
  <r>
    <n v="192"/>
    <s v="Kaye"/>
    <s v="Female"/>
    <d v="1985-07-11T00:00:00"/>
    <x v="3"/>
    <n v="39"/>
    <x v="1"/>
    <x v="0"/>
    <x v="0"/>
    <x v="0"/>
    <x v="0"/>
    <x v="0"/>
    <x v="0"/>
    <x v="0"/>
    <x v="0"/>
    <x v="0"/>
    <x v="1"/>
    <x v="1"/>
    <d v="1899-12-30T17:07:00"/>
    <d v="1899-12-30T17:57:00"/>
    <n v="50"/>
    <x v="0"/>
    <x v="0"/>
  </r>
  <r>
    <n v="193"/>
    <s v="Candie"/>
    <s v="Female"/>
    <d v="2012-06-09T00:00:00"/>
    <x v="2"/>
    <n v="12"/>
    <x v="0"/>
    <x v="1"/>
    <x v="24"/>
    <x v="0"/>
    <x v="0"/>
    <x v="1"/>
    <x v="0"/>
    <x v="0"/>
    <x v="1"/>
    <x v="1"/>
    <x v="0"/>
    <x v="34"/>
    <d v="1899-12-30T13:57:00"/>
    <d v="1899-12-30T16:54:00"/>
    <n v="177"/>
    <x v="0"/>
    <x v="0"/>
  </r>
  <r>
    <n v="194"/>
    <s v="Bernetta"/>
    <s v="Female"/>
    <d v="2001-08-15T00:00:00"/>
    <x v="0"/>
    <n v="23"/>
    <x v="0"/>
    <x v="2"/>
    <x v="21"/>
    <x v="0"/>
    <x v="1"/>
    <x v="1"/>
    <x v="1"/>
    <x v="0"/>
    <x v="1"/>
    <x v="1"/>
    <x v="1"/>
    <x v="1"/>
    <d v="1899-12-30T16:54:00"/>
    <d v="1899-12-30T19:41:00"/>
    <n v="167"/>
    <x v="0"/>
    <x v="0"/>
  </r>
  <r>
    <n v="195"/>
    <s v="Ferd"/>
    <s v="Male"/>
    <d v="1979-04-24T00:00:00"/>
    <x v="1"/>
    <n v="45"/>
    <x v="0"/>
    <x v="3"/>
    <x v="37"/>
    <x v="1"/>
    <x v="1"/>
    <x v="0"/>
    <x v="1"/>
    <x v="0"/>
    <x v="0"/>
    <x v="1"/>
    <x v="1"/>
    <x v="1"/>
    <d v="1899-12-30T11:23:00"/>
    <d v="1899-12-30T13:00:00"/>
    <n v="97"/>
    <x v="0"/>
    <x v="0"/>
  </r>
  <r>
    <n v="196"/>
    <s v="Kendrick"/>
    <s v="Male"/>
    <d v="1985-02-09T00:00:00"/>
    <x v="3"/>
    <n v="39"/>
    <x v="0"/>
    <x v="4"/>
    <x v="81"/>
    <x v="0"/>
    <x v="0"/>
    <x v="0"/>
    <x v="0"/>
    <x v="1"/>
    <x v="1"/>
    <x v="1"/>
    <x v="1"/>
    <x v="1"/>
    <d v="1899-12-30T20:01:00"/>
    <d v="1899-12-30T22:56:00"/>
    <n v="175"/>
    <x v="1"/>
    <x v="3"/>
  </r>
  <r>
    <n v="197"/>
    <s v="Cord"/>
    <s v="Male"/>
    <d v="2010-03-26T00:00:00"/>
    <x v="2"/>
    <n v="14"/>
    <x v="1"/>
    <x v="3"/>
    <x v="68"/>
    <x v="0"/>
    <x v="1"/>
    <x v="0"/>
    <x v="0"/>
    <x v="0"/>
    <x v="0"/>
    <x v="1"/>
    <x v="1"/>
    <x v="1"/>
    <d v="1899-12-30T13:53:00"/>
    <d v="1899-12-30T14:40:00"/>
    <n v="47"/>
    <x v="1"/>
    <x v="2"/>
  </r>
  <r>
    <n v="198"/>
    <s v="Bret"/>
    <s v="Male"/>
    <d v="1994-08-05T00:00:00"/>
    <x v="0"/>
    <n v="30"/>
    <x v="0"/>
    <x v="1"/>
    <x v="36"/>
    <x v="0"/>
    <x v="0"/>
    <x v="1"/>
    <x v="0"/>
    <x v="1"/>
    <x v="0"/>
    <x v="1"/>
    <x v="0"/>
    <x v="70"/>
    <d v="1899-12-30T13:00:00"/>
    <d v="1899-12-30T14:49:00"/>
    <n v="109"/>
    <x v="1"/>
    <x v="3"/>
  </r>
  <r>
    <n v="199"/>
    <s v="Elfie"/>
    <s v="Female"/>
    <d v="2009-01-06T00:00:00"/>
    <x v="2"/>
    <n v="15"/>
    <x v="0"/>
    <x v="1"/>
    <x v="77"/>
    <x v="0"/>
    <x v="1"/>
    <x v="1"/>
    <x v="0"/>
    <x v="0"/>
    <x v="1"/>
    <x v="0"/>
    <x v="1"/>
    <x v="1"/>
    <d v="1899-12-30T09:55:00"/>
    <d v="1899-12-30T12:05:00"/>
    <n v="130"/>
    <x v="1"/>
    <x v="3"/>
  </r>
  <r>
    <n v="200"/>
    <s v="Cooper"/>
    <s v="Male"/>
    <d v="2012-08-31T00:00:00"/>
    <x v="2"/>
    <n v="12"/>
    <x v="1"/>
    <x v="2"/>
    <x v="10"/>
    <x v="0"/>
    <x v="1"/>
    <x v="1"/>
    <x v="1"/>
    <x v="1"/>
    <x v="0"/>
    <x v="1"/>
    <x v="1"/>
    <x v="1"/>
    <d v="1899-12-30T15:47:00"/>
    <d v="1899-12-30T16:21:00"/>
    <n v="34"/>
    <x v="1"/>
    <x v="3"/>
  </r>
  <r>
    <n v="201"/>
    <s v="Sheffield"/>
    <s v="Male"/>
    <d v="1978-09-29T00:00:00"/>
    <x v="1"/>
    <n v="46"/>
    <x v="1"/>
    <x v="0"/>
    <x v="82"/>
    <x v="1"/>
    <x v="1"/>
    <x v="0"/>
    <x v="0"/>
    <x v="1"/>
    <x v="0"/>
    <x v="1"/>
    <x v="0"/>
    <x v="45"/>
    <d v="1899-12-30T13:31:00"/>
    <d v="1899-12-30T14:47:00"/>
    <n v="76"/>
    <x v="1"/>
    <x v="2"/>
  </r>
  <r>
    <n v="202"/>
    <s v="Gualterio"/>
    <s v="Male"/>
    <d v="1975-05-25T00:00:00"/>
    <x v="1"/>
    <n v="49"/>
    <x v="0"/>
    <x v="0"/>
    <x v="83"/>
    <x v="1"/>
    <x v="0"/>
    <x v="0"/>
    <x v="1"/>
    <x v="1"/>
    <x v="0"/>
    <x v="1"/>
    <x v="1"/>
    <x v="1"/>
    <d v="1899-12-30T08:21:00"/>
    <d v="1899-12-30T09:00:00"/>
    <n v="39"/>
    <x v="0"/>
    <x v="0"/>
  </r>
  <r>
    <n v="203"/>
    <s v="Rikki"/>
    <s v="Female"/>
    <d v="1980-12-20T00:00:00"/>
    <x v="1"/>
    <n v="43"/>
    <x v="0"/>
    <x v="3"/>
    <x v="18"/>
    <x v="0"/>
    <x v="1"/>
    <x v="1"/>
    <x v="1"/>
    <x v="1"/>
    <x v="0"/>
    <x v="0"/>
    <x v="1"/>
    <x v="1"/>
    <d v="1899-12-30T18:32:00"/>
    <d v="1899-12-30T20:19:00"/>
    <n v="107"/>
    <x v="1"/>
    <x v="1"/>
  </r>
  <r>
    <n v="204"/>
    <s v="Roderigo"/>
    <s v="Male"/>
    <d v="2005-02-18T00:00:00"/>
    <x v="2"/>
    <n v="19"/>
    <x v="0"/>
    <x v="3"/>
    <x v="7"/>
    <x v="1"/>
    <x v="1"/>
    <x v="1"/>
    <x v="1"/>
    <x v="0"/>
    <x v="0"/>
    <x v="0"/>
    <x v="0"/>
    <x v="71"/>
    <d v="1899-12-30T17:13:00"/>
    <d v="1899-12-30T18:38:00"/>
    <n v="85"/>
    <x v="1"/>
    <x v="3"/>
  </r>
  <r>
    <n v="205"/>
    <s v="Trey"/>
    <s v="Male"/>
    <d v="1982-05-29T00:00:00"/>
    <x v="1"/>
    <n v="42"/>
    <x v="0"/>
    <x v="1"/>
    <x v="59"/>
    <x v="1"/>
    <x v="0"/>
    <x v="0"/>
    <x v="1"/>
    <x v="0"/>
    <x v="0"/>
    <x v="1"/>
    <x v="1"/>
    <x v="1"/>
    <d v="1899-12-30T09:57:00"/>
    <d v="1899-12-30T11:31:00"/>
    <n v="94"/>
    <x v="1"/>
    <x v="1"/>
  </r>
  <r>
    <n v="206"/>
    <s v="Aaron"/>
    <s v="Male"/>
    <d v="1978-03-21T00:00:00"/>
    <x v="1"/>
    <n v="46"/>
    <x v="1"/>
    <x v="2"/>
    <x v="9"/>
    <x v="0"/>
    <x v="0"/>
    <x v="1"/>
    <x v="1"/>
    <x v="0"/>
    <x v="0"/>
    <x v="1"/>
    <x v="0"/>
    <x v="72"/>
    <d v="1899-12-30T18:06:00"/>
    <d v="1899-12-30T20:01:00"/>
    <n v="115"/>
    <x v="0"/>
    <x v="0"/>
  </r>
  <r>
    <n v="207"/>
    <s v="Heall"/>
    <s v="Male"/>
    <d v="2006-06-20T00:00:00"/>
    <x v="2"/>
    <n v="18"/>
    <x v="1"/>
    <x v="1"/>
    <x v="11"/>
    <x v="0"/>
    <x v="0"/>
    <x v="0"/>
    <x v="1"/>
    <x v="0"/>
    <x v="0"/>
    <x v="0"/>
    <x v="0"/>
    <x v="73"/>
    <d v="1899-12-30T11:47:00"/>
    <d v="1899-12-30T12:35:00"/>
    <n v="48"/>
    <x v="1"/>
    <x v="1"/>
  </r>
  <r>
    <n v="208"/>
    <s v="Willey"/>
    <s v="Male"/>
    <d v="1983-01-02T00:00:00"/>
    <x v="1"/>
    <n v="41"/>
    <x v="0"/>
    <x v="2"/>
    <x v="51"/>
    <x v="0"/>
    <x v="1"/>
    <x v="1"/>
    <x v="0"/>
    <x v="0"/>
    <x v="0"/>
    <x v="1"/>
    <x v="0"/>
    <x v="74"/>
    <d v="1899-12-30T11:28:00"/>
    <d v="1899-12-30T14:08:00"/>
    <n v="160"/>
    <x v="1"/>
    <x v="3"/>
  </r>
  <r>
    <n v="209"/>
    <s v="Earl"/>
    <s v="Male"/>
    <d v="2005-09-11T00:00:00"/>
    <x v="2"/>
    <n v="19"/>
    <x v="0"/>
    <x v="0"/>
    <x v="74"/>
    <x v="0"/>
    <x v="1"/>
    <x v="0"/>
    <x v="1"/>
    <x v="1"/>
    <x v="1"/>
    <x v="0"/>
    <x v="1"/>
    <x v="1"/>
    <d v="1899-12-30T19:07:00"/>
    <d v="1899-12-30T19:39:00"/>
    <n v="32"/>
    <x v="1"/>
    <x v="4"/>
  </r>
  <r>
    <n v="210"/>
    <s v="Trstram"/>
    <s v="Male"/>
    <d v="2007-08-21T00:00:00"/>
    <x v="2"/>
    <n v="17"/>
    <x v="0"/>
    <x v="3"/>
    <x v="37"/>
    <x v="1"/>
    <x v="1"/>
    <x v="0"/>
    <x v="1"/>
    <x v="0"/>
    <x v="0"/>
    <x v="1"/>
    <x v="1"/>
    <x v="1"/>
    <d v="1899-12-30T17:44:00"/>
    <d v="1899-12-30T19:06:00"/>
    <n v="82"/>
    <x v="1"/>
    <x v="1"/>
  </r>
  <r>
    <n v="211"/>
    <s v="Ethelin"/>
    <s v="Female"/>
    <d v="1997-03-26T00:00:00"/>
    <x v="0"/>
    <n v="27"/>
    <x v="1"/>
    <x v="3"/>
    <x v="47"/>
    <x v="0"/>
    <x v="0"/>
    <x v="1"/>
    <x v="0"/>
    <x v="0"/>
    <x v="0"/>
    <x v="1"/>
    <x v="0"/>
    <x v="9"/>
    <d v="1899-12-30T09:10:00"/>
    <d v="1899-12-30T11:04:00"/>
    <n v="114"/>
    <x v="1"/>
    <x v="1"/>
  </r>
  <r>
    <n v="212"/>
    <s v="Giffer"/>
    <s v="Male"/>
    <d v="1999-01-22T00:00:00"/>
    <x v="0"/>
    <n v="25"/>
    <x v="0"/>
    <x v="1"/>
    <x v="3"/>
    <x v="0"/>
    <x v="1"/>
    <x v="0"/>
    <x v="1"/>
    <x v="0"/>
    <x v="1"/>
    <x v="0"/>
    <x v="1"/>
    <x v="1"/>
    <d v="1899-12-30T17:21:00"/>
    <d v="1899-12-30T18:31:00"/>
    <n v="70"/>
    <x v="0"/>
    <x v="0"/>
  </r>
  <r>
    <n v="213"/>
    <s v="Patrizio"/>
    <s v="Male"/>
    <d v="2001-07-18T00:00:00"/>
    <x v="0"/>
    <n v="23"/>
    <x v="0"/>
    <x v="3"/>
    <x v="55"/>
    <x v="1"/>
    <x v="0"/>
    <x v="1"/>
    <x v="1"/>
    <x v="0"/>
    <x v="0"/>
    <x v="1"/>
    <x v="0"/>
    <x v="19"/>
    <d v="1899-12-30T12:58:00"/>
    <d v="1899-12-30T14:38:00"/>
    <n v="100"/>
    <x v="0"/>
    <x v="0"/>
  </r>
  <r>
    <n v="214"/>
    <s v="Reiko"/>
    <s v="Female"/>
    <d v="1989-01-01T00:00:00"/>
    <x v="3"/>
    <n v="35"/>
    <x v="1"/>
    <x v="2"/>
    <x v="51"/>
    <x v="0"/>
    <x v="1"/>
    <x v="1"/>
    <x v="0"/>
    <x v="0"/>
    <x v="0"/>
    <x v="1"/>
    <x v="1"/>
    <x v="1"/>
    <d v="1899-12-30T08:34:00"/>
    <d v="1899-12-30T09:19:00"/>
    <n v="45"/>
    <x v="1"/>
    <x v="1"/>
  </r>
  <r>
    <n v="215"/>
    <s v="Mindy"/>
    <s v="Female"/>
    <d v="1985-12-14T00:00:00"/>
    <x v="3"/>
    <n v="38"/>
    <x v="1"/>
    <x v="1"/>
    <x v="72"/>
    <x v="1"/>
    <x v="1"/>
    <x v="1"/>
    <x v="1"/>
    <x v="1"/>
    <x v="0"/>
    <x v="0"/>
    <x v="0"/>
    <x v="75"/>
    <d v="1899-12-30T08:17:00"/>
    <d v="1899-12-30T09:00:00"/>
    <n v="43"/>
    <x v="0"/>
    <x v="0"/>
  </r>
  <r>
    <n v="216"/>
    <s v="Isaak"/>
    <s v="Male"/>
    <d v="1975-04-11T00:00:00"/>
    <x v="1"/>
    <n v="49"/>
    <x v="0"/>
    <x v="1"/>
    <x v="19"/>
    <x v="1"/>
    <x v="0"/>
    <x v="1"/>
    <x v="1"/>
    <x v="0"/>
    <x v="1"/>
    <x v="1"/>
    <x v="1"/>
    <x v="1"/>
    <d v="1899-12-30T12:37:00"/>
    <d v="1899-12-30T14:22:00"/>
    <n v="105"/>
    <x v="1"/>
    <x v="2"/>
  </r>
  <r>
    <n v="217"/>
    <s v="Denver"/>
    <s v="Male"/>
    <d v="1990-06-16T00:00:00"/>
    <x v="3"/>
    <n v="34"/>
    <x v="1"/>
    <x v="2"/>
    <x v="51"/>
    <x v="0"/>
    <x v="1"/>
    <x v="1"/>
    <x v="0"/>
    <x v="0"/>
    <x v="0"/>
    <x v="1"/>
    <x v="1"/>
    <x v="1"/>
    <d v="1899-12-30T12:42:00"/>
    <d v="1899-12-30T14:31:00"/>
    <n v="109"/>
    <x v="1"/>
    <x v="3"/>
  </r>
  <r>
    <n v="218"/>
    <s v="Rubina"/>
    <s v="Female"/>
    <d v="1978-01-12T00:00:00"/>
    <x v="1"/>
    <n v="46"/>
    <x v="0"/>
    <x v="1"/>
    <x v="65"/>
    <x v="1"/>
    <x v="1"/>
    <x v="0"/>
    <x v="0"/>
    <x v="0"/>
    <x v="0"/>
    <x v="1"/>
    <x v="0"/>
    <x v="6"/>
    <d v="1899-12-30T18:01:00"/>
    <d v="1899-12-30T20:26:00"/>
    <n v="145"/>
    <x v="0"/>
    <x v="0"/>
  </r>
  <r>
    <n v="219"/>
    <s v="Harland"/>
    <s v="Male"/>
    <d v="1979-06-18T00:00:00"/>
    <x v="1"/>
    <n v="45"/>
    <x v="1"/>
    <x v="4"/>
    <x v="23"/>
    <x v="0"/>
    <x v="0"/>
    <x v="1"/>
    <x v="0"/>
    <x v="1"/>
    <x v="1"/>
    <x v="0"/>
    <x v="0"/>
    <x v="16"/>
    <d v="1899-12-30T14:59:00"/>
    <d v="1899-12-30T16:43:00"/>
    <n v="104"/>
    <x v="0"/>
    <x v="0"/>
  </r>
  <r>
    <n v="220"/>
    <s v="Any"/>
    <s v="Male"/>
    <d v="1987-11-12T00:00:00"/>
    <x v="3"/>
    <n v="36"/>
    <x v="0"/>
    <x v="4"/>
    <x v="49"/>
    <x v="1"/>
    <x v="0"/>
    <x v="1"/>
    <x v="1"/>
    <x v="1"/>
    <x v="1"/>
    <x v="0"/>
    <x v="1"/>
    <x v="1"/>
    <d v="1899-12-30T20:57:00"/>
    <d v="1899-12-30T22:42:00"/>
    <n v="105"/>
    <x v="1"/>
    <x v="2"/>
  </r>
  <r>
    <n v="221"/>
    <s v="Elbert"/>
    <s v="Male"/>
    <d v="1979-03-05T00:00:00"/>
    <x v="1"/>
    <n v="45"/>
    <x v="0"/>
    <x v="3"/>
    <x v="56"/>
    <x v="1"/>
    <x v="1"/>
    <x v="1"/>
    <x v="1"/>
    <x v="0"/>
    <x v="1"/>
    <x v="1"/>
    <x v="1"/>
    <x v="1"/>
    <d v="1899-12-30T12:13:00"/>
    <d v="1899-12-30T14:52:00"/>
    <n v="159"/>
    <x v="1"/>
    <x v="1"/>
  </r>
  <r>
    <n v="222"/>
    <s v="Jesse"/>
    <s v="Male"/>
    <d v="1975-04-08T00:00:00"/>
    <x v="1"/>
    <n v="49"/>
    <x v="0"/>
    <x v="1"/>
    <x v="24"/>
    <x v="0"/>
    <x v="0"/>
    <x v="1"/>
    <x v="0"/>
    <x v="0"/>
    <x v="1"/>
    <x v="1"/>
    <x v="0"/>
    <x v="58"/>
    <d v="1899-12-30T20:01:00"/>
    <d v="1899-12-30T22:01:00"/>
    <n v="120"/>
    <x v="1"/>
    <x v="2"/>
  </r>
  <r>
    <n v="223"/>
    <s v="Mata"/>
    <s v="Male"/>
    <d v="2005-10-05T00:00:00"/>
    <x v="2"/>
    <n v="18"/>
    <x v="1"/>
    <x v="4"/>
    <x v="43"/>
    <x v="1"/>
    <x v="1"/>
    <x v="0"/>
    <x v="0"/>
    <x v="1"/>
    <x v="0"/>
    <x v="0"/>
    <x v="1"/>
    <x v="1"/>
    <d v="1899-12-30T20:23:00"/>
    <d v="1899-12-30T21:05:00"/>
    <n v="42"/>
    <x v="0"/>
    <x v="0"/>
  </r>
  <r>
    <n v="224"/>
    <s v="Oriana"/>
    <s v="Female"/>
    <d v="2000-07-30T00:00:00"/>
    <x v="0"/>
    <n v="24"/>
    <x v="1"/>
    <x v="3"/>
    <x v="52"/>
    <x v="0"/>
    <x v="1"/>
    <x v="1"/>
    <x v="0"/>
    <x v="1"/>
    <x v="0"/>
    <x v="1"/>
    <x v="1"/>
    <x v="1"/>
    <d v="1899-12-30T20:41:00"/>
    <d v="1899-12-30T23:07:00"/>
    <n v="146"/>
    <x v="0"/>
    <x v="0"/>
  </r>
  <r>
    <n v="225"/>
    <s v="Cletis"/>
    <s v="Male"/>
    <d v="2000-09-30T00:00:00"/>
    <x v="0"/>
    <n v="24"/>
    <x v="1"/>
    <x v="1"/>
    <x v="29"/>
    <x v="1"/>
    <x v="0"/>
    <x v="1"/>
    <x v="1"/>
    <x v="1"/>
    <x v="0"/>
    <x v="1"/>
    <x v="1"/>
    <x v="1"/>
    <d v="1899-12-30T20:08:00"/>
    <d v="1899-12-30T22:35:00"/>
    <n v="147"/>
    <x v="0"/>
    <x v="0"/>
  </r>
  <r>
    <n v="226"/>
    <s v="Marlin"/>
    <s v="Male"/>
    <d v="1993-07-30T00:00:00"/>
    <x v="3"/>
    <n v="31"/>
    <x v="1"/>
    <x v="2"/>
    <x v="2"/>
    <x v="1"/>
    <x v="1"/>
    <x v="1"/>
    <x v="1"/>
    <x v="0"/>
    <x v="0"/>
    <x v="1"/>
    <x v="1"/>
    <x v="1"/>
    <d v="1899-12-30T15:01:00"/>
    <d v="1899-12-30T17:55:00"/>
    <n v="174"/>
    <x v="0"/>
    <x v="0"/>
  </r>
  <r>
    <n v="227"/>
    <s v="Lenka"/>
    <s v="Female"/>
    <d v="1976-10-01T00:00:00"/>
    <x v="1"/>
    <n v="48"/>
    <x v="0"/>
    <x v="1"/>
    <x v="63"/>
    <x v="1"/>
    <x v="1"/>
    <x v="0"/>
    <x v="1"/>
    <x v="0"/>
    <x v="1"/>
    <x v="1"/>
    <x v="0"/>
    <x v="76"/>
    <d v="1899-12-30T20:37:00"/>
    <d v="1899-12-30T21:23:00"/>
    <n v="46"/>
    <x v="1"/>
    <x v="3"/>
  </r>
  <r>
    <n v="228"/>
    <s v="Rowan"/>
    <s v="Male"/>
    <d v="2007-03-05T00:00:00"/>
    <x v="2"/>
    <n v="17"/>
    <x v="0"/>
    <x v="2"/>
    <x v="9"/>
    <x v="0"/>
    <x v="0"/>
    <x v="1"/>
    <x v="1"/>
    <x v="0"/>
    <x v="0"/>
    <x v="1"/>
    <x v="0"/>
    <x v="77"/>
    <d v="1899-12-30T19:05:00"/>
    <d v="1899-12-30T21:49:00"/>
    <n v="164"/>
    <x v="1"/>
    <x v="1"/>
  </r>
  <r>
    <n v="229"/>
    <s v="Harper"/>
    <s v="Male"/>
    <d v="1993-03-26T00:00:00"/>
    <x v="3"/>
    <n v="31"/>
    <x v="0"/>
    <x v="4"/>
    <x v="84"/>
    <x v="1"/>
    <x v="1"/>
    <x v="0"/>
    <x v="1"/>
    <x v="1"/>
    <x v="1"/>
    <x v="0"/>
    <x v="1"/>
    <x v="1"/>
    <d v="1899-12-30T20:39:00"/>
    <d v="1899-12-30T22:59:00"/>
    <n v="140"/>
    <x v="0"/>
    <x v="0"/>
  </r>
  <r>
    <n v="230"/>
    <s v="Alanson"/>
    <s v="Male"/>
    <d v="2001-10-22T00:00:00"/>
    <x v="0"/>
    <n v="22"/>
    <x v="1"/>
    <x v="1"/>
    <x v="1"/>
    <x v="1"/>
    <x v="1"/>
    <x v="1"/>
    <x v="1"/>
    <x v="0"/>
    <x v="1"/>
    <x v="0"/>
    <x v="0"/>
    <x v="78"/>
    <d v="1899-12-30T16:31:00"/>
    <d v="1899-12-30T17:24:00"/>
    <n v="53"/>
    <x v="0"/>
    <x v="0"/>
  </r>
  <r>
    <n v="231"/>
    <s v="Onofredo"/>
    <s v="Male"/>
    <d v="1986-11-23T00:00:00"/>
    <x v="3"/>
    <n v="37"/>
    <x v="0"/>
    <x v="1"/>
    <x v="61"/>
    <x v="0"/>
    <x v="0"/>
    <x v="0"/>
    <x v="1"/>
    <x v="0"/>
    <x v="1"/>
    <x v="1"/>
    <x v="1"/>
    <x v="1"/>
    <d v="1899-12-30T17:53:00"/>
    <d v="1899-12-30T20:36:00"/>
    <n v="163"/>
    <x v="0"/>
    <x v="0"/>
  </r>
  <r>
    <n v="232"/>
    <s v="Bennett"/>
    <s v="Male"/>
    <d v="1985-08-24T00:00:00"/>
    <x v="3"/>
    <n v="39"/>
    <x v="1"/>
    <x v="4"/>
    <x v="85"/>
    <x v="1"/>
    <x v="0"/>
    <x v="1"/>
    <x v="0"/>
    <x v="1"/>
    <x v="1"/>
    <x v="1"/>
    <x v="0"/>
    <x v="79"/>
    <d v="1899-12-30T15:16:00"/>
    <d v="1899-12-30T16:52:00"/>
    <n v="96"/>
    <x v="1"/>
    <x v="2"/>
  </r>
  <r>
    <n v="233"/>
    <s v="Jennilee"/>
    <s v="Female"/>
    <d v="2010-09-29T00:00:00"/>
    <x v="2"/>
    <n v="14"/>
    <x v="1"/>
    <x v="1"/>
    <x v="64"/>
    <x v="0"/>
    <x v="1"/>
    <x v="0"/>
    <x v="0"/>
    <x v="0"/>
    <x v="1"/>
    <x v="1"/>
    <x v="1"/>
    <x v="1"/>
    <d v="1899-12-30T08:34:00"/>
    <d v="1899-12-30T09:39:00"/>
    <n v="65"/>
    <x v="0"/>
    <x v="0"/>
  </r>
  <r>
    <n v="234"/>
    <s v="Talia"/>
    <s v="Female"/>
    <d v="2005-09-10T00:00:00"/>
    <x v="2"/>
    <n v="19"/>
    <x v="1"/>
    <x v="2"/>
    <x v="9"/>
    <x v="0"/>
    <x v="0"/>
    <x v="1"/>
    <x v="1"/>
    <x v="0"/>
    <x v="0"/>
    <x v="1"/>
    <x v="1"/>
    <x v="1"/>
    <d v="1899-12-30T20:26:00"/>
    <d v="1899-12-30T21:32:00"/>
    <n v="66"/>
    <x v="0"/>
    <x v="0"/>
  </r>
  <r>
    <n v="235"/>
    <s v="Teirtza"/>
    <s v="Female"/>
    <d v="1997-07-21T00:00:00"/>
    <x v="0"/>
    <n v="27"/>
    <x v="1"/>
    <x v="0"/>
    <x v="86"/>
    <x v="1"/>
    <x v="0"/>
    <x v="1"/>
    <x v="1"/>
    <x v="0"/>
    <x v="1"/>
    <x v="0"/>
    <x v="1"/>
    <x v="1"/>
    <d v="1899-12-30T11:49:00"/>
    <d v="1899-12-30T14:21:00"/>
    <n v="152"/>
    <x v="1"/>
    <x v="4"/>
  </r>
  <r>
    <n v="236"/>
    <s v="Idell"/>
    <s v="Female"/>
    <d v="1989-04-08T00:00:00"/>
    <x v="3"/>
    <n v="35"/>
    <x v="1"/>
    <x v="4"/>
    <x v="23"/>
    <x v="0"/>
    <x v="0"/>
    <x v="1"/>
    <x v="0"/>
    <x v="1"/>
    <x v="1"/>
    <x v="0"/>
    <x v="0"/>
    <x v="80"/>
    <d v="1899-12-30T15:45:00"/>
    <d v="1899-12-30T16:25:00"/>
    <n v="40"/>
    <x v="0"/>
    <x v="0"/>
  </r>
  <r>
    <n v="237"/>
    <s v="Marylou"/>
    <s v="Female"/>
    <d v="2005-01-09T00:00:00"/>
    <x v="2"/>
    <n v="19"/>
    <x v="0"/>
    <x v="3"/>
    <x v="27"/>
    <x v="0"/>
    <x v="1"/>
    <x v="1"/>
    <x v="1"/>
    <x v="0"/>
    <x v="1"/>
    <x v="0"/>
    <x v="0"/>
    <x v="16"/>
    <d v="1899-12-30T10:32:00"/>
    <d v="1899-12-30T11:22:00"/>
    <n v="50"/>
    <x v="1"/>
    <x v="3"/>
  </r>
  <r>
    <n v="238"/>
    <s v="Irene"/>
    <s v="Female"/>
    <d v="2003-06-25T00:00:00"/>
    <x v="0"/>
    <n v="21"/>
    <x v="0"/>
    <x v="4"/>
    <x v="84"/>
    <x v="1"/>
    <x v="1"/>
    <x v="0"/>
    <x v="1"/>
    <x v="1"/>
    <x v="1"/>
    <x v="0"/>
    <x v="0"/>
    <x v="81"/>
    <d v="1899-12-30T20:15:00"/>
    <d v="1899-12-30T21:15:00"/>
    <n v="60"/>
    <x v="0"/>
    <x v="0"/>
  </r>
  <r>
    <n v="239"/>
    <s v="Claudius"/>
    <s v="Male"/>
    <d v="2003-10-27T00:00:00"/>
    <x v="0"/>
    <n v="20"/>
    <x v="1"/>
    <x v="1"/>
    <x v="36"/>
    <x v="0"/>
    <x v="0"/>
    <x v="1"/>
    <x v="0"/>
    <x v="1"/>
    <x v="0"/>
    <x v="1"/>
    <x v="0"/>
    <x v="82"/>
    <d v="1899-12-30T17:30:00"/>
    <d v="1899-12-30T19:11:00"/>
    <n v="101"/>
    <x v="1"/>
    <x v="3"/>
  </r>
  <r>
    <n v="240"/>
    <s v="Stanton"/>
    <s v="Male"/>
    <d v="2005-01-03T00:00:00"/>
    <x v="2"/>
    <n v="19"/>
    <x v="0"/>
    <x v="0"/>
    <x v="87"/>
    <x v="1"/>
    <x v="0"/>
    <x v="1"/>
    <x v="1"/>
    <x v="1"/>
    <x v="1"/>
    <x v="1"/>
    <x v="0"/>
    <x v="83"/>
    <d v="1899-12-30T15:49:00"/>
    <d v="1899-12-30T16:29:00"/>
    <n v="40"/>
    <x v="0"/>
    <x v="0"/>
  </r>
  <r>
    <n v="241"/>
    <s v="Hedwig"/>
    <s v="Female"/>
    <d v="1981-10-31T00:00:00"/>
    <x v="1"/>
    <n v="42"/>
    <x v="0"/>
    <x v="3"/>
    <x v="33"/>
    <x v="0"/>
    <x v="1"/>
    <x v="1"/>
    <x v="0"/>
    <x v="0"/>
    <x v="1"/>
    <x v="1"/>
    <x v="1"/>
    <x v="1"/>
    <d v="1899-12-30T11:03:00"/>
    <d v="1899-12-30T13:05:00"/>
    <n v="122"/>
    <x v="1"/>
    <x v="4"/>
  </r>
  <r>
    <n v="242"/>
    <s v="Godart"/>
    <s v="Male"/>
    <d v="2006-08-02T00:00:00"/>
    <x v="2"/>
    <n v="18"/>
    <x v="0"/>
    <x v="2"/>
    <x v="10"/>
    <x v="0"/>
    <x v="1"/>
    <x v="1"/>
    <x v="1"/>
    <x v="1"/>
    <x v="0"/>
    <x v="1"/>
    <x v="1"/>
    <x v="1"/>
    <d v="1899-12-30T17:38:00"/>
    <d v="1899-12-30T18:14:00"/>
    <n v="36"/>
    <x v="1"/>
    <x v="2"/>
  </r>
  <r>
    <n v="243"/>
    <s v="Ekaterina"/>
    <s v="Female"/>
    <d v="1975-08-16T00:00:00"/>
    <x v="1"/>
    <n v="49"/>
    <x v="0"/>
    <x v="2"/>
    <x v="21"/>
    <x v="0"/>
    <x v="1"/>
    <x v="1"/>
    <x v="1"/>
    <x v="0"/>
    <x v="1"/>
    <x v="1"/>
    <x v="1"/>
    <x v="1"/>
    <d v="1899-12-30T13:58:00"/>
    <d v="1899-12-30T15:32:00"/>
    <n v="94"/>
    <x v="1"/>
    <x v="2"/>
  </r>
  <r>
    <n v="244"/>
    <s v="Sella"/>
    <s v="Female"/>
    <d v="2007-10-11T00:00:00"/>
    <x v="2"/>
    <n v="16"/>
    <x v="0"/>
    <x v="4"/>
    <x v="30"/>
    <x v="1"/>
    <x v="0"/>
    <x v="0"/>
    <x v="0"/>
    <x v="0"/>
    <x v="1"/>
    <x v="1"/>
    <x v="0"/>
    <x v="5"/>
    <d v="1899-12-30T13:50:00"/>
    <d v="1899-12-30T15:27:00"/>
    <n v="97"/>
    <x v="1"/>
    <x v="4"/>
  </r>
  <r>
    <n v="245"/>
    <s v="Brennen"/>
    <s v="Male"/>
    <d v="1997-08-06T00:00:00"/>
    <x v="0"/>
    <n v="27"/>
    <x v="1"/>
    <x v="2"/>
    <x v="9"/>
    <x v="0"/>
    <x v="0"/>
    <x v="1"/>
    <x v="1"/>
    <x v="0"/>
    <x v="0"/>
    <x v="1"/>
    <x v="0"/>
    <x v="84"/>
    <d v="1899-12-30T12:11:00"/>
    <d v="1899-12-30T13:16:00"/>
    <n v="65"/>
    <x v="1"/>
    <x v="3"/>
  </r>
  <r>
    <n v="246"/>
    <s v="Kary"/>
    <s v="Female"/>
    <d v="2000-09-17T00:00:00"/>
    <x v="0"/>
    <n v="24"/>
    <x v="0"/>
    <x v="0"/>
    <x v="88"/>
    <x v="0"/>
    <x v="0"/>
    <x v="0"/>
    <x v="0"/>
    <x v="1"/>
    <x v="0"/>
    <x v="1"/>
    <x v="1"/>
    <x v="1"/>
    <d v="1899-12-30T09:12:00"/>
    <d v="1899-12-30T11:34:00"/>
    <n v="142"/>
    <x v="0"/>
    <x v="0"/>
  </r>
  <r>
    <n v="247"/>
    <s v="Elvis"/>
    <s v="Male"/>
    <d v="1987-04-19T00:00:00"/>
    <x v="3"/>
    <n v="37"/>
    <x v="1"/>
    <x v="0"/>
    <x v="87"/>
    <x v="1"/>
    <x v="0"/>
    <x v="1"/>
    <x v="1"/>
    <x v="1"/>
    <x v="1"/>
    <x v="1"/>
    <x v="0"/>
    <x v="85"/>
    <d v="1899-12-30T18:44:00"/>
    <d v="1899-12-30T21:02:00"/>
    <n v="138"/>
    <x v="0"/>
    <x v="0"/>
  </r>
  <r>
    <n v="248"/>
    <s v="Lib"/>
    <s v="Female"/>
    <d v="2000-08-17T00:00:00"/>
    <x v="0"/>
    <n v="24"/>
    <x v="0"/>
    <x v="2"/>
    <x v="21"/>
    <x v="0"/>
    <x v="1"/>
    <x v="1"/>
    <x v="1"/>
    <x v="0"/>
    <x v="1"/>
    <x v="1"/>
    <x v="1"/>
    <x v="1"/>
    <d v="1899-12-30T14:59:00"/>
    <d v="1899-12-30T17:54:00"/>
    <n v="175"/>
    <x v="1"/>
    <x v="2"/>
  </r>
  <r>
    <n v="249"/>
    <s v="Deloris"/>
    <s v="Female"/>
    <d v="1995-11-14T00:00:00"/>
    <x v="0"/>
    <n v="28"/>
    <x v="0"/>
    <x v="4"/>
    <x v="80"/>
    <x v="0"/>
    <x v="0"/>
    <x v="0"/>
    <x v="1"/>
    <x v="1"/>
    <x v="1"/>
    <x v="0"/>
    <x v="0"/>
    <x v="86"/>
    <d v="1899-12-30T18:00:00"/>
    <d v="1899-12-30T19:08:00"/>
    <n v="68"/>
    <x v="0"/>
    <x v="0"/>
  </r>
  <r>
    <n v="250"/>
    <s v="Peter"/>
    <s v="Male"/>
    <d v="2006-08-27T00:00:00"/>
    <x v="2"/>
    <n v="18"/>
    <x v="1"/>
    <x v="1"/>
    <x v="76"/>
    <x v="1"/>
    <x v="1"/>
    <x v="0"/>
    <x v="1"/>
    <x v="1"/>
    <x v="0"/>
    <x v="1"/>
    <x v="1"/>
    <x v="1"/>
    <d v="1899-12-30T13:26:00"/>
    <d v="1899-12-30T16:24:00"/>
    <n v="178"/>
    <x v="0"/>
    <x v="0"/>
  </r>
  <r>
    <n v="251"/>
    <s v="Spenser"/>
    <s v="Male"/>
    <d v="2006-06-21T00:00:00"/>
    <x v="2"/>
    <n v="18"/>
    <x v="1"/>
    <x v="3"/>
    <x v="55"/>
    <x v="1"/>
    <x v="0"/>
    <x v="1"/>
    <x v="1"/>
    <x v="0"/>
    <x v="0"/>
    <x v="1"/>
    <x v="0"/>
    <x v="87"/>
    <d v="1899-12-30T08:05:00"/>
    <d v="1899-12-30T09:20:00"/>
    <n v="75"/>
    <x v="0"/>
    <x v="0"/>
  </r>
  <r>
    <n v="252"/>
    <s v="Margarita"/>
    <s v="Female"/>
    <d v="1992-05-28T00:00:00"/>
    <x v="3"/>
    <n v="32"/>
    <x v="0"/>
    <x v="4"/>
    <x v="81"/>
    <x v="0"/>
    <x v="0"/>
    <x v="0"/>
    <x v="0"/>
    <x v="1"/>
    <x v="1"/>
    <x v="1"/>
    <x v="0"/>
    <x v="61"/>
    <d v="1899-12-30T10:17:00"/>
    <d v="1899-12-30T11:04:00"/>
    <n v="47"/>
    <x v="0"/>
    <x v="0"/>
  </r>
  <r>
    <n v="253"/>
    <s v="Sergio"/>
    <s v="Male"/>
    <d v="1983-10-27T00:00:00"/>
    <x v="3"/>
    <n v="40"/>
    <x v="0"/>
    <x v="3"/>
    <x v="66"/>
    <x v="0"/>
    <x v="0"/>
    <x v="1"/>
    <x v="1"/>
    <x v="1"/>
    <x v="0"/>
    <x v="1"/>
    <x v="0"/>
    <x v="88"/>
    <d v="1899-12-30T14:33:00"/>
    <d v="1899-12-30T16:14:00"/>
    <n v="101"/>
    <x v="1"/>
    <x v="3"/>
  </r>
  <r>
    <n v="254"/>
    <s v="Alexei"/>
    <s v="Male"/>
    <d v="2003-10-27T00:00:00"/>
    <x v="0"/>
    <n v="20"/>
    <x v="1"/>
    <x v="0"/>
    <x v="48"/>
    <x v="1"/>
    <x v="1"/>
    <x v="0"/>
    <x v="0"/>
    <x v="0"/>
    <x v="0"/>
    <x v="0"/>
    <x v="1"/>
    <x v="1"/>
    <d v="1899-12-30T17:12:00"/>
    <d v="1899-12-30T18:45:00"/>
    <n v="93"/>
    <x v="0"/>
    <x v="0"/>
  </r>
  <r>
    <n v="255"/>
    <s v="Michale"/>
    <s v="Male"/>
    <d v="2003-04-14T00:00:00"/>
    <x v="0"/>
    <n v="21"/>
    <x v="0"/>
    <x v="2"/>
    <x v="51"/>
    <x v="0"/>
    <x v="1"/>
    <x v="1"/>
    <x v="0"/>
    <x v="0"/>
    <x v="0"/>
    <x v="1"/>
    <x v="0"/>
    <x v="65"/>
    <d v="1899-12-30T14:34:00"/>
    <d v="1899-12-30T16:34:00"/>
    <n v="120"/>
    <x v="1"/>
    <x v="2"/>
  </r>
  <r>
    <n v="256"/>
    <s v="Andreana"/>
    <s v="Female"/>
    <d v="1985-12-18T00:00:00"/>
    <x v="3"/>
    <n v="38"/>
    <x v="0"/>
    <x v="2"/>
    <x v="51"/>
    <x v="0"/>
    <x v="1"/>
    <x v="1"/>
    <x v="0"/>
    <x v="0"/>
    <x v="0"/>
    <x v="1"/>
    <x v="0"/>
    <x v="9"/>
    <d v="1899-12-30T17:37:00"/>
    <d v="1899-12-30T18:28:00"/>
    <n v="51"/>
    <x v="1"/>
    <x v="2"/>
  </r>
  <r>
    <n v="257"/>
    <s v="Worth"/>
    <s v="Male"/>
    <d v="1979-03-28T00:00:00"/>
    <x v="1"/>
    <n v="45"/>
    <x v="1"/>
    <x v="3"/>
    <x v="68"/>
    <x v="0"/>
    <x v="1"/>
    <x v="0"/>
    <x v="0"/>
    <x v="0"/>
    <x v="0"/>
    <x v="1"/>
    <x v="0"/>
    <x v="89"/>
    <d v="1899-12-30T08:12:00"/>
    <d v="1899-12-30T09:55:00"/>
    <n v="103"/>
    <x v="0"/>
    <x v="0"/>
  </r>
  <r>
    <n v="258"/>
    <s v="Bronnie"/>
    <s v="Male"/>
    <d v="2001-12-21T00:00:00"/>
    <x v="0"/>
    <n v="22"/>
    <x v="1"/>
    <x v="3"/>
    <x v="56"/>
    <x v="1"/>
    <x v="1"/>
    <x v="1"/>
    <x v="1"/>
    <x v="0"/>
    <x v="1"/>
    <x v="1"/>
    <x v="1"/>
    <x v="1"/>
    <d v="1899-12-30T19:49:00"/>
    <d v="1899-12-30T21:25:00"/>
    <n v="96"/>
    <x v="0"/>
    <x v="0"/>
  </r>
  <r>
    <n v="259"/>
    <s v="Muire"/>
    <s v="Female"/>
    <d v="2007-05-08T00:00:00"/>
    <x v="2"/>
    <n v="17"/>
    <x v="0"/>
    <x v="4"/>
    <x v="89"/>
    <x v="0"/>
    <x v="0"/>
    <x v="0"/>
    <x v="0"/>
    <x v="1"/>
    <x v="0"/>
    <x v="0"/>
    <x v="1"/>
    <x v="1"/>
    <d v="1899-12-30T10:02:00"/>
    <d v="1899-12-30T11:31:00"/>
    <n v="89"/>
    <x v="1"/>
    <x v="1"/>
  </r>
  <r>
    <n v="260"/>
    <s v="Jaquelyn"/>
    <s v="Female"/>
    <d v="1992-05-24T00:00:00"/>
    <x v="3"/>
    <n v="32"/>
    <x v="1"/>
    <x v="4"/>
    <x v="90"/>
    <x v="1"/>
    <x v="0"/>
    <x v="0"/>
    <x v="0"/>
    <x v="0"/>
    <x v="0"/>
    <x v="0"/>
    <x v="1"/>
    <x v="1"/>
    <d v="1899-12-30T08:20:00"/>
    <d v="1899-12-30T10:52:00"/>
    <n v="152"/>
    <x v="0"/>
    <x v="0"/>
  </r>
  <r>
    <n v="261"/>
    <s v="Eamon"/>
    <s v="Male"/>
    <d v="1980-10-02T00:00:00"/>
    <x v="1"/>
    <n v="44"/>
    <x v="1"/>
    <x v="3"/>
    <x v="31"/>
    <x v="0"/>
    <x v="0"/>
    <x v="1"/>
    <x v="1"/>
    <x v="0"/>
    <x v="0"/>
    <x v="0"/>
    <x v="1"/>
    <x v="1"/>
    <d v="1899-12-30T12:01:00"/>
    <d v="1899-12-30T13:48:00"/>
    <n v="107"/>
    <x v="0"/>
    <x v="0"/>
  </r>
  <r>
    <n v="262"/>
    <s v="Caritta"/>
    <s v="Female"/>
    <d v="1977-05-27T00:00:00"/>
    <x v="1"/>
    <n v="47"/>
    <x v="0"/>
    <x v="3"/>
    <x v="91"/>
    <x v="0"/>
    <x v="1"/>
    <x v="1"/>
    <x v="1"/>
    <x v="1"/>
    <x v="1"/>
    <x v="1"/>
    <x v="0"/>
    <x v="90"/>
    <d v="1899-12-30T08:39:00"/>
    <d v="1899-12-30T09:25:00"/>
    <n v="46"/>
    <x v="1"/>
    <x v="1"/>
  </r>
  <r>
    <n v="263"/>
    <s v="Star"/>
    <s v="Female"/>
    <d v="1981-03-19T00:00:00"/>
    <x v="1"/>
    <n v="43"/>
    <x v="1"/>
    <x v="2"/>
    <x v="5"/>
    <x v="0"/>
    <x v="1"/>
    <x v="0"/>
    <x v="1"/>
    <x v="0"/>
    <x v="0"/>
    <x v="1"/>
    <x v="1"/>
    <x v="1"/>
    <d v="1899-12-30T08:17:00"/>
    <d v="1899-12-30T10:01:00"/>
    <n v="104"/>
    <x v="1"/>
    <x v="3"/>
  </r>
  <r>
    <n v="264"/>
    <s v="Padraig"/>
    <s v="Male"/>
    <d v="1976-07-05T00:00:00"/>
    <x v="1"/>
    <n v="48"/>
    <x v="1"/>
    <x v="4"/>
    <x v="71"/>
    <x v="1"/>
    <x v="0"/>
    <x v="0"/>
    <x v="0"/>
    <x v="1"/>
    <x v="0"/>
    <x v="1"/>
    <x v="1"/>
    <x v="1"/>
    <d v="1899-12-30T15:42:00"/>
    <d v="1899-12-30T16:38:00"/>
    <n v="56"/>
    <x v="1"/>
    <x v="4"/>
  </r>
  <r>
    <n v="265"/>
    <s v="Reina"/>
    <s v="Female"/>
    <d v="1992-07-30T00:00:00"/>
    <x v="3"/>
    <n v="32"/>
    <x v="1"/>
    <x v="4"/>
    <x v="50"/>
    <x v="0"/>
    <x v="0"/>
    <x v="0"/>
    <x v="0"/>
    <x v="0"/>
    <x v="1"/>
    <x v="0"/>
    <x v="1"/>
    <x v="1"/>
    <d v="1899-12-30T19:52:00"/>
    <d v="1899-12-30T22:44:00"/>
    <n v="172"/>
    <x v="1"/>
    <x v="2"/>
  </r>
  <r>
    <n v="266"/>
    <s v="Prudence"/>
    <s v="Female"/>
    <d v="1987-02-06T00:00:00"/>
    <x v="3"/>
    <n v="37"/>
    <x v="1"/>
    <x v="1"/>
    <x v="11"/>
    <x v="0"/>
    <x v="0"/>
    <x v="0"/>
    <x v="1"/>
    <x v="0"/>
    <x v="0"/>
    <x v="0"/>
    <x v="0"/>
    <x v="91"/>
    <d v="1899-12-30T18:07:00"/>
    <d v="1899-12-30T20:22:00"/>
    <n v="135"/>
    <x v="0"/>
    <x v="0"/>
  </r>
  <r>
    <n v="267"/>
    <s v="Bertie"/>
    <s v="Female"/>
    <d v="1988-05-12T00:00:00"/>
    <x v="3"/>
    <n v="36"/>
    <x v="1"/>
    <x v="4"/>
    <x v="25"/>
    <x v="1"/>
    <x v="0"/>
    <x v="1"/>
    <x v="0"/>
    <x v="0"/>
    <x v="1"/>
    <x v="0"/>
    <x v="1"/>
    <x v="1"/>
    <d v="1899-12-30T11:33:00"/>
    <d v="1899-12-30T14:00:00"/>
    <n v="147"/>
    <x v="0"/>
    <x v="0"/>
  </r>
  <r>
    <n v="268"/>
    <s v="Chadwick"/>
    <s v="Male"/>
    <d v="2001-12-03T00:00:00"/>
    <x v="0"/>
    <n v="22"/>
    <x v="0"/>
    <x v="0"/>
    <x v="92"/>
    <x v="1"/>
    <x v="1"/>
    <x v="1"/>
    <x v="0"/>
    <x v="1"/>
    <x v="1"/>
    <x v="1"/>
    <x v="1"/>
    <x v="1"/>
    <d v="1899-12-30T18:08:00"/>
    <d v="1899-12-30T19:36:00"/>
    <n v="88"/>
    <x v="1"/>
    <x v="2"/>
  </r>
  <r>
    <n v="269"/>
    <s v="Vinny"/>
    <s v="Male"/>
    <d v="1987-10-07T00:00:00"/>
    <x v="3"/>
    <n v="36"/>
    <x v="0"/>
    <x v="3"/>
    <x v="4"/>
    <x v="0"/>
    <x v="1"/>
    <x v="0"/>
    <x v="1"/>
    <x v="1"/>
    <x v="0"/>
    <x v="1"/>
    <x v="1"/>
    <x v="1"/>
    <d v="1899-12-30T09:59:00"/>
    <d v="1899-12-30T11:53:00"/>
    <n v="114"/>
    <x v="0"/>
    <x v="0"/>
  </r>
  <r>
    <n v="270"/>
    <s v="Abby"/>
    <s v="Male"/>
    <d v="1985-03-01T00:00:00"/>
    <x v="3"/>
    <n v="39"/>
    <x v="1"/>
    <x v="1"/>
    <x v="75"/>
    <x v="0"/>
    <x v="1"/>
    <x v="0"/>
    <x v="1"/>
    <x v="1"/>
    <x v="0"/>
    <x v="0"/>
    <x v="0"/>
    <x v="6"/>
    <d v="1899-12-30T15:19:00"/>
    <d v="1899-12-30T16:03:00"/>
    <n v="44"/>
    <x v="1"/>
    <x v="2"/>
  </r>
  <r>
    <n v="271"/>
    <s v="Craggy"/>
    <s v="Male"/>
    <d v="1976-12-28T00:00:00"/>
    <x v="1"/>
    <n v="47"/>
    <x v="1"/>
    <x v="1"/>
    <x v="42"/>
    <x v="0"/>
    <x v="0"/>
    <x v="1"/>
    <x v="0"/>
    <x v="0"/>
    <x v="0"/>
    <x v="0"/>
    <x v="1"/>
    <x v="1"/>
    <d v="1899-12-30T10:08:00"/>
    <d v="1899-12-30T10:41:00"/>
    <n v="33"/>
    <x v="1"/>
    <x v="4"/>
  </r>
  <r>
    <n v="272"/>
    <s v="Arley"/>
    <s v="Male"/>
    <d v="1975-01-12T00:00:00"/>
    <x v="1"/>
    <n v="49"/>
    <x v="0"/>
    <x v="3"/>
    <x v="39"/>
    <x v="0"/>
    <x v="1"/>
    <x v="0"/>
    <x v="1"/>
    <x v="0"/>
    <x v="1"/>
    <x v="1"/>
    <x v="0"/>
    <x v="39"/>
    <d v="1899-12-30T13:20:00"/>
    <d v="1899-12-30T16:16:00"/>
    <n v="176"/>
    <x v="1"/>
    <x v="1"/>
  </r>
  <r>
    <n v="273"/>
    <s v="Quincy"/>
    <s v="Male"/>
    <d v="1996-12-27T00:00:00"/>
    <x v="0"/>
    <n v="27"/>
    <x v="1"/>
    <x v="3"/>
    <x v="55"/>
    <x v="1"/>
    <x v="0"/>
    <x v="1"/>
    <x v="1"/>
    <x v="0"/>
    <x v="0"/>
    <x v="1"/>
    <x v="1"/>
    <x v="1"/>
    <d v="1899-12-30T11:23:00"/>
    <d v="1899-12-30T13:25:00"/>
    <n v="122"/>
    <x v="1"/>
    <x v="1"/>
  </r>
  <r>
    <n v="274"/>
    <s v="Elset"/>
    <s v="Female"/>
    <d v="1980-04-03T00:00:00"/>
    <x v="1"/>
    <n v="44"/>
    <x v="1"/>
    <x v="3"/>
    <x v="27"/>
    <x v="0"/>
    <x v="1"/>
    <x v="1"/>
    <x v="1"/>
    <x v="0"/>
    <x v="1"/>
    <x v="0"/>
    <x v="0"/>
    <x v="67"/>
    <d v="1899-12-30T19:30:00"/>
    <d v="1899-12-30T21:28:00"/>
    <n v="118"/>
    <x v="0"/>
    <x v="0"/>
  </r>
  <r>
    <n v="275"/>
    <s v="Gunther"/>
    <s v="Male"/>
    <d v="2011-06-09T00:00:00"/>
    <x v="2"/>
    <n v="13"/>
    <x v="1"/>
    <x v="3"/>
    <x v="66"/>
    <x v="0"/>
    <x v="0"/>
    <x v="1"/>
    <x v="1"/>
    <x v="1"/>
    <x v="0"/>
    <x v="1"/>
    <x v="1"/>
    <x v="1"/>
    <d v="1899-12-30T09:38:00"/>
    <d v="1899-12-30T11:56:00"/>
    <n v="138"/>
    <x v="0"/>
    <x v="0"/>
  </r>
  <r>
    <n v="276"/>
    <s v="Horatio"/>
    <s v="Male"/>
    <d v="2010-04-02T00:00:00"/>
    <x v="2"/>
    <n v="14"/>
    <x v="1"/>
    <x v="3"/>
    <x v="73"/>
    <x v="1"/>
    <x v="1"/>
    <x v="1"/>
    <x v="1"/>
    <x v="1"/>
    <x v="0"/>
    <x v="1"/>
    <x v="0"/>
    <x v="20"/>
    <d v="1899-12-30T11:21:00"/>
    <d v="1899-12-30T12:29:00"/>
    <n v="68"/>
    <x v="0"/>
    <x v="0"/>
  </r>
  <r>
    <n v="277"/>
    <s v="Trista"/>
    <s v="Female"/>
    <d v="1999-04-25T00:00:00"/>
    <x v="0"/>
    <n v="25"/>
    <x v="1"/>
    <x v="3"/>
    <x v="57"/>
    <x v="0"/>
    <x v="0"/>
    <x v="1"/>
    <x v="1"/>
    <x v="0"/>
    <x v="1"/>
    <x v="1"/>
    <x v="1"/>
    <x v="1"/>
    <d v="1899-12-30T10:38:00"/>
    <d v="1899-12-30T13:35:00"/>
    <n v="177"/>
    <x v="1"/>
    <x v="4"/>
  </r>
  <r>
    <n v="278"/>
    <s v="Leon"/>
    <s v="Male"/>
    <d v="1992-02-03T00:00:00"/>
    <x v="3"/>
    <n v="32"/>
    <x v="0"/>
    <x v="3"/>
    <x v="31"/>
    <x v="0"/>
    <x v="0"/>
    <x v="1"/>
    <x v="1"/>
    <x v="0"/>
    <x v="0"/>
    <x v="0"/>
    <x v="0"/>
    <x v="92"/>
    <d v="1899-12-30T13:19:00"/>
    <d v="1899-12-30T14:13:00"/>
    <n v="54"/>
    <x v="1"/>
    <x v="2"/>
  </r>
  <r>
    <n v="279"/>
    <s v="Mathilda"/>
    <s v="Female"/>
    <d v="1994-10-15T00:00:00"/>
    <x v="0"/>
    <n v="29"/>
    <x v="1"/>
    <x v="0"/>
    <x v="93"/>
    <x v="1"/>
    <x v="0"/>
    <x v="0"/>
    <x v="0"/>
    <x v="0"/>
    <x v="0"/>
    <x v="1"/>
    <x v="1"/>
    <x v="1"/>
    <d v="1899-12-30T10:43:00"/>
    <d v="1899-12-30T12:30:00"/>
    <n v="107"/>
    <x v="1"/>
    <x v="4"/>
  </r>
  <r>
    <n v="280"/>
    <s v="Zachariah"/>
    <s v="Male"/>
    <d v="1983-01-24T00:00:00"/>
    <x v="1"/>
    <n v="41"/>
    <x v="1"/>
    <x v="3"/>
    <x v="17"/>
    <x v="0"/>
    <x v="1"/>
    <x v="1"/>
    <x v="0"/>
    <x v="0"/>
    <x v="0"/>
    <x v="0"/>
    <x v="0"/>
    <x v="58"/>
    <d v="1899-12-30T10:29:00"/>
    <d v="1899-12-30T11:09:00"/>
    <n v="40"/>
    <x v="1"/>
    <x v="1"/>
  </r>
  <r>
    <n v="281"/>
    <s v="Dorey"/>
    <s v="Male"/>
    <d v="2003-06-01T00:00:00"/>
    <x v="0"/>
    <n v="21"/>
    <x v="0"/>
    <x v="3"/>
    <x v="37"/>
    <x v="1"/>
    <x v="1"/>
    <x v="0"/>
    <x v="1"/>
    <x v="0"/>
    <x v="0"/>
    <x v="1"/>
    <x v="0"/>
    <x v="93"/>
    <d v="1899-12-30T15:40:00"/>
    <d v="1899-12-30T16:47:00"/>
    <n v="67"/>
    <x v="1"/>
    <x v="1"/>
  </r>
  <r>
    <n v="282"/>
    <s v="Daniel"/>
    <s v="Male"/>
    <d v="1999-07-06T00:00:00"/>
    <x v="0"/>
    <n v="25"/>
    <x v="1"/>
    <x v="4"/>
    <x v="23"/>
    <x v="0"/>
    <x v="0"/>
    <x v="1"/>
    <x v="0"/>
    <x v="1"/>
    <x v="1"/>
    <x v="0"/>
    <x v="0"/>
    <x v="94"/>
    <d v="1899-12-30T12:25:00"/>
    <d v="1899-12-30T13:26:00"/>
    <n v="61"/>
    <x v="0"/>
    <x v="0"/>
  </r>
  <r>
    <n v="283"/>
    <s v="Dionis"/>
    <s v="Female"/>
    <d v="2002-12-16T00:00:00"/>
    <x v="0"/>
    <n v="21"/>
    <x v="0"/>
    <x v="3"/>
    <x v="12"/>
    <x v="1"/>
    <x v="1"/>
    <x v="1"/>
    <x v="0"/>
    <x v="0"/>
    <x v="0"/>
    <x v="1"/>
    <x v="0"/>
    <x v="95"/>
    <d v="1899-12-30T14:55:00"/>
    <d v="1899-12-30T17:40:00"/>
    <n v="165"/>
    <x v="1"/>
    <x v="2"/>
  </r>
  <r>
    <n v="284"/>
    <s v="Marnie"/>
    <s v="Female"/>
    <d v="2010-12-21T00:00:00"/>
    <x v="2"/>
    <n v="13"/>
    <x v="1"/>
    <x v="3"/>
    <x v="37"/>
    <x v="1"/>
    <x v="1"/>
    <x v="0"/>
    <x v="1"/>
    <x v="0"/>
    <x v="0"/>
    <x v="1"/>
    <x v="1"/>
    <x v="1"/>
    <d v="1899-12-30T12:52:00"/>
    <d v="1899-12-30T15:32:00"/>
    <n v="160"/>
    <x v="0"/>
    <x v="0"/>
  </r>
  <r>
    <n v="285"/>
    <s v="Earl"/>
    <s v="Male"/>
    <d v="1976-06-08T00:00:00"/>
    <x v="1"/>
    <n v="48"/>
    <x v="0"/>
    <x v="0"/>
    <x v="34"/>
    <x v="0"/>
    <x v="0"/>
    <x v="0"/>
    <x v="1"/>
    <x v="1"/>
    <x v="1"/>
    <x v="1"/>
    <x v="1"/>
    <x v="1"/>
    <d v="1899-12-30T13:33:00"/>
    <d v="1899-12-30T14:07:00"/>
    <n v="34"/>
    <x v="0"/>
    <x v="0"/>
  </r>
  <r>
    <n v="286"/>
    <s v="Dimitry"/>
    <s v="Male"/>
    <d v="2004-01-23T00:00:00"/>
    <x v="0"/>
    <n v="20"/>
    <x v="0"/>
    <x v="4"/>
    <x v="35"/>
    <x v="1"/>
    <x v="1"/>
    <x v="0"/>
    <x v="0"/>
    <x v="1"/>
    <x v="1"/>
    <x v="1"/>
    <x v="1"/>
    <x v="1"/>
    <d v="1899-12-30T20:16:00"/>
    <d v="1899-12-30T21:49:00"/>
    <n v="93"/>
    <x v="1"/>
    <x v="2"/>
  </r>
  <r>
    <n v="287"/>
    <s v="Hieronymus"/>
    <s v="Male"/>
    <d v="1987-10-07T00:00:00"/>
    <x v="3"/>
    <n v="36"/>
    <x v="0"/>
    <x v="3"/>
    <x v="52"/>
    <x v="0"/>
    <x v="1"/>
    <x v="1"/>
    <x v="0"/>
    <x v="1"/>
    <x v="0"/>
    <x v="1"/>
    <x v="0"/>
    <x v="96"/>
    <d v="1899-12-30T19:39:00"/>
    <d v="1899-12-30T22:03:00"/>
    <n v="144"/>
    <x v="0"/>
    <x v="0"/>
  </r>
  <r>
    <n v="288"/>
    <s v="Piggy"/>
    <s v="Male"/>
    <d v="1982-06-12T00:00:00"/>
    <x v="1"/>
    <n v="42"/>
    <x v="0"/>
    <x v="4"/>
    <x v="85"/>
    <x v="1"/>
    <x v="0"/>
    <x v="1"/>
    <x v="0"/>
    <x v="1"/>
    <x v="1"/>
    <x v="1"/>
    <x v="1"/>
    <x v="1"/>
    <d v="1899-12-30T17:30:00"/>
    <d v="1899-12-30T20:09:00"/>
    <n v="159"/>
    <x v="0"/>
    <x v="0"/>
  </r>
  <r>
    <n v="289"/>
    <s v="Gwendolin"/>
    <s v="Female"/>
    <d v="2004-04-19T00:00:00"/>
    <x v="0"/>
    <n v="20"/>
    <x v="0"/>
    <x v="1"/>
    <x v="78"/>
    <x v="1"/>
    <x v="1"/>
    <x v="1"/>
    <x v="0"/>
    <x v="0"/>
    <x v="0"/>
    <x v="0"/>
    <x v="0"/>
    <x v="34"/>
    <d v="1899-12-30T08:53:00"/>
    <d v="1899-12-30T11:29:00"/>
    <n v="156"/>
    <x v="1"/>
    <x v="2"/>
  </r>
  <r>
    <n v="290"/>
    <s v="Chelsy"/>
    <s v="Female"/>
    <d v="1998-05-05T00:00:00"/>
    <x v="0"/>
    <n v="26"/>
    <x v="1"/>
    <x v="3"/>
    <x v="91"/>
    <x v="0"/>
    <x v="1"/>
    <x v="1"/>
    <x v="1"/>
    <x v="1"/>
    <x v="1"/>
    <x v="1"/>
    <x v="0"/>
    <x v="37"/>
    <d v="1899-12-30T15:52:00"/>
    <d v="1899-12-30T18:05:00"/>
    <n v="133"/>
    <x v="0"/>
    <x v="0"/>
  </r>
  <r>
    <n v="291"/>
    <s v="Barbi"/>
    <s v="Female"/>
    <d v="1982-04-24T00:00:00"/>
    <x v="1"/>
    <n v="42"/>
    <x v="0"/>
    <x v="4"/>
    <x v="89"/>
    <x v="0"/>
    <x v="0"/>
    <x v="0"/>
    <x v="0"/>
    <x v="1"/>
    <x v="0"/>
    <x v="0"/>
    <x v="1"/>
    <x v="1"/>
    <d v="1899-12-30T09:49:00"/>
    <d v="1899-12-30T11:31:00"/>
    <n v="102"/>
    <x v="0"/>
    <x v="0"/>
  </r>
  <r>
    <n v="292"/>
    <s v="Mitchel"/>
    <s v="Male"/>
    <d v="2007-07-26T00:00:00"/>
    <x v="2"/>
    <n v="17"/>
    <x v="1"/>
    <x v="2"/>
    <x v="14"/>
    <x v="0"/>
    <x v="1"/>
    <x v="1"/>
    <x v="1"/>
    <x v="0"/>
    <x v="0"/>
    <x v="0"/>
    <x v="1"/>
    <x v="1"/>
    <d v="1899-12-30T16:59:00"/>
    <d v="1899-12-30T18:58:00"/>
    <n v="119"/>
    <x v="0"/>
    <x v="0"/>
  </r>
  <r>
    <n v="293"/>
    <s v="Merilee"/>
    <s v="Female"/>
    <d v="1998-05-04T00:00:00"/>
    <x v="0"/>
    <n v="26"/>
    <x v="0"/>
    <x v="2"/>
    <x v="2"/>
    <x v="1"/>
    <x v="1"/>
    <x v="1"/>
    <x v="1"/>
    <x v="0"/>
    <x v="0"/>
    <x v="1"/>
    <x v="0"/>
    <x v="97"/>
    <d v="1899-12-30T16:31:00"/>
    <d v="1899-12-30T18:53:00"/>
    <n v="142"/>
    <x v="1"/>
    <x v="4"/>
  </r>
  <r>
    <n v="294"/>
    <s v="Maitilde"/>
    <s v="Female"/>
    <d v="1983-09-02T00:00:00"/>
    <x v="1"/>
    <n v="41"/>
    <x v="0"/>
    <x v="2"/>
    <x v="10"/>
    <x v="0"/>
    <x v="1"/>
    <x v="1"/>
    <x v="1"/>
    <x v="1"/>
    <x v="0"/>
    <x v="1"/>
    <x v="0"/>
    <x v="98"/>
    <d v="1899-12-30T13:14:00"/>
    <d v="1899-12-30T14:57:00"/>
    <n v="103"/>
    <x v="0"/>
    <x v="0"/>
  </r>
  <r>
    <n v="295"/>
    <s v="Abbie"/>
    <s v="Male"/>
    <d v="1988-10-09T00:00:00"/>
    <x v="3"/>
    <n v="35"/>
    <x v="1"/>
    <x v="1"/>
    <x v="94"/>
    <x v="0"/>
    <x v="1"/>
    <x v="0"/>
    <x v="0"/>
    <x v="0"/>
    <x v="0"/>
    <x v="0"/>
    <x v="1"/>
    <x v="1"/>
    <d v="1899-12-30T15:28:00"/>
    <d v="1899-12-30T18:08:00"/>
    <n v="160"/>
    <x v="0"/>
    <x v="0"/>
  </r>
  <r>
    <n v="296"/>
    <s v="Evie"/>
    <s v="Female"/>
    <d v="2000-12-30T00:00:00"/>
    <x v="0"/>
    <n v="23"/>
    <x v="1"/>
    <x v="0"/>
    <x v="95"/>
    <x v="0"/>
    <x v="0"/>
    <x v="1"/>
    <x v="1"/>
    <x v="1"/>
    <x v="1"/>
    <x v="0"/>
    <x v="1"/>
    <x v="1"/>
    <d v="1899-12-30T10:17:00"/>
    <d v="1899-12-30T12:41:00"/>
    <n v="144"/>
    <x v="0"/>
    <x v="0"/>
  </r>
  <r>
    <n v="297"/>
    <s v="Georas"/>
    <s v="Male"/>
    <d v="1994-05-09T00:00:00"/>
    <x v="0"/>
    <n v="30"/>
    <x v="1"/>
    <x v="4"/>
    <x v="71"/>
    <x v="1"/>
    <x v="0"/>
    <x v="0"/>
    <x v="0"/>
    <x v="1"/>
    <x v="0"/>
    <x v="1"/>
    <x v="1"/>
    <x v="1"/>
    <d v="1899-12-30T17:29:00"/>
    <d v="1899-12-30T19:35:00"/>
    <n v="126"/>
    <x v="1"/>
    <x v="3"/>
  </r>
  <r>
    <n v="298"/>
    <s v="Nicki"/>
    <s v="Female"/>
    <d v="1990-04-09T00:00:00"/>
    <x v="3"/>
    <n v="34"/>
    <x v="0"/>
    <x v="3"/>
    <x v="96"/>
    <x v="0"/>
    <x v="1"/>
    <x v="0"/>
    <x v="1"/>
    <x v="0"/>
    <x v="0"/>
    <x v="0"/>
    <x v="1"/>
    <x v="1"/>
    <d v="1899-12-30T19:17:00"/>
    <d v="1899-12-30T20:25:00"/>
    <n v="68"/>
    <x v="1"/>
    <x v="1"/>
  </r>
  <r>
    <n v="299"/>
    <s v="Avis"/>
    <s v="Female"/>
    <d v="1981-03-27T00:00:00"/>
    <x v="1"/>
    <n v="43"/>
    <x v="0"/>
    <x v="4"/>
    <x v="43"/>
    <x v="1"/>
    <x v="1"/>
    <x v="0"/>
    <x v="0"/>
    <x v="1"/>
    <x v="0"/>
    <x v="0"/>
    <x v="1"/>
    <x v="1"/>
    <d v="1899-12-30T12:31:00"/>
    <d v="1899-12-30T15:09:00"/>
    <n v="158"/>
    <x v="1"/>
    <x v="2"/>
  </r>
  <r>
    <n v="300"/>
    <s v="Ives"/>
    <s v="Male"/>
    <d v="2011-07-09T00:00:00"/>
    <x v="2"/>
    <n v="13"/>
    <x v="0"/>
    <x v="1"/>
    <x v="42"/>
    <x v="0"/>
    <x v="0"/>
    <x v="1"/>
    <x v="0"/>
    <x v="0"/>
    <x v="0"/>
    <x v="0"/>
    <x v="0"/>
    <x v="77"/>
    <d v="1899-12-30T14:53:00"/>
    <d v="1899-12-30T16:05:00"/>
    <n v="72"/>
    <x v="0"/>
    <x v="0"/>
  </r>
  <r>
    <n v="301"/>
    <s v="Amalea"/>
    <s v="Female"/>
    <d v="2001-04-14T00:00:00"/>
    <x v="0"/>
    <n v="23"/>
    <x v="0"/>
    <x v="1"/>
    <x v="97"/>
    <x v="1"/>
    <x v="1"/>
    <x v="0"/>
    <x v="1"/>
    <x v="0"/>
    <x v="0"/>
    <x v="0"/>
    <x v="0"/>
    <x v="99"/>
    <d v="1899-12-30T13:06:00"/>
    <d v="1899-12-30T13:58:00"/>
    <n v="52"/>
    <x v="1"/>
    <x v="1"/>
  </r>
  <r>
    <n v="302"/>
    <s v="Sigismondo"/>
    <s v="Male"/>
    <d v="1979-01-03T00:00:00"/>
    <x v="1"/>
    <n v="45"/>
    <x v="1"/>
    <x v="1"/>
    <x v="94"/>
    <x v="0"/>
    <x v="1"/>
    <x v="0"/>
    <x v="0"/>
    <x v="0"/>
    <x v="0"/>
    <x v="0"/>
    <x v="0"/>
    <x v="100"/>
    <d v="1899-12-30T12:48:00"/>
    <d v="1899-12-30T13:20:00"/>
    <n v="32"/>
    <x v="1"/>
    <x v="3"/>
  </r>
  <r>
    <n v="303"/>
    <s v="Therese"/>
    <s v="Female"/>
    <d v="1982-01-23T00:00:00"/>
    <x v="1"/>
    <n v="42"/>
    <x v="1"/>
    <x v="1"/>
    <x v="59"/>
    <x v="1"/>
    <x v="0"/>
    <x v="0"/>
    <x v="1"/>
    <x v="0"/>
    <x v="0"/>
    <x v="1"/>
    <x v="1"/>
    <x v="1"/>
    <d v="1899-12-30T13:32:00"/>
    <d v="1899-12-30T14:39:00"/>
    <n v="67"/>
    <x v="1"/>
    <x v="4"/>
  </r>
  <r>
    <n v="304"/>
    <s v="Godfry"/>
    <s v="Male"/>
    <d v="1988-12-28T00:00:00"/>
    <x v="3"/>
    <n v="35"/>
    <x v="1"/>
    <x v="2"/>
    <x v="9"/>
    <x v="0"/>
    <x v="0"/>
    <x v="1"/>
    <x v="1"/>
    <x v="0"/>
    <x v="0"/>
    <x v="1"/>
    <x v="1"/>
    <x v="1"/>
    <d v="1899-12-30T13:53:00"/>
    <d v="1899-12-30T14:28:00"/>
    <n v="35"/>
    <x v="0"/>
    <x v="0"/>
  </r>
  <r>
    <n v="305"/>
    <s v="Alfie"/>
    <s v="Male"/>
    <d v="1998-08-02T00:00:00"/>
    <x v="0"/>
    <n v="26"/>
    <x v="1"/>
    <x v="0"/>
    <x v="98"/>
    <x v="0"/>
    <x v="0"/>
    <x v="1"/>
    <x v="0"/>
    <x v="1"/>
    <x v="1"/>
    <x v="1"/>
    <x v="0"/>
    <x v="101"/>
    <d v="1899-12-30T08:48:00"/>
    <d v="1899-12-30T09:20:00"/>
    <n v="32"/>
    <x v="0"/>
    <x v="0"/>
  </r>
  <r>
    <n v="306"/>
    <s v="Seumas"/>
    <s v="Male"/>
    <d v="2003-10-28T00:00:00"/>
    <x v="0"/>
    <n v="20"/>
    <x v="1"/>
    <x v="3"/>
    <x v="12"/>
    <x v="1"/>
    <x v="1"/>
    <x v="1"/>
    <x v="0"/>
    <x v="0"/>
    <x v="0"/>
    <x v="1"/>
    <x v="0"/>
    <x v="102"/>
    <d v="1899-12-30T11:47:00"/>
    <d v="1899-12-30T13:48:00"/>
    <n v="121"/>
    <x v="1"/>
    <x v="1"/>
  </r>
  <r>
    <n v="307"/>
    <s v="Elora"/>
    <s v="Female"/>
    <d v="1992-04-06T00:00:00"/>
    <x v="3"/>
    <n v="32"/>
    <x v="1"/>
    <x v="1"/>
    <x v="63"/>
    <x v="1"/>
    <x v="1"/>
    <x v="0"/>
    <x v="1"/>
    <x v="0"/>
    <x v="1"/>
    <x v="1"/>
    <x v="1"/>
    <x v="1"/>
    <d v="1899-12-30T17:30:00"/>
    <d v="1899-12-30T20:09:00"/>
    <n v="159"/>
    <x v="1"/>
    <x v="1"/>
  </r>
  <r>
    <n v="308"/>
    <s v="Jodee"/>
    <s v="Female"/>
    <d v="1993-07-02T00:00:00"/>
    <x v="3"/>
    <n v="31"/>
    <x v="0"/>
    <x v="0"/>
    <x v="82"/>
    <x v="1"/>
    <x v="1"/>
    <x v="0"/>
    <x v="0"/>
    <x v="1"/>
    <x v="0"/>
    <x v="1"/>
    <x v="1"/>
    <x v="1"/>
    <d v="1899-12-30T11:54:00"/>
    <d v="1899-12-30T13:52:00"/>
    <n v="118"/>
    <x v="0"/>
    <x v="0"/>
  </r>
  <r>
    <n v="309"/>
    <s v="Virge"/>
    <s v="Male"/>
    <d v="1995-06-28T00:00:00"/>
    <x v="0"/>
    <n v="29"/>
    <x v="1"/>
    <x v="1"/>
    <x v="38"/>
    <x v="1"/>
    <x v="1"/>
    <x v="1"/>
    <x v="0"/>
    <x v="0"/>
    <x v="1"/>
    <x v="1"/>
    <x v="1"/>
    <x v="1"/>
    <d v="1899-12-30T15:05:00"/>
    <d v="1899-12-30T17:57:00"/>
    <n v="172"/>
    <x v="1"/>
    <x v="2"/>
  </r>
  <r>
    <n v="310"/>
    <s v="Jeremias"/>
    <s v="Male"/>
    <d v="1990-02-08T00:00:00"/>
    <x v="3"/>
    <n v="34"/>
    <x v="1"/>
    <x v="3"/>
    <x v="31"/>
    <x v="0"/>
    <x v="0"/>
    <x v="1"/>
    <x v="1"/>
    <x v="0"/>
    <x v="0"/>
    <x v="0"/>
    <x v="0"/>
    <x v="103"/>
    <d v="1899-12-30T19:18:00"/>
    <d v="1899-12-30T20:56:00"/>
    <n v="98"/>
    <x v="1"/>
    <x v="1"/>
  </r>
  <r>
    <n v="311"/>
    <s v="Christabella"/>
    <s v="Female"/>
    <d v="1980-07-20T00:00:00"/>
    <x v="1"/>
    <n v="44"/>
    <x v="1"/>
    <x v="2"/>
    <x v="9"/>
    <x v="0"/>
    <x v="0"/>
    <x v="1"/>
    <x v="1"/>
    <x v="0"/>
    <x v="0"/>
    <x v="1"/>
    <x v="1"/>
    <x v="1"/>
    <d v="1899-12-30T17:41:00"/>
    <d v="1899-12-30T19:59:00"/>
    <n v="138"/>
    <x v="1"/>
    <x v="1"/>
  </r>
  <r>
    <n v="312"/>
    <s v="Taite"/>
    <s v="Male"/>
    <d v="2002-06-03T00:00:00"/>
    <x v="0"/>
    <n v="22"/>
    <x v="0"/>
    <x v="4"/>
    <x v="80"/>
    <x v="0"/>
    <x v="0"/>
    <x v="0"/>
    <x v="1"/>
    <x v="1"/>
    <x v="1"/>
    <x v="0"/>
    <x v="0"/>
    <x v="20"/>
    <d v="1899-12-30T17:41:00"/>
    <d v="1899-12-30T19:25:00"/>
    <n v="104"/>
    <x v="0"/>
    <x v="0"/>
  </r>
  <r>
    <n v="313"/>
    <s v="Freemon"/>
    <s v="Male"/>
    <d v="1975-12-28T00:00:00"/>
    <x v="1"/>
    <n v="48"/>
    <x v="1"/>
    <x v="2"/>
    <x v="51"/>
    <x v="0"/>
    <x v="1"/>
    <x v="1"/>
    <x v="0"/>
    <x v="0"/>
    <x v="0"/>
    <x v="1"/>
    <x v="0"/>
    <x v="10"/>
    <d v="1899-12-30T19:29:00"/>
    <d v="1899-12-30T20:20:00"/>
    <n v="51"/>
    <x v="0"/>
    <x v="0"/>
  </r>
  <r>
    <n v="314"/>
    <s v="Worden"/>
    <s v="Male"/>
    <d v="1988-03-06T00:00:00"/>
    <x v="3"/>
    <n v="36"/>
    <x v="1"/>
    <x v="2"/>
    <x v="10"/>
    <x v="0"/>
    <x v="1"/>
    <x v="1"/>
    <x v="1"/>
    <x v="1"/>
    <x v="0"/>
    <x v="1"/>
    <x v="1"/>
    <x v="1"/>
    <d v="1899-12-30T19:20:00"/>
    <d v="1899-12-30T20:36:00"/>
    <n v="76"/>
    <x v="0"/>
    <x v="0"/>
  </r>
  <r>
    <n v="315"/>
    <s v="Dante"/>
    <s v="Male"/>
    <d v="2008-02-29T00:00:00"/>
    <x v="2"/>
    <n v="16"/>
    <x v="0"/>
    <x v="2"/>
    <x v="14"/>
    <x v="0"/>
    <x v="1"/>
    <x v="1"/>
    <x v="1"/>
    <x v="0"/>
    <x v="0"/>
    <x v="0"/>
    <x v="0"/>
    <x v="19"/>
    <d v="1899-12-30T08:38:00"/>
    <d v="1899-12-30T10:27:00"/>
    <n v="109"/>
    <x v="1"/>
    <x v="2"/>
  </r>
  <r>
    <n v="316"/>
    <s v="Eric"/>
    <s v="Male"/>
    <d v="2009-12-28T00:00:00"/>
    <x v="2"/>
    <n v="14"/>
    <x v="1"/>
    <x v="1"/>
    <x v="13"/>
    <x v="1"/>
    <x v="0"/>
    <x v="1"/>
    <x v="0"/>
    <x v="0"/>
    <x v="0"/>
    <x v="1"/>
    <x v="1"/>
    <x v="1"/>
    <d v="1899-12-30T20:52:00"/>
    <d v="1899-12-30T21:29:00"/>
    <n v="37"/>
    <x v="1"/>
    <x v="1"/>
  </r>
  <r>
    <n v="317"/>
    <s v="Willie"/>
    <s v="Male"/>
    <d v="1988-09-27T00:00:00"/>
    <x v="3"/>
    <n v="36"/>
    <x v="0"/>
    <x v="1"/>
    <x v="26"/>
    <x v="0"/>
    <x v="0"/>
    <x v="1"/>
    <x v="1"/>
    <x v="1"/>
    <x v="1"/>
    <x v="1"/>
    <x v="1"/>
    <x v="1"/>
    <d v="1899-12-30T11:06:00"/>
    <d v="1899-12-30T13:10:00"/>
    <n v="124"/>
    <x v="1"/>
    <x v="1"/>
  </r>
  <r>
    <n v="318"/>
    <s v="Curran"/>
    <s v="Male"/>
    <d v="1984-05-18T00:00:00"/>
    <x v="3"/>
    <n v="40"/>
    <x v="0"/>
    <x v="3"/>
    <x v="27"/>
    <x v="0"/>
    <x v="1"/>
    <x v="1"/>
    <x v="1"/>
    <x v="0"/>
    <x v="1"/>
    <x v="0"/>
    <x v="1"/>
    <x v="1"/>
    <d v="1899-12-30T11:37:00"/>
    <d v="1899-12-30T13:16:00"/>
    <n v="99"/>
    <x v="1"/>
    <x v="1"/>
  </r>
  <r>
    <n v="319"/>
    <s v="Dexter"/>
    <s v="Male"/>
    <d v="1992-06-01T00:00:00"/>
    <x v="3"/>
    <n v="32"/>
    <x v="0"/>
    <x v="1"/>
    <x v="19"/>
    <x v="1"/>
    <x v="0"/>
    <x v="1"/>
    <x v="1"/>
    <x v="0"/>
    <x v="1"/>
    <x v="1"/>
    <x v="1"/>
    <x v="1"/>
    <d v="1899-12-30T10:38:00"/>
    <d v="1899-12-30T13:28:00"/>
    <n v="170"/>
    <x v="0"/>
    <x v="0"/>
  </r>
  <r>
    <n v="320"/>
    <s v="Lavinia"/>
    <s v="Female"/>
    <d v="2012-01-23T00:00:00"/>
    <x v="2"/>
    <n v="12"/>
    <x v="1"/>
    <x v="4"/>
    <x v="71"/>
    <x v="1"/>
    <x v="0"/>
    <x v="0"/>
    <x v="0"/>
    <x v="1"/>
    <x v="0"/>
    <x v="1"/>
    <x v="0"/>
    <x v="104"/>
    <d v="1899-12-30T09:36:00"/>
    <d v="1899-12-30T12:06:00"/>
    <n v="150"/>
    <x v="1"/>
    <x v="1"/>
  </r>
  <r>
    <n v="321"/>
    <s v="Ernesto"/>
    <s v="Male"/>
    <d v="1998-04-22T00:00:00"/>
    <x v="0"/>
    <n v="26"/>
    <x v="0"/>
    <x v="1"/>
    <x v="63"/>
    <x v="1"/>
    <x v="1"/>
    <x v="0"/>
    <x v="1"/>
    <x v="0"/>
    <x v="1"/>
    <x v="1"/>
    <x v="1"/>
    <x v="1"/>
    <d v="1899-12-30T14:11:00"/>
    <d v="1899-12-30T16:33:00"/>
    <n v="142"/>
    <x v="0"/>
    <x v="0"/>
  </r>
  <r>
    <n v="322"/>
    <s v="Marcus"/>
    <s v="Male"/>
    <d v="2000-11-03T00:00:00"/>
    <x v="0"/>
    <n v="23"/>
    <x v="1"/>
    <x v="3"/>
    <x v="73"/>
    <x v="1"/>
    <x v="1"/>
    <x v="1"/>
    <x v="1"/>
    <x v="1"/>
    <x v="0"/>
    <x v="1"/>
    <x v="1"/>
    <x v="1"/>
    <d v="1899-12-30T20:18:00"/>
    <d v="1899-12-30T21:26:00"/>
    <n v="68"/>
    <x v="1"/>
    <x v="1"/>
  </r>
  <r>
    <n v="323"/>
    <s v="Benjamin"/>
    <s v="Male"/>
    <d v="1998-06-19T00:00:00"/>
    <x v="0"/>
    <n v="26"/>
    <x v="0"/>
    <x v="4"/>
    <x v="69"/>
    <x v="1"/>
    <x v="0"/>
    <x v="1"/>
    <x v="0"/>
    <x v="1"/>
    <x v="0"/>
    <x v="0"/>
    <x v="0"/>
    <x v="105"/>
    <d v="1899-12-30T17:11:00"/>
    <d v="1899-12-30T17:44:00"/>
    <n v="33"/>
    <x v="1"/>
    <x v="1"/>
  </r>
  <r>
    <n v="324"/>
    <s v="Belicia"/>
    <s v="Female"/>
    <d v="1994-07-14T00:00:00"/>
    <x v="0"/>
    <n v="30"/>
    <x v="1"/>
    <x v="1"/>
    <x v="76"/>
    <x v="1"/>
    <x v="1"/>
    <x v="0"/>
    <x v="1"/>
    <x v="1"/>
    <x v="0"/>
    <x v="1"/>
    <x v="0"/>
    <x v="9"/>
    <d v="1899-12-30T19:16:00"/>
    <d v="1899-12-30T22:03:00"/>
    <n v="167"/>
    <x v="1"/>
    <x v="1"/>
  </r>
  <r>
    <n v="325"/>
    <s v="Quinton"/>
    <s v="Male"/>
    <d v="1995-02-19T00:00:00"/>
    <x v="0"/>
    <n v="29"/>
    <x v="1"/>
    <x v="1"/>
    <x v="78"/>
    <x v="1"/>
    <x v="1"/>
    <x v="1"/>
    <x v="0"/>
    <x v="0"/>
    <x v="0"/>
    <x v="0"/>
    <x v="1"/>
    <x v="1"/>
    <d v="1899-12-30T10:34:00"/>
    <d v="1899-12-30T12:01:00"/>
    <n v="87"/>
    <x v="0"/>
    <x v="0"/>
  </r>
  <r>
    <n v="326"/>
    <s v="Corette"/>
    <s v="Female"/>
    <d v="1977-07-03T00:00:00"/>
    <x v="1"/>
    <n v="47"/>
    <x v="1"/>
    <x v="1"/>
    <x v="62"/>
    <x v="0"/>
    <x v="1"/>
    <x v="0"/>
    <x v="0"/>
    <x v="1"/>
    <x v="0"/>
    <x v="1"/>
    <x v="1"/>
    <x v="1"/>
    <d v="1899-12-30T18:24:00"/>
    <d v="1899-12-30T19:40:00"/>
    <n v="76"/>
    <x v="0"/>
    <x v="0"/>
  </r>
  <r>
    <n v="327"/>
    <s v="Noel"/>
    <s v="Female"/>
    <d v="2011-09-21T00:00:00"/>
    <x v="2"/>
    <n v="13"/>
    <x v="1"/>
    <x v="1"/>
    <x v="24"/>
    <x v="0"/>
    <x v="0"/>
    <x v="1"/>
    <x v="0"/>
    <x v="0"/>
    <x v="1"/>
    <x v="1"/>
    <x v="1"/>
    <x v="1"/>
    <d v="1899-12-30T14:01:00"/>
    <d v="1899-12-30T16:47:00"/>
    <n v="166"/>
    <x v="0"/>
    <x v="0"/>
  </r>
  <r>
    <n v="328"/>
    <s v="Lexine"/>
    <s v="Female"/>
    <d v="2002-09-30T00:00:00"/>
    <x v="0"/>
    <n v="22"/>
    <x v="1"/>
    <x v="4"/>
    <x v="89"/>
    <x v="0"/>
    <x v="0"/>
    <x v="0"/>
    <x v="0"/>
    <x v="1"/>
    <x v="0"/>
    <x v="0"/>
    <x v="1"/>
    <x v="1"/>
    <d v="1899-12-30T13:52:00"/>
    <d v="1899-12-30T15:35:00"/>
    <n v="103"/>
    <x v="0"/>
    <x v="0"/>
  </r>
  <r>
    <n v="329"/>
    <s v="Davy"/>
    <s v="Male"/>
    <d v="1991-06-30T00:00:00"/>
    <x v="3"/>
    <n v="33"/>
    <x v="0"/>
    <x v="0"/>
    <x v="15"/>
    <x v="1"/>
    <x v="0"/>
    <x v="1"/>
    <x v="0"/>
    <x v="0"/>
    <x v="0"/>
    <x v="0"/>
    <x v="0"/>
    <x v="3"/>
    <d v="1899-12-30T09:15:00"/>
    <d v="1899-12-30T10:16:00"/>
    <n v="61"/>
    <x v="0"/>
    <x v="0"/>
  </r>
  <r>
    <n v="330"/>
    <s v="Elisabet"/>
    <s v="Female"/>
    <d v="1997-08-13T00:00:00"/>
    <x v="0"/>
    <n v="27"/>
    <x v="1"/>
    <x v="3"/>
    <x v="31"/>
    <x v="0"/>
    <x v="0"/>
    <x v="1"/>
    <x v="1"/>
    <x v="0"/>
    <x v="0"/>
    <x v="0"/>
    <x v="1"/>
    <x v="1"/>
    <d v="1899-12-30T11:43:00"/>
    <d v="1899-12-30T12:53:00"/>
    <n v="70"/>
    <x v="0"/>
    <x v="0"/>
  </r>
  <r>
    <n v="331"/>
    <s v="Jeannette"/>
    <s v="Female"/>
    <d v="1989-08-06T00:00:00"/>
    <x v="3"/>
    <n v="35"/>
    <x v="0"/>
    <x v="3"/>
    <x v="33"/>
    <x v="0"/>
    <x v="1"/>
    <x v="1"/>
    <x v="0"/>
    <x v="0"/>
    <x v="1"/>
    <x v="1"/>
    <x v="0"/>
    <x v="106"/>
    <d v="1899-12-30T16:36:00"/>
    <d v="1899-12-30T17:06:00"/>
    <n v="30"/>
    <x v="0"/>
    <x v="0"/>
  </r>
  <r>
    <n v="332"/>
    <s v="Corey"/>
    <s v="Female"/>
    <d v="2003-02-22T00:00:00"/>
    <x v="0"/>
    <n v="21"/>
    <x v="0"/>
    <x v="1"/>
    <x v="20"/>
    <x v="0"/>
    <x v="0"/>
    <x v="1"/>
    <x v="1"/>
    <x v="0"/>
    <x v="1"/>
    <x v="0"/>
    <x v="0"/>
    <x v="19"/>
    <d v="1899-12-30T20:22:00"/>
    <d v="1899-12-30T21:10:00"/>
    <n v="48"/>
    <x v="0"/>
    <x v="0"/>
  </r>
  <r>
    <n v="333"/>
    <s v="Derwin"/>
    <s v="Male"/>
    <d v="1984-06-13T00:00:00"/>
    <x v="3"/>
    <n v="40"/>
    <x v="0"/>
    <x v="1"/>
    <x v="44"/>
    <x v="0"/>
    <x v="0"/>
    <x v="1"/>
    <x v="1"/>
    <x v="1"/>
    <x v="0"/>
    <x v="0"/>
    <x v="1"/>
    <x v="1"/>
    <d v="1899-12-30T11:18:00"/>
    <d v="1899-12-30T12:13:00"/>
    <n v="55"/>
    <x v="1"/>
    <x v="4"/>
  </r>
  <r>
    <n v="334"/>
    <s v="Keelby"/>
    <s v="Male"/>
    <d v="2009-07-02T00:00:00"/>
    <x v="2"/>
    <n v="15"/>
    <x v="1"/>
    <x v="1"/>
    <x v="32"/>
    <x v="0"/>
    <x v="1"/>
    <x v="1"/>
    <x v="0"/>
    <x v="1"/>
    <x v="0"/>
    <x v="0"/>
    <x v="1"/>
    <x v="1"/>
    <d v="1899-12-30T17:29:00"/>
    <d v="1899-12-30T18:26:00"/>
    <n v="57"/>
    <x v="0"/>
    <x v="0"/>
  </r>
  <r>
    <n v="335"/>
    <s v="Ladonna"/>
    <s v="Female"/>
    <d v="2000-11-21T00:00:00"/>
    <x v="0"/>
    <n v="23"/>
    <x v="0"/>
    <x v="1"/>
    <x v="44"/>
    <x v="0"/>
    <x v="0"/>
    <x v="1"/>
    <x v="1"/>
    <x v="1"/>
    <x v="0"/>
    <x v="0"/>
    <x v="1"/>
    <x v="1"/>
    <d v="1899-12-30T13:42:00"/>
    <d v="1899-12-30T15:11:00"/>
    <n v="89"/>
    <x v="0"/>
    <x v="0"/>
  </r>
  <r>
    <n v="336"/>
    <s v="Malanie"/>
    <s v="Female"/>
    <d v="1975-03-02T00:00:00"/>
    <x v="1"/>
    <n v="49"/>
    <x v="1"/>
    <x v="2"/>
    <x v="21"/>
    <x v="0"/>
    <x v="1"/>
    <x v="1"/>
    <x v="1"/>
    <x v="0"/>
    <x v="1"/>
    <x v="1"/>
    <x v="0"/>
    <x v="107"/>
    <d v="1899-12-30T10:40:00"/>
    <d v="1899-12-30T12:01:00"/>
    <n v="81"/>
    <x v="1"/>
    <x v="1"/>
  </r>
  <r>
    <n v="337"/>
    <s v="Norris"/>
    <s v="Male"/>
    <d v="1982-04-13T00:00:00"/>
    <x v="1"/>
    <n v="42"/>
    <x v="0"/>
    <x v="3"/>
    <x v="73"/>
    <x v="1"/>
    <x v="1"/>
    <x v="1"/>
    <x v="1"/>
    <x v="1"/>
    <x v="0"/>
    <x v="1"/>
    <x v="1"/>
    <x v="1"/>
    <d v="1899-12-30T18:22:00"/>
    <d v="1899-12-30T21:02:00"/>
    <n v="160"/>
    <x v="1"/>
    <x v="1"/>
  </r>
  <r>
    <n v="338"/>
    <s v="Jarib"/>
    <s v="Male"/>
    <d v="1997-10-04T00:00:00"/>
    <x v="0"/>
    <n v="26"/>
    <x v="0"/>
    <x v="1"/>
    <x v="13"/>
    <x v="1"/>
    <x v="0"/>
    <x v="1"/>
    <x v="0"/>
    <x v="0"/>
    <x v="0"/>
    <x v="1"/>
    <x v="0"/>
    <x v="34"/>
    <d v="1899-12-30T10:06:00"/>
    <d v="1899-12-30T11:54:00"/>
    <n v="108"/>
    <x v="0"/>
    <x v="0"/>
  </r>
  <r>
    <n v="339"/>
    <s v="Brenda"/>
    <s v="Female"/>
    <d v="1983-09-04T00:00:00"/>
    <x v="1"/>
    <n v="41"/>
    <x v="1"/>
    <x v="1"/>
    <x v="44"/>
    <x v="0"/>
    <x v="0"/>
    <x v="1"/>
    <x v="1"/>
    <x v="1"/>
    <x v="0"/>
    <x v="0"/>
    <x v="0"/>
    <x v="19"/>
    <d v="1899-12-30T15:40:00"/>
    <d v="1899-12-30T17:32:00"/>
    <n v="112"/>
    <x v="1"/>
    <x v="1"/>
  </r>
  <r>
    <n v="340"/>
    <s v="Sanderson"/>
    <s v="Male"/>
    <d v="2002-03-22T00:00:00"/>
    <x v="0"/>
    <n v="22"/>
    <x v="0"/>
    <x v="1"/>
    <x v="11"/>
    <x v="0"/>
    <x v="0"/>
    <x v="0"/>
    <x v="1"/>
    <x v="0"/>
    <x v="0"/>
    <x v="0"/>
    <x v="0"/>
    <x v="108"/>
    <d v="1899-12-30T18:51:00"/>
    <d v="1899-12-30T20:52:00"/>
    <n v="121"/>
    <x v="1"/>
    <x v="3"/>
  </r>
  <r>
    <n v="341"/>
    <s v="Rita"/>
    <s v="Female"/>
    <d v="1988-05-16T00:00:00"/>
    <x v="3"/>
    <n v="36"/>
    <x v="1"/>
    <x v="0"/>
    <x v="60"/>
    <x v="0"/>
    <x v="0"/>
    <x v="1"/>
    <x v="0"/>
    <x v="1"/>
    <x v="0"/>
    <x v="0"/>
    <x v="1"/>
    <x v="1"/>
    <d v="1899-12-30T14:02:00"/>
    <d v="1899-12-30T16:11:00"/>
    <n v="129"/>
    <x v="0"/>
    <x v="0"/>
  </r>
  <r>
    <n v="342"/>
    <s v="Orren"/>
    <s v="Male"/>
    <d v="1998-08-11T00:00:00"/>
    <x v="0"/>
    <n v="26"/>
    <x v="1"/>
    <x v="4"/>
    <x v="84"/>
    <x v="1"/>
    <x v="1"/>
    <x v="0"/>
    <x v="1"/>
    <x v="1"/>
    <x v="1"/>
    <x v="0"/>
    <x v="0"/>
    <x v="109"/>
    <d v="1899-12-30T17:57:00"/>
    <d v="1899-12-30T20:25:00"/>
    <n v="148"/>
    <x v="1"/>
    <x v="3"/>
  </r>
  <r>
    <n v="343"/>
    <s v="Andreana"/>
    <s v="Female"/>
    <d v="2005-10-07T00:00:00"/>
    <x v="2"/>
    <n v="18"/>
    <x v="0"/>
    <x v="4"/>
    <x v="99"/>
    <x v="1"/>
    <x v="1"/>
    <x v="1"/>
    <x v="0"/>
    <x v="1"/>
    <x v="1"/>
    <x v="0"/>
    <x v="0"/>
    <x v="110"/>
    <d v="1899-12-30T09:53:00"/>
    <d v="1899-12-30T11:14:00"/>
    <n v="81"/>
    <x v="1"/>
    <x v="2"/>
  </r>
  <r>
    <n v="344"/>
    <s v="Janela"/>
    <s v="Female"/>
    <d v="1986-10-10T00:00:00"/>
    <x v="3"/>
    <n v="37"/>
    <x v="1"/>
    <x v="0"/>
    <x v="15"/>
    <x v="1"/>
    <x v="0"/>
    <x v="1"/>
    <x v="0"/>
    <x v="0"/>
    <x v="0"/>
    <x v="0"/>
    <x v="0"/>
    <x v="45"/>
    <d v="1899-12-30T12:50:00"/>
    <d v="1899-12-30T15:36:00"/>
    <n v="166"/>
    <x v="0"/>
    <x v="0"/>
  </r>
  <r>
    <n v="345"/>
    <s v="Wes"/>
    <s v="Male"/>
    <d v="1985-08-18T00:00:00"/>
    <x v="3"/>
    <n v="39"/>
    <x v="1"/>
    <x v="3"/>
    <x v="55"/>
    <x v="1"/>
    <x v="0"/>
    <x v="1"/>
    <x v="1"/>
    <x v="0"/>
    <x v="0"/>
    <x v="1"/>
    <x v="1"/>
    <x v="1"/>
    <d v="1899-12-30T14:30:00"/>
    <d v="1899-12-30T17:29:00"/>
    <n v="179"/>
    <x v="1"/>
    <x v="2"/>
  </r>
  <r>
    <n v="346"/>
    <s v="Domeniga"/>
    <s v="Female"/>
    <d v="1981-07-18T00:00:00"/>
    <x v="1"/>
    <n v="43"/>
    <x v="0"/>
    <x v="1"/>
    <x v="64"/>
    <x v="0"/>
    <x v="1"/>
    <x v="0"/>
    <x v="0"/>
    <x v="0"/>
    <x v="1"/>
    <x v="1"/>
    <x v="0"/>
    <x v="0"/>
    <d v="1899-12-30T12:17:00"/>
    <d v="1899-12-30T14:35:00"/>
    <n v="138"/>
    <x v="0"/>
    <x v="0"/>
  </r>
  <r>
    <n v="347"/>
    <s v="Valentine"/>
    <s v="Female"/>
    <d v="1985-10-08T00:00:00"/>
    <x v="3"/>
    <n v="38"/>
    <x v="1"/>
    <x v="1"/>
    <x v="62"/>
    <x v="0"/>
    <x v="1"/>
    <x v="0"/>
    <x v="0"/>
    <x v="1"/>
    <x v="0"/>
    <x v="1"/>
    <x v="1"/>
    <x v="1"/>
    <d v="1899-12-30T16:51:00"/>
    <d v="1899-12-30T18:05:00"/>
    <n v="74"/>
    <x v="0"/>
    <x v="0"/>
  </r>
  <r>
    <n v="348"/>
    <s v="Karim"/>
    <s v="Male"/>
    <d v="2003-07-02T00:00:00"/>
    <x v="0"/>
    <n v="21"/>
    <x v="1"/>
    <x v="1"/>
    <x v="65"/>
    <x v="1"/>
    <x v="1"/>
    <x v="0"/>
    <x v="0"/>
    <x v="0"/>
    <x v="0"/>
    <x v="1"/>
    <x v="1"/>
    <x v="1"/>
    <d v="1899-12-30T12:59:00"/>
    <d v="1899-12-30T14:01:00"/>
    <n v="62"/>
    <x v="0"/>
    <x v="0"/>
  </r>
  <r>
    <n v="349"/>
    <s v="Sheryl"/>
    <s v="Female"/>
    <d v="1985-06-18T00:00:00"/>
    <x v="3"/>
    <n v="39"/>
    <x v="1"/>
    <x v="3"/>
    <x v="39"/>
    <x v="0"/>
    <x v="1"/>
    <x v="0"/>
    <x v="1"/>
    <x v="0"/>
    <x v="1"/>
    <x v="1"/>
    <x v="1"/>
    <x v="1"/>
    <d v="1899-12-30T12:53:00"/>
    <d v="1899-12-30T15:12:00"/>
    <n v="139"/>
    <x v="1"/>
    <x v="3"/>
  </r>
  <r>
    <n v="350"/>
    <s v="Joelie"/>
    <s v="Female"/>
    <d v="1988-11-21T00:00:00"/>
    <x v="3"/>
    <n v="35"/>
    <x v="1"/>
    <x v="3"/>
    <x v="68"/>
    <x v="0"/>
    <x v="1"/>
    <x v="0"/>
    <x v="0"/>
    <x v="0"/>
    <x v="0"/>
    <x v="1"/>
    <x v="0"/>
    <x v="49"/>
    <d v="1899-12-30T16:20:00"/>
    <d v="1899-12-30T17:42:00"/>
    <n v="82"/>
    <x v="1"/>
    <x v="3"/>
  </r>
  <r>
    <n v="351"/>
    <s v="Jerri"/>
    <s v="Male"/>
    <d v="1988-10-30T00:00:00"/>
    <x v="3"/>
    <n v="35"/>
    <x v="1"/>
    <x v="2"/>
    <x v="9"/>
    <x v="0"/>
    <x v="0"/>
    <x v="1"/>
    <x v="1"/>
    <x v="0"/>
    <x v="0"/>
    <x v="1"/>
    <x v="0"/>
    <x v="111"/>
    <d v="1899-12-30T19:27:00"/>
    <d v="1899-12-30T20:34:00"/>
    <n v="67"/>
    <x v="0"/>
    <x v="0"/>
  </r>
  <r>
    <n v="352"/>
    <s v="Rici"/>
    <s v="Female"/>
    <d v="1993-03-02T00:00:00"/>
    <x v="3"/>
    <n v="31"/>
    <x v="1"/>
    <x v="2"/>
    <x v="2"/>
    <x v="1"/>
    <x v="1"/>
    <x v="1"/>
    <x v="1"/>
    <x v="0"/>
    <x v="0"/>
    <x v="1"/>
    <x v="0"/>
    <x v="8"/>
    <d v="1899-12-30T09:42:00"/>
    <d v="1899-12-30T11:25:00"/>
    <n v="103"/>
    <x v="0"/>
    <x v="0"/>
  </r>
  <r>
    <n v="353"/>
    <s v="Constanta"/>
    <s v="Female"/>
    <d v="2009-05-31T00:00:00"/>
    <x v="2"/>
    <n v="15"/>
    <x v="0"/>
    <x v="3"/>
    <x v="31"/>
    <x v="0"/>
    <x v="0"/>
    <x v="1"/>
    <x v="1"/>
    <x v="0"/>
    <x v="0"/>
    <x v="0"/>
    <x v="1"/>
    <x v="1"/>
    <d v="1899-12-30T13:37:00"/>
    <d v="1899-12-30T15:14:00"/>
    <n v="97"/>
    <x v="1"/>
    <x v="2"/>
  </r>
  <r>
    <n v="354"/>
    <s v="Shoshanna"/>
    <s v="Female"/>
    <d v="1980-06-05T00:00:00"/>
    <x v="1"/>
    <n v="44"/>
    <x v="0"/>
    <x v="3"/>
    <x v="37"/>
    <x v="1"/>
    <x v="1"/>
    <x v="0"/>
    <x v="1"/>
    <x v="0"/>
    <x v="0"/>
    <x v="1"/>
    <x v="0"/>
    <x v="112"/>
    <d v="1899-12-30T17:13:00"/>
    <d v="1899-12-30T17:46:00"/>
    <n v="33"/>
    <x v="0"/>
    <x v="0"/>
  </r>
  <r>
    <n v="355"/>
    <s v="Reed"/>
    <s v="Male"/>
    <d v="1987-02-13T00:00:00"/>
    <x v="3"/>
    <n v="37"/>
    <x v="1"/>
    <x v="2"/>
    <x v="14"/>
    <x v="0"/>
    <x v="1"/>
    <x v="1"/>
    <x v="1"/>
    <x v="0"/>
    <x v="0"/>
    <x v="0"/>
    <x v="0"/>
    <x v="113"/>
    <d v="1899-12-30T16:45:00"/>
    <d v="1899-12-30T17:20:00"/>
    <n v="35"/>
    <x v="0"/>
    <x v="0"/>
  </r>
  <r>
    <n v="356"/>
    <s v="Alejandro"/>
    <s v="Male"/>
    <d v="1992-05-13T00:00:00"/>
    <x v="3"/>
    <n v="32"/>
    <x v="1"/>
    <x v="2"/>
    <x v="5"/>
    <x v="0"/>
    <x v="1"/>
    <x v="0"/>
    <x v="1"/>
    <x v="0"/>
    <x v="0"/>
    <x v="1"/>
    <x v="0"/>
    <x v="114"/>
    <d v="1899-12-30T18:44:00"/>
    <d v="1899-12-30T20:44:00"/>
    <n v="120"/>
    <x v="0"/>
    <x v="0"/>
  </r>
  <r>
    <n v="357"/>
    <s v="Dominga"/>
    <s v="Female"/>
    <d v="2007-09-16T00:00:00"/>
    <x v="2"/>
    <n v="17"/>
    <x v="1"/>
    <x v="3"/>
    <x v="91"/>
    <x v="0"/>
    <x v="1"/>
    <x v="1"/>
    <x v="1"/>
    <x v="1"/>
    <x v="1"/>
    <x v="1"/>
    <x v="0"/>
    <x v="71"/>
    <d v="1899-12-30T20:55:00"/>
    <d v="1899-12-30T21:25:00"/>
    <n v="30"/>
    <x v="0"/>
    <x v="0"/>
  </r>
  <r>
    <n v="358"/>
    <s v="Carla"/>
    <s v="Female"/>
    <d v="1987-07-27T00:00:00"/>
    <x v="3"/>
    <n v="37"/>
    <x v="1"/>
    <x v="2"/>
    <x v="51"/>
    <x v="0"/>
    <x v="1"/>
    <x v="1"/>
    <x v="0"/>
    <x v="0"/>
    <x v="0"/>
    <x v="1"/>
    <x v="0"/>
    <x v="115"/>
    <d v="1899-12-30T18:06:00"/>
    <d v="1899-12-30T21:05:00"/>
    <n v="179"/>
    <x v="0"/>
    <x v="0"/>
  </r>
  <r>
    <n v="359"/>
    <s v="Alikee"/>
    <s v="Female"/>
    <d v="1999-02-05T00:00:00"/>
    <x v="0"/>
    <n v="25"/>
    <x v="1"/>
    <x v="1"/>
    <x v="6"/>
    <x v="1"/>
    <x v="0"/>
    <x v="1"/>
    <x v="1"/>
    <x v="0"/>
    <x v="0"/>
    <x v="0"/>
    <x v="1"/>
    <x v="1"/>
    <d v="1899-12-30T15:21:00"/>
    <d v="1899-12-30T16:30:00"/>
    <n v="69"/>
    <x v="1"/>
    <x v="4"/>
  </r>
  <r>
    <n v="360"/>
    <s v="Wini"/>
    <s v="Female"/>
    <d v="1992-05-02T00:00:00"/>
    <x v="3"/>
    <n v="32"/>
    <x v="1"/>
    <x v="3"/>
    <x v="66"/>
    <x v="0"/>
    <x v="0"/>
    <x v="1"/>
    <x v="1"/>
    <x v="1"/>
    <x v="0"/>
    <x v="1"/>
    <x v="0"/>
    <x v="20"/>
    <d v="1899-12-30T17:04:00"/>
    <d v="1899-12-30T18:13:00"/>
    <n v="69"/>
    <x v="1"/>
    <x v="3"/>
  </r>
  <r>
    <n v="361"/>
    <s v="Leilah"/>
    <s v="Female"/>
    <d v="1980-05-14T00:00:00"/>
    <x v="1"/>
    <n v="44"/>
    <x v="1"/>
    <x v="4"/>
    <x v="70"/>
    <x v="1"/>
    <x v="0"/>
    <x v="0"/>
    <x v="1"/>
    <x v="1"/>
    <x v="1"/>
    <x v="1"/>
    <x v="0"/>
    <x v="43"/>
    <d v="1899-12-30T20:04:00"/>
    <d v="1899-12-30T21:57:00"/>
    <n v="113"/>
    <x v="1"/>
    <x v="2"/>
  </r>
  <r>
    <n v="362"/>
    <s v="Melli"/>
    <s v="Female"/>
    <d v="1987-06-28T00:00:00"/>
    <x v="3"/>
    <n v="37"/>
    <x v="0"/>
    <x v="0"/>
    <x v="100"/>
    <x v="0"/>
    <x v="1"/>
    <x v="0"/>
    <x v="0"/>
    <x v="1"/>
    <x v="0"/>
    <x v="0"/>
    <x v="0"/>
    <x v="116"/>
    <d v="1899-12-30T11:51:00"/>
    <d v="1899-12-30T13:09:00"/>
    <n v="78"/>
    <x v="0"/>
    <x v="0"/>
  </r>
  <r>
    <n v="363"/>
    <s v="Nikki"/>
    <s v="Male"/>
    <d v="2007-02-25T00:00:00"/>
    <x v="2"/>
    <n v="17"/>
    <x v="1"/>
    <x v="2"/>
    <x v="14"/>
    <x v="0"/>
    <x v="1"/>
    <x v="1"/>
    <x v="1"/>
    <x v="0"/>
    <x v="0"/>
    <x v="0"/>
    <x v="0"/>
    <x v="43"/>
    <d v="1899-12-30T12:17:00"/>
    <d v="1899-12-30T13:56:00"/>
    <n v="99"/>
    <x v="1"/>
    <x v="1"/>
  </r>
  <r>
    <n v="364"/>
    <s v="Thea"/>
    <s v="Female"/>
    <d v="1990-06-27T00:00:00"/>
    <x v="3"/>
    <n v="34"/>
    <x v="1"/>
    <x v="1"/>
    <x v="36"/>
    <x v="0"/>
    <x v="0"/>
    <x v="1"/>
    <x v="0"/>
    <x v="1"/>
    <x v="0"/>
    <x v="1"/>
    <x v="0"/>
    <x v="16"/>
    <d v="1899-12-30T10:47:00"/>
    <d v="1899-12-30T11:21:00"/>
    <n v="34"/>
    <x v="1"/>
    <x v="1"/>
  </r>
  <r>
    <n v="365"/>
    <s v="Shannon"/>
    <s v="Female"/>
    <d v="2003-09-24T00:00:00"/>
    <x v="0"/>
    <n v="21"/>
    <x v="0"/>
    <x v="3"/>
    <x v="56"/>
    <x v="1"/>
    <x v="1"/>
    <x v="1"/>
    <x v="1"/>
    <x v="0"/>
    <x v="1"/>
    <x v="1"/>
    <x v="0"/>
    <x v="117"/>
    <d v="1899-12-30T18:40:00"/>
    <d v="1899-12-30T21:31:00"/>
    <n v="171"/>
    <x v="1"/>
    <x v="4"/>
  </r>
  <r>
    <n v="366"/>
    <s v="Nicolais"/>
    <s v="Male"/>
    <d v="1980-06-04T00:00:00"/>
    <x v="1"/>
    <n v="44"/>
    <x v="1"/>
    <x v="1"/>
    <x v="13"/>
    <x v="1"/>
    <x v="0"/>
    <x v="1"/>
    <x v="0"/>
    <x v="0"/>
    <x v="0"/>
    <x v="1"/>
    <x v="1"/>
    <x v="1"/>
    <d v="1899-12-30T10:31:00"/>
    <d v="1899-12-30T12:58:00"/>
    <n v="147"/>
    <x v="1"/>
    <x v="1"/>
  </r>
  <r>
    <n v="367"/>
    <s v="Cissy"/>
    <s v="Female"/>
    <d v="1996-02-26T00:00:00"/>
    <x v="0"/>
    <n v="28"/>
    <x v="1"/>
    <x v="3"/>
    <x v="27"/>
    <x v="0"/>
    <x v="1"/>
    <x v="1"/>
    <x v="1"/>
    <x v="0"/>
    <x v="1"/>
    <x v="0"/>
    <x v="0"/>
    <x v="118"/>
    <d v="1899-12-30T20:22:00"/>
    <d v="1899-12-30T21:04:00"/>
    <n v="42"/>
    <x v="0"/>
    <x v="0"/>
  </r>
  <r>
    <n v="368"/>
    <s v="Luca"/>
    <s v="Male"/>
    <d v="2001-07-09T00:00:00"/>
    <x v="0"/>
    <n v="23"/>
    <x v="0"/>
    <x v="2"/>
    <x v="5"/>
    <x v="0"/>
    <x v="1"/>
    <x v="0"/>
    <x v="1"/>
    <x v="0"/>
    <x v="0"/>
    <x v="1"/>
    <x v="0"/>
    <x v="119"/>
    <d v="1899-12-30T20:41:00"/>
    <d v="1899-12-30T22:32:00"/>
    <n v="111"/>
    <x v="1"/>
    <x v="1"/>
  </r>
  <r>
    <n v="369"/>
    <s v="Hadrian"/>
    <s v="Male"/>
    <d v="1995-05-09T00:00:00"/>
    <x v="0"/>
    <n v="29"/>
    <x v="0"/>
    <x v="2"/>
    <x v="9"/>
    <x v="0"/>
    <x v="0"/>
    <x v="1"/>
    <x v="1"/>
    <x v="0"/>
    <x v="0"/>
    <x v="1"/>
    <x v="0"/>
    <x v="120"/>
    <d v="1899-12-30T17:22:00"/>
    <d v="1899-12-30T20:11:00"/>
    <n v="169"/>
    <x v="1"/>
    <x v="3"/>
  </r>
  <r>
    <n v="370"/>
    <s v="Maryellen"/>
    <s v="Female"/>
    <d v="1996-01-05T00:00:00"/>
    <x v="0"/>
    <n v="28"/>
    <x v="0"/>
    <x v="2"/>
    <x v="21"/>
    <x v="0"/>
    <x v="1"/>
    <x v="1"/>
    <x v="1"/>
    <x v="0"/>
    <x v="1"/>
    <x v="1"/>
    <x v="0"/>
    <x v="121"/>
    <d v="1899-12-30T13:08:00"/>
    <d v="1899-12-30T15:56:00"/>
    <n v="168"/>
    <x v="1"/>
    <x v="4"/>
  </r>
  <r>
    <n v="371"/>
    <s v="Bil"/>
    <s v="Male"/>
    <d v="2003-05-25T00:00:00"/>
    <x v="0"/>
    <n v="21"/>
    <x v="0"/>
    <x v="3"/>
    <x v="18"/>
    <x v="0"/>
    <x v="1"/>
    <x v="1"/>
    <x v="1"/>
    <x v="1"/>
    <x v="0"/>
    <x v="0"/>
    <x v="1"/>
    <x v="1"/>
    <d v="1899-12-30T20:10:00"/>
    <d v="1899-12-30T21:42:00"/>
    <n v="92"/>
    <x v="0"/>
    <x v="0"/>
  </r>
  <r>
    <n v="372"/>
    <s v="Ilyse"/>
    <s v="Female"/>
    <d v="1978-10-10T00:00:00"/>
    <x v="1"/>
    <n v="45"/>
    <x v="0"/>
    <x v="4"/>
    <x v="23"/>
    <x v="0"/>
    <x v="0"/>
    <x v="1"/>
    <x v="0"/>
    <x v="1"/>
    <x v="1"/>
    <x v="0"/>
    <x v="0"/>
    <x v="122"/>
    <d v="1899-12-30T11:18:00"/>
    <d v="1899-12-30T11:49:00"/>
    <n v="31"/>
    <x v="1"/>
    <x v="3"/>
  </r>
  <r>
    <n v="373"/>
    <s v="Agatha"/>
    <s v="Female"/>
    <d v="1991-08-26T00:00:00"/>
    <x v="3"/>
    <n v="33"/>
    <x v="0"/>
    <x v="3"/>
    <x v="39"/>
    <x v="0"/>
    <x v="1"/>
    <x v="0"/>
    <x v="1"/>
    <x v="0"/>
    <x v="1"/>
    <x v="1"/>
    <x v="0"/>
    <x v="13"/>
    <d v="1899-12-30T08:52:00"/>
    <d v="1899-12-30T11:42:00"/>
    <n v="170"/>
    <x v="0"/>
    <x v="0"/>
  </r>
  <r>
    <n v="374"/>
    <s v="Portia"/>
    <s v="Female"/>
    <d v="1984-12-16T00:00:00"/>
    <x v="3"/>
    <n v="39"/>
    <x v="0"/>
    <x v="3"/>
    <x v="17"/>
    <x v="0"/>
    <x v="1"/>
    <x v="1"/>
    <x v="0"/>
    <x v="0"/>
    <x v="0"/>
    <x v="0"/>
    <x v="0"/>
    <x v="45"/>
    <d v="1899-12-30T17:43:00"/>
    <d v="1899-12-30T18:13:00"/>
    <n v="30"/>
    <x v="1"/>
    <x v="1"/>
  </r>
  <r>
    <n v="375"/>
    <s v="Kelley"/>
    <s v="Male"/>
    <d v="1998-12-14T00:00:00"/>
    <x v="0"/>
    <n v="25"/>
    <x v="0"/>
    <x v="3"/>
    <x v="55"/>
    <x v="1"/>
    <x v="0"/>
    <x v="1"/>
    <x v="1"/>
    <x v="0"/>
    <x v="0"/>
    <x v="1"/>
    <x v="1"/>
    <x v="1"/>
    <d v="1899-12-30T16:54:00"/>
    <d v="1899-12-30T18:36:00"/>
    <n v="102"/>
    <x v="1"/>
    <x v="2"/>
  </r>
  <r>
    <n v="376"/>
    <s v="Beryle"/>
    <s v="Female"/>
    <d v="1995-07-29T00:00:00"/>
    <x v="0"/>
    <n v="29"/>
    <x v="0"/>
    <x v="1"/>
    <x v="72"/>
    <x v="1"/>
    <x v="1"/>
    <x v="1"/>
    <x v="1"/>
    <x v="1"/>
    <x v="0"/>
    <x v="0"/>
    <x v="0"/>
    <x v="6"/>
    <d v="1899-12-30T20:16:00"/>
    <d v="1899-12-30T22:05:00"/>
    <n v="109"/>
    <x v="0"/>
    <x v="0"/>
  </r>
  <r>
    <n v="377"/>
    <s v="Parke"/>
    <s v="Male"/>
    <d v="1990-10-13T00:00:00"/>
    <x v="3"/>
    <n v="33"/>
    <x v="0"/>
    <x v="1"/>
    <x v="24"/>
    <x v="0"/>
    <x v="0"/>
    <x v="1"/>
    <x v="0"/>
    <x v="0"/>
    <x v="1"/>
    <x v="1"/>
    <x v="1"/>
    <x v="1"/>
    <d v="1899-12-30T14:36:00"/>
    <d v="1899-12-30T17:18:00"/>
    <n v="162"/>
    <x v="1"/>
    <x v="2"/>
  </r>
  <r>
    <n v="378"/>
    <s v="Colan"/>
    <s v="Male"/>
    <d v="1984-08-22T00:00:00"/>
    <x v="3"/>
    <n v="40"/>
    <x v="0"/>
    <x v="3"/>
    <x v="18"/>
    <x v="0"/>
    <x v="1"/>
    <x v="1"/>
    <x v="1"/>
    <x v="1"/>
    <x v="0"/>
    <x v="0"/>
    <x v="0"/>
    <x v="123"/>
    <d v="1899-12-30T18:52:00"/>
    <d v="1899-12-30T20:54:00"/>
    <n v="122"/>
    <x v="0"/>
    <x v="0"/>
  </r>
  <r>
    <n v="379"/>
    <s v="Alexina"/>
    <s v="Female"/>
    <d v="2010-03-07T00:00:00"/>
    <x v="2"/>
    <n v="14"/>
    <x v="0"/>
    <x v="1"/>
    <x v="62"/>
    <x v="0"/>
    <x v="1"/>
    <x v="0"/>
    <x v="0"/>
    <x v="1"/>
    <x v="0"/>
    <x v="1"/>
    <x v="1"/>
    <x v="1"/>
    <d v="1899-12-30T08:29:00"/>
    <d v="1899-12-30T09:11:00"/>
    <n v="42"/>
    <x v="0"/>
    <x v="0"/>
  </r>
  <r>
    <n v="380"/>
    <s v="Vasilis"/>
    <s v="Male"/>
    <d v="1981-06-02T00:00:00"/>
    <x v="1"/>
    <n v="43"/>
    <x v="1"/>
    <x v="2"/>
    <x v="9"/>
    <x v="0"/>
    <x v="0"/>
    <x v="1"/>
    <x v="1"/>
    <x v="0"/>
    <x v="0"/>
    <x v="1"/>
    <x v="1"/>
    <x v="1"/>
    <d v="1899-12-30T19:38:00"/>
    <d v="1899-12-30T22:32:00"/>
    <n v="174"/>
    <x v="0"/>
    <x v="0"/>
  </r>
  <r>
    <n v="381"/>
    <s v="Ronald"/>
    <s v="Male"/>
    <d v="1998-07-25T00:00:00"/>
    <x v="0"/>
    <n v="26"/>
    <x v="0"/>
    <x v="4"/>
    <x v="54"/>
    <x v="1"/>
    <x v="0"/>
    <x v="0"/>
    <x v="1"/>
    <x v="0"/>
    <x v="1"/>
    <x v="0"/>
    <x v="1"/>
    <x v="1"/>
    <d v="1899-12-30T18:01:00"/>
    <d v="1899-12-30T18:46:00"/>
    <n v="45"/>
    <x v="0"/>
    <x v="0"/>
  </r>
  <r>
    <n v="382"/>
    <s v="Hagen"/>
    <s v="Male"/>
    <d v="1978-12-06T00:00:00"/>
    <x v="1"/>
    <n v="45"/>
    <x v="0"/>
    <x v="3"/>
    <x v="17"/>
    <x v="0"/>
    <x v="1"/>
    <x v="1"/>
    <x v="0"/>
    <x v="0"/>
    <x v="0"/>
    <x v="0"/>
    <x v="0"/>
    <x v="45"/>
    <d v="1899-12-30T14:20:00"/>
    <d v="1899-12-30T15:52:00"/>
    <n v="92"/>
    <x v="1"/>
    <x v="4"/>
  </r>
  <r>
    <n v="383"/>
    <s v="Marje"/>
    <s v="Female"/>
    <d v="1998-08-28T00:00:00"/>
    <x v="0"/>
    <n v="26"/>
    <x v="1"/>
    <x v="3"/>
    <x v="17"/>
    <x v="0"/>
    <x v="1"/>
    <x v="1"/>
    <x v="0"/>
    <x v="0"/>
    <x v="0"/>
    <x v="0"/>
    <x v="1"/>
    <x v="1"/>
    <d v="1899-12-30T20:26:00"/>
    <d v="1899-12-30T22:10:00"/>
    <n v="104"/>
    <x v="1"/>
    <x v="1"/>
  </r>
  <r>
    <n v="384"/>
    <s v="Priscilla"/>
    <s v="Female"/>
    <d v="1998-06-12T00:00:00"/>
    <x v="0"/>
    <n v="26"/>
    <x v="0"/>
    <x v="1"/>
    <x v="29"/>
    <x v="1"/>
    <x v="0"/>
    <x v="1"/>
    <x v="1"/>
    <x v="1"/>
    <x v="0"/>
    <x v="1"/>
    <x v="0"/>
    <x v="124"/>
    <d v="1899-12-30T17:35:00"/>
    <d v="1899-12-30T18:32:00"/>
    <n v="57"/>
    <x v="0"/>
    <x v="0"/>
  </r>
  <r>
    <n v="385"/>
    <s v="Maiga"/>
    <s v="Female"/>
    <d v="2008-01-12T00:00:00"/>
    <x v="2"/>
    <n v="16"/>
    <x v="0"/>
    <x v="1"/>
    <x v="42"/>
    <x v="0"/>
    <x v="0"/>
    <x v="1"/>
    <x v="0"/>
    <x v="0"/>
    <x v="0"/>
    <x v="0"/>
    <x v="0"/>
    <x v="125"/>
    <d v="1899-12-30T12:45:00"/>
    <d v="1899-12-30T14:31:00"/>
    <n v="106"/>
    <x v="1"/>
    <x v="4"/>
  </r>
  <r>
    <n v="386"/>
    <s v="Joel"/>
    <s v="Male"/>
    <d v="1975-06-09T00:00:00"/>
    <x v="1"/>
    <n v="49"/>
    <x v="0"/>
    <x v="2"/>
    <x v="5"/>
    <x v="0"/>
    <x v="1"/>
    <x v="0"/>
    <x v="1"/>
    <x v="0"/>
    <x v="0"/>
    <x v="1"/>
    <x v="0"/>
    <x v="126"/>
    <d v="1899-12-30T13:06:00"/>
    <d v="1899-12-30T13:57:00"/>
    <n v="51"/>
    <x v="1"/>
    <x v="4"/>
  </r>
  <r>
    <n v="387"/>
    <s v="Woody"/>
    <s v="Male"/>
    <d v="1998-09-03T00:00:00"/>
    <x v="0"/>
    <n v="26"/>
    <x v="0"/>
    <x v="3"/>
    <x v="39"/>
    <x v="0"/>
    <x v="1"/>
    <x v="0"/>
    <x v="1"/>
    <x v="0"/>
    <x v="1"/>
    <x v="1"/>
    <x v="0"/>
    <x v="89"/>
    <d v="1899-12-30T19:08:00"/>
    <d v="1899-12-30T21:26:00"/>
    <n v="138"/>
    <x v="1"/>
    <x v="3"/>
  </r>
  <r>
    <n v="388"/>
    <s v="Ave"/>
    <s v="Male"/>
    <d v="2005-03-17T00:00:00"/>
    <x v="2"/>
    <n v="19"/>
    <x v="1"/>
    <x v="3"/>
    <x v="27"/>
    <x v="0"/>
    <x v="1"/>
    <x v="1"/>
    <x v="1"/>
    <x v="0"/>
    <x v="1"/>
    <x v="0"/>
    <x v="0"/>
    <x v="127"/>
    <d v="1899-12-30T20:23:00"/>
    <d v="1899-12-30T21:28:00"/>
    <n v="65"/>
    <x v="1"/>
    <x v="3"/>
  </r>
  <r>
    <n v="389"/>
    <s v="Zola"/>
    <s v="Female"/>
    <d v="1990-06-11T00:00:00"/>
    <x v="3"/>
    <n v="34"/>
    <x v="0"/>
    <x v="2"/>
    <x v="14"/>
    <x v="0"/>
    <x v="1"/>
    <x v="1"/>
    <x v="1"/>
    <x v="0"/>
    <x v="0"/>
    <x v="0"/>
    <x v="0"/>
    <x v="21"/>
    <d v="1899-12-30T17:57:00"/>
    <d v="1899-12-30T18:59:00"/>
    <n v="62"/>
    <x v="1"/>
    <x v="1"/>
  </r>
  <r>
    <n v="390"/>
    <s v="Devi"/>
    <s v="Female"/>
    <d v="2012-09-12T00:00:00"/>
    <x v="2"/>
    <n v="12"/>
    <x v="1"/>
    <x v="1"/>
    <x v="41"/>
    <x v="0"/>
    <x v="1"/>
    <x v="1"/>
    <x v="0"/>
    <x v="1"/>
    <x v="1"/>
    <x v="1"/>
    <x v="1"/>
    <x v="1"/>
    <d v="1899-12-30T08:59:00"/>
    <d v="1899-12-30T09:37:00"/>
    <n v="38"/>
    <x v="1"/>
    <x v="4"/>
  </r>
  <r>
    <n v="391"/>
    <s v="Cordelie"/>
    <s v="Female"/>
    <d v="1998-02-06T00:00:00"/>
    <x v="0"/>
    <n v="26"/>
    <x v="1"/>
    <x v="4"/>
    <x v="54"/>
    <x v="1"/>
    <x v="0"/>
    <x v="0"/>
    <x v="1"/>
    <x v="0"/>
    <x v="1"/>
    <x v="0"/>
    <x v="1"/>
    <x v="1"/>
    <d v="1899-12-30T13:34:00"/>
    <d v="1899-12-30T15:46:00"/>
    <n v="132"/>
    <x v="0"/>
    <x v="0"/>
  </r>
  <r>
    <n v="392"/>
    <s v="Dreddy"/>
    <s v="Female"/>
    <d v="1985-05-18T00:00:00"/>
    <x v="3"/>
    <n v="39"/>
    <x v="1"/>
    <x v="3"/>
    <x v="66"/>
    <x v="0"/>
    <x v="0"/>
    <x v="1"/>
    <x v="1"/>
    <x v="1"/>
    <x v="0"/>
    <x v="1"/>
    <x v="0"/>
    <x v="16"/>
    <d v="1899-12-30T08:25:00"/>
    <d v="1899-12-30T10:44:00"/>
    <n v="139"/>
    <x v="1"/>
    <x v="3"/>
  </r>
  <r>
    <n v="393"/>
    <s v="Lenna"/>
    <s v="Female"/>
    <d v="1983-08-28T00:00:00"/>
    <x v="1"/>
    <n v="41"/>
    <x v="1"/>
    <x v="0"/>
    <x v="101"/>
    <x v="1"/>
    <x v="1"/>
    <x v="1"/>
    <x v="0"/>
    <x v="1"/>
    <x v="0"/>
    <x v="0"/>
    <x v="0"/>
    <x v="128"/>
    <d v="1899-12-30T10:09:00"/>
    <d v="1899-12-30T12:30:00"/>
    <n v="141"/>
    <x v="0"/>
    <x v="0"/>
  </r>
  <r>
    <n v="394"/>
    <s v="Taffy"/>
    <s v="Female"/>
    <d v="2007-05-14T00:00:00"/>
    <x v="2"/>
    <n v="17"/>
    <x v="0"/>
    <x v="3"/>
    <x v="7"/>
    <x v="1"/>
    <x v="1"/>
    <x v="1"/>
    <x v="1"/>
    <x v="0"/>
    <x v="0"/>
    <x v="0"/>
    <x v="1"/>
    <x v="1"/>
    <d v="1899-12-30T09:30:00"/>
    <d v="1899-12-30T11:39:00"/>
    <n v="129"/>
    <x v="1"/>
    <x v="4"/>
  </r>
  <r>
    <n v="395"/>
    <s v="Shelly"/>
    <s v="Female"/>
    <d v="1995-10-27T00:00:00"/>
    <x v="0"/>
    <n v="28"/>
    <x v="1"/>
    <x v="1"/>
    <x v="75"/>
    <x v="0"/>
    <x v="1"/>
    <x v="0"/>
    <x v="1"/>
    <x v="1"/>
    <x v="0"/>
    <x v="0"/>
    <x v="1"/>
    <x v="1"/>
    <d v="1899-12-30T19:59:00"/>
    <d v="1899-12-30T20:59:00"/>
    <n v="60"/>
    <x v="1"/>
    <x v="1"/>
  </r>
  <r>
    <n v="396"/>
    <s v="Yetta"/>
    <s v="Female"/>
    <d v="1986-11-13T00:00:00"/>
    <x v="3"/>
    <n v="37"/>
    <x v="0"/>
    <x v="1"/>
    <x v="75"/>
    <x v="0"/>
    <x v="1"/>
    <x v="0"/>
    <x v="1"/>
    <x v="1"/>
    <x v="0"/>
    <x v="0"/>
    <x v="1"/>
    <x v="1"/>
    <d v="1899-12-30T13:08:00"/>
    <d v="1899-12-30T14:14:00"/>
    <n v="66"/>
    <x v="0"/>
    <x v="0"/>
  </r>
  <r>
    <n v="397"/>
    <s v="Hetti"/>
    <s v="Female"/>
    <d v="1991-06-18T00:00:00"/>
    <x v="3"/>
    <n v="33"/>
    <x v="1"/>
    <x v="1"/>
    <x v="11"/>
    <x v="0"/>
    <x v="0"/>
    <x v="0"/>
    <x v="1"/>
    <x v="0"/>
    <x v="0"/>
    <x v="0"/>
    <x v="1"/>
    <x v="1"/>
    <d v="1899-12-30T08:47:00"/>
    <d v="1899-12-30T10:05:00"/>
    <n v="78"/>
    <x v="0"/>
    <x v="0"/>
  </r>
  <r>
    <n v="398"/>
    <s v="Edna"/>
    <s v="Female"/>
    <d v="1979-06-28T00:00:00"/>
    <x v="1"/>
    <n v="45"/>
    <x v="0"/>
    <x v="3"/>
    <x v="73"/>
    <x v="1"/>
    <x v="1"/>
    <x v="1"/>
    <x v="1"/>
    <x v="1"/>
    <x v="0"/>
    <x v="1"/>
    <x v="0"/>
    <x v="20"/>
    <d v="1899-12-30T10:37:00"/>
    <d v="1899-12-30T11:52:00"/>
    <n v="75"/>
    <x v="1"/>
    <x v="4"/>
  </r>
  <r>
    <n v="399"/>
    <s v="Rafferty"/>
    <s v="Male"/>
    <d v="2007-03-09T00:00:00"/>
    <x v="2"/>
    <n v="17"/>
    <x v="0"/>
    <x v="3"/>
    <x v="7"/>
    <x v="1"/>
    <x v="1"/>
    <x v="1"/>
    <x v="1"/>
    <x v="0"/>
    <x v="0"/>
    <x v="0"/>
    <x v="1"/>
    <x v="1"/>
    <d v="1899-12-30T08:38:00"/>
    <d v="1899-12-30T09:57:00"/>
    <n v="79"/>
    <x v="1"/>
    <x v="2"/>
  </r>
  <r>
    <n v="400"/>
    <s v="Logan"/>
    <s v="Male"/>
    <d v="1994-11-14T00:00:00"/>
    <x v="0"/>
    <n v="29"/>
    <x v="1"/>
    <x v="1"/>
    <x v="45"/>
    <x v="0"/>
    <x v="1"/>
    <x v="1"/>
    <x v="1"/>
    <x v="1"/>
    <x v="1"/>
    <x v="0"/>
    <x v="0"/>
    <x v="129"/>
    <d v="1899-12-30T13:02:00"/>
    <d v="1899-12-30T15:10:00"/>
    <n v="128"/>
    <x v="0"/>
    <x v="0"/>
  </r>
  <r>
    <n v="401"/>
    <s v="Evy"/>
    <s v="Female"/>
    <d v="2004-10-11T00:00:00"/>
    <x v="2"/>
    <n v="19"/>
    <x v="0"/>
    <x v="2"/>
    <x v="21"/>
    <x v="0"/>
    <x v="1"/>
    <x v="1"/>
    <x v="1"/>
    <x v="0"/>
    <x v="1"/>
    <x v="1"/>
    <x v="1"/>
    <x v="1"/>
    <d v="1899-12-30T17:52:00"/>
    <d v="1899-12-30T18:35:00"/>
    <n v="43"/>
    <x v="1"/>
    <x v="4"/>
  </r>
  <r>
    <n v="402"/>
    <s v="Ashly"/>
    <s v="Female"/>
    <d v="2007-06-21T00:00:00"/>
    <x v="2"/>
    <n v="17"/>
    <x v="0"/>
    <x v="3"/>
    <x v="73"/>
    <x v="1"/>
    <x v="1"/>
    <x v="1"/>
    <x v="1"/>
    <x v="1"/>
    <x v="0"/>
    <x v="1"/>
    <x v="0"/>
    <x v="130"/>
    <d v="1899-12-30T16:58:00"/>
    <d v="1899-12-30T18:11:00"/>
    <n v="73"/>
    <x v="0"/>
    <x v="0"/>
  </r>
  <r>
    <n v="403"/>
    <s v="Nelie"/>
    <s v="Female"/>
    <d v="2007-12-04T00:00:00"/>
    <x v="2"/>
    <n v="16"/>
    <x v="0"/>
    <x v="1"/>
    <x v="46"/>
    <x v="0"/>
    <x v="1"/>
    <x v="0"/>
    <x v="1"/>
    <x v="1"/>
    <x v="1"/>
    <x v="1"/>
    <x v="1"/>
    <x v="1"/>
    <d v="1899-12-30T15:15:00"/>
    <d v="1899-12-30T16:13:00"/>
    <n v="58"/>
    <x v="1"/>
    <x v="1"/>
  </r>
  <r>
    <n v="404"/>
    <s v="Ronna"/>
    <s v="Female"/>
    <d v="2009-08-09T00:00:00"/>
    <x v="2"/>
    <n v="15"/>
    <x v="0"/>
    <x v="1"/>
    <x v="97"/>
    <x v="1"/>
    <x v="1"/>
    <x v="0"/>
    <x v="1"/>
    <x v="0"/>
    <x v="0"/>
    <x v="0"/>
    <x v="0"/>
    <x v="106"/>
    <d v="1899-12-30T11:02:00"/>
    <d v="1899-12-30T11:44:00"/>
    <n v="42"/>
    <x v="1"/>
    <x v="1"/>
  </r>
  <r>
    <n v="405"/>
    <s v="Eldredge"/>
    <s v="Male"/>
    <d v="1997-04-05T00:00:00"/>
    <x v="0"/>
    <n v="27"/>
    <x v="0"/>
    <x v="3"/>
    <x v="57"/>
    <x v="0"/>
    <x v="0"/>
    <x v="1"/>
    <x v="1"/>
    <x v="0"/>
    <x v="1"/>
    <x v="1"/>
    <x v="0"/>
    <x v="54"/>
    <d v="1899-12-30T16:35:00"/>
    <d v="1899-12-30T19:02:00"/>
    <n v="147"/>
    <x v="1"/>
    <x v="3"/>
  </r>
  <r>
    <n v="406"/>
    <s v="Leela"/>
    <s v="Female"/>
    <d v="1998-06-11T00:00:00"/>
    <x v="0"/>
    <n v="26"/>
    <x v="1"/>
    <x v="0"/>
    <x v="98"/>
    <x v="0"/>
    <x v="0"/>
    <x v="1"/>
    <x v="0"/>
    <x v="1"/>
    <x v="1"/>
    <x v="1"/>
    <x v="0"/>
    <x v="131"/>
    <d v="1899-12-30T13:03:00"/>
    <d v="1899-12-30T14:01:00"/>
    <n v="58"/>
    <x v="1"/>
    <x v="1"/>
  </r>
  <r>
    <n v="407"/>
    <s v="Oralie"/>
    <s v="Female"/>
    <d v="2002-09-28T00:00:00"/>
    <x v="0"/>
    <n v="22"/>
    <x v="1"/>
    <x v="1"/>
    <x v="77"/>
    <x v="0"/>
    <x v="1"/>
    <x v="1"/>
    <x v="0"/>
    <x v="0"/>
    <x v="1"/>
    <x v="0"/>
    <x v="0"/>
    <x v="125"/>
    <d v="1899-12-30T17:29:00"/>
    <d v="1899-12-30T19:20:00"/>
    <n v="111"/>
    <x v="0"/>
    <x v="0"/>
  </r>
  <r>
    <n v="408"/>
    <s v="Alejandro"/>
    <s v="Male"/>
    <d v="2001-12-23T00:00:00"/>
    <x v="0"/>
    <n v="22"/>
    <x v="0"/>
    <x v="2"/>
    <x v="2"/>
    <x v="1"/>
    <x v="1"/>
    <x v="1"/>
    <x v="1"/>
    <x v="0"/>
    <x v="0"/>
    <x v="1"/>
    <x v="1"/>
    <x v="1"/>
    <d v="1899-12-30T11:31:00"/>
    <d v="1899-12-30T12:37:00"/>
    <n v="66"/>
    <x v="1"/>
    <x v="1"/>
  </r>
  <r>
    <n v="409"/>
    <s v="Cthrine"/>
    <s v="Female"/>
    <d v="2004-12-19T00:00:00"/>
    <x v="2"/>
    <n v="19"/>
    <x v="1"/>
    <x v="1"/>
    <x v="20"/>
    <x v="0"/>
    <x v="0"/>
    <x v="1"/>
    <x v="1"/>
    <x v="0"/>
    <x v="1"/>
    <x v="0"/>
    <x v="1"/>
    <x v="1"/>
    <d v="1899-12-30T18:07:00"/>
    <d v="1899-12-30T20:08:00"/>
    <n v="121"/>
    <x v="1"/>
    <x v="3"/>
  </r>
  <r>
    <n v="410"/>
    <s v="Zedekiah"/>
    <s v="Male"/>
    <d v="1979-04-01T00:00:00"/>
    <x v="1"/>
    <n v="45"/>
    <x v="0"/>
    <x v="1"/>
    <x v="62"/>
    <x v="0"/>
    <x v="1"/>
    <x v="0"/>
    <x v="0"/>
    <x v="1"/>
    <x v="0"/>
    <x v="1"/>
    <x v="1"/>
    <x v="1"/>
    <d v="1899-12-30T11:20:00"/>
    <d v="1899-12-30T12:10:00"/>
    <n v="50"/>
    <x v="1"/>
    <x v="2"/>
  </r>
  <r>
    <n v="411"/>
    <s v="Aeriell"/>
    <s v="Female"/>
    <d v="1980-08-27T00:00:00"/>
    <x v="1"/>
    <n v="44"/>
    <x v="1"/>
    <x v="3"/>
    <x v="31"/>
    <x v="0"/>
    <x v="0"/>
    <x v="1"/>
    <x v="1"/>
    <x v="0"/>
    <x v="0"/>
    <x v="0"/>
    <x v="1"/>
    <x v="1"/>
    <d v="1899-12-30T11:53:00"/>
    <d v="1899-12-30T14:46:00"/>
    <n v="173"/>
    <x v="0"/>
    <x v="0"/>
  </r>
  <r>
    <n v="412"/>
    <s v="Adolph"/>
    <s v="Male"/>
    <d v="1984-12-09T00:00:00"/>
    <x v="3"/>
    <n v="39"/>
    <x v="1"/>
    <x v="3"/>
    <x v="73"/>
    <x v="1"/>
    <x v="1"/>
    <x v="1"/>
    <x v="1"/>
    <x v="1"/>
    <x v="0"/>
    <x v="1"/>
    <x v="0"/>
    <x v="132"/>
    <d v="1899-12-30T19:02:00"/>
    <d v="1899-12-30T19:40:00"/>
    <n v="38"/>
    <x v="1"/>
    <x v="1"/>
  </r>
  <r>
    <n v="413"/>
    <s v="Myrwyn"/>
    <s v="Male"/>
    <d v="1993-10-26T00:00:00"/>
    <x v="0"/>
    <n v="30"/>
    <x v="0"/>
    <x v="2"/>
    <x v="21"/>
    <x v="0"/>
    <x v="1"/>
    <x v="1"/>
    <x v="1"/>
    <x v="0"/>
    <x v="1"/>
    <x v="1"/>
    <x v="0"/>
    <x v="133"/>
    <d v="1899-12-30T08:38:00"/>
    <d v="1899-12-30T11:05:00"/>
    <n v="147"/>
    <x v="1"/>
    <x v="2"/>
  </r>
  <r>
    <n v="414"/>
    <s v="Truda"/>
    <s v="Female"/>
    <d v="1995-01-01T00:00:00"/>
    <x v="0"/>
    <n v="29"/>
    <x v="1"/>
    <x v="2"/>
    <x v="51"/>
    <x v="0"/>
    <x v="1"/>
    <x v="1"/>
    <x v="0"/>
    <x v="0"/>
    <x v="0"/>
    <x v="1"/>
    <x v="0"/>
    <x v="134"/>
    <d v="1899-12-30T12:26:00"/>
    <d v="1899-12-30T14:19:00"/>
    <n v="113"/>
    <x v="0"/>
    <x v="0"/>
  </r>
  <r>
    <n v="415"/>
    <s v="Maiga"/>
    <s v="Female"/>
    <d v="1994-12-26T00:00:00"/>
    <x v="0"/>
    <n v="29"/>
    <x v="0"/>
    <x v="2"/>
    <x v="2"/>
    <x v="1"/>
    <x v="1"/>
    <x v="1"/>
    <x v="1"/>
    <x v="0"/>
    <x v="0"/>
    <x v="1"/>
    <x v="1"/>
    <x v="1"/>
    <d v="1899-12-30T16:54:00"/>
    <d v="1899-12-30T18:37:00"/>
    <n v="103"/>
    <x v="1"/>
    <x v="1"/>
  </r>
  <r>
    <n v="416"/>
    <s v="Olag"/>
    <s v="Male"/>
    <d v="1988-01-12T00:00:00"/>
    <x v="3"/>
    <n v="36"/>
    <x v="0"/>
    <x v="1"/>
    <x v="78"/>
    <x v="1"/>
    <x v="1"/>
    <x v="1"/>
    <x v="0"/>
    <x v="0"/>
    <x v="0"/>
    <x v="0"/>
    <x v="0"/>
    <x v="135"/>
    <d v="1899-12-30T19:37:00"/>
    <d v="1899-12-30T20:44:00"/>
    <n v="67"/>
    <x v="0"/>
    <x v="0"/>
  </r>
  <r>
    <n v="417"/>
    <s v="Mab"/>
    <s v="Female"/>
    <d v="2007-11-02T00:00:00"/>
    <x v="2"/>
    <n v="16"/>
    <x v="1"/>
    <x v="1"/>
    <x v="45"/>
    <x v="0"/>
    <x v="1"/>
    <x v="1"/>
    <x v="1"/>
    <x v="1"/>
    <x v="1"/>
    <x v="0"/>
    <x v="0"/>
    <x v="117"/>
    <d v="1899-12-30T14:53:00"/>
    <d v="1899-12-30T16:28:00"/>
    <n v="95"/>
    <x v="0"/>
    <x v="0"/>
  </r>
  <r>
    <n v="418"/>
    <s v="Stafani"/>
    <s v="Female"/>
    <d v="1975-09-25T00:00:00"/>
    <x v="1"/>
    <n v="49"/>
    <x v="0"/>
    <x v="1"/>
    <x v="64"/>
    <x v="0"/>
    <x v="1"/>
    <x v="0"/>
    <x v="0"/>
    <x v="0"/>
    <x v="1"/>
    <x v="1"/>
    <x v="1"/>
    <x v="1"/>
    <d v="1899-12-30T19:37:00"/>
    <d v="1899-12-30T21:16:00"/>
    <n v="99"/>
    <x v="0"/>
    <x v="0"/>
  </r>
  <r>
    <n v="419"/>
    <s v="Janela"/>
    <s v="Female"/>
    <d v="2004-11-26T00:00:00"/>
    <x v="2"/>
    <n v="19"/>
    <x v="0"/>
    <x v="1"/>
    <x v="8"/>
    <x v="0"/>
    <x v="0"/>
    <x v="0"/>
    <x v="0"/>
    <x v="0"/>
    <x v="0"/>
    <x v="1"/>
    <x v="0"/>
    <x v="0"/>
    <d v="1899-12-30T10:33:00"/>
    <d v="1899-12-30T12:17:00"/>
    <n v="104"/>
    <x v="0"/>
    <x v="0"/>
  </r>
  <r>
    <n v="420"/>
    <s v="Durward"/>
    <s v="Male"/>
    <d v="1978-02-27T00:00:00"/>
    <x v="1"/>
    <n v="46"/>
    <x v="0"/>
    <x v="3"/>
    <x v="96"/>
    <x v="0"/>
    <x v="1"/>
    <x v="0"/>
    <x v="1"/>
    <x v="0"/>
    <x v="0"/>
    <x v="0"/>
    <x v="1"/>
    <x v="1"/>
    <d v="1899-12-30T11:27:00"/>
    <d v="1899-12-30T14:08:00"/>
    <n v="161"/>
    <x v="1"/>
    <x v="4"/>
  </r>
  <r>
    <n v="421"/>
    <s v="Caitlin"/>
    <s v="Female"/>
    <d v="1998-01-09T00:00:00"/>
    <x v="0"/>
    <n v="26"/>
    <x v="1"/>
    <x v="1"/>
    <x v="76"/>
    <x v="1"/>
    <x v="1"/>
    <x v="0"/>
    <x v="1"/>
    <x v="1"/>
    <x v="0"/>
    <x v="1"/>
    <x v="1"/>
    <x v="1"/>
    <d v="1899-12-30T14:54:00"/>
    <d v="1899-12-30T16:47:00"/>
    <n v="113"/>
    <x v="1"/>
    <x v="1"/>
  </r>
  <r>
    <n v="422"/>
    <s v="Jessalin"/>
    <s v="Female"/>
    <d v="1990-05-21T00:00:00"/>
    <x v="3"/>
    <n v="34"/>
    <x v="1"/>
    <x v="0"/>
    <x v="102"/>
    <x v="0"/>
    <x v="1"/>
    <x v="0"/>
    <x v="0"/>
    <x v="1"/>
    <x v="1"/>
    <x v="1"/>
    <x v="1"/>
    <x v="1"/>
    <d v="1899-12-30T12:46:00"/>
    <d v="1899-12-30T14:56:00"/>
    <n v="130"/>
    <x v="0"/>
    <x v="0"/>
  </r>
  <r>
    <n v="423"/>
    <s v="Koren"/>
    <s v="Female"/>
    <d v="1987-04-18T00:00:00"/>
    <x v="3"/>
    <n v="37"/>
    <x v="0"/>
    <x v="4"/>
    <x v="81"/>
    <x v="0"/>
    <x v="0"/>
    <x v="0"/>
    <x v="0"/>
    <x v="1"/>
    <x v="1"/>
    <x v="1"/>
    <x v="0"/>
    <x v="136"/>
    <d v="1899-12-30T18:48:00"/>
    <d v="1899-12-30T19:33:00"/>
    <n v="45"/>
    <x v="1"/>
    <x v="1"/>
  </r>
  <r>
    <n v="424"/>
    <s v="Kimberlee"/>
    <s v="Female"/>
    <d v="2002-04-02T00:00:00"/>
    <x v="0"/>
    <n v="22"/>
    <x v="0"/>
    <x v="2"/>
    <x v="10"/>
    <x v="0"/>
    <x v="1"/>
    <x v="1"/>
    <x v="1"/>
    <x v="1"/>
    <x v="0"/>
    <x v="1"/>
    <x v="0"/>
    <x v="9"/>
    <d v="1899-12-30T12:27:00"/>
    <d v="1899-12-30T14:23:00"/>
    <n v="116"/>
    <x v="0"/>
    <x v="0"/>
  </r>
  <r>
    <n v="425"/>
    <s v="Rockwell"/>
    <s v="Male"/>
    <d v="1983-05-03T00:00:00"/>
    <x v="1"/>
    <n v="41"/>
    <x v="0"/>
    <x v="4"/>
    <x v="89"/>
    <x v="0"/>
    <x v="0"/>
    <x v="0"/>
    <x v="0"/>
    <x v="1"/>
    <x v="0"/>
    <x v="0"/>
    <x v="1"/>
    <x v="1"/>
    <d v="1899-12-30T16:21:00"/>
    <d v="1899-12-30T18:28:00"/>
    <n v="127"/>
    <x v="1"/>
    <x v="1"/>
  </r>
  <r>
    <n v="426"/>
    <s v="Cal"/>
    <s v="Female"/>
    <d v="1985-07-09T00:00:00"/>
    <x v="3"/>
    <n v="39"/>
    <x v="0"/>
    <x v="3"/>
    <x v="4"/>
    <x v="0"/>
    <x v="1"/>
    <x v="0"/>
    <x v="1"/>
    <x v="1"/>
    <x v="0"/>
    <x v="1"/>
    <x v="1"/>
    <x v="1"/>
    <d v="1899-12-30T20:04:00"/>
    <d v="1899-12-30T21:56:00"/>
    <n v="112"/>
    <x v="0"/>
    <x v="0"/>
  </r>
  <r>
    <n v="427"/>
    <s v="Robers"/>
    <s v="Male"/>
    <d v="2010-05-02T00:00:00"/>
    <x v="2"/>
    <n v="14"/>
    <x v="0"/>
    <x v="1"/>
    <x v="16"/>
    <x v="1"/>
    <x v="1"/>
    <x v="1"/>
    <x v="0"/>
    <x v="1"/>
    <x v="0"/>
    <x v="1"/>
    <x v="1"/>
    <x v="1"/>
    <d v="1899-12-30T16:05:00"/>
    <d v="1899-12-30T17:51:00"/>
    <n v="106"/>
    <x v="1"/>
    <x v="2"/>
  </r>
  <r>
    <n v="428"/>
    <s v="Ainslie"/>
    <s v="Female"/>
    <d v="2008-07-22T00:00:00"/>
    <x v="2"/>
    <n v="16"/>
    <x v="1"/>
    <x v="1"/>
    <x v="45"/>
    <x v="0"/>
    <x v="1"/>
    <x v="1"/>
    <x v="1"/>
    <x v="1"/>
    <x v="1"/>
    <x v="0"/>
    <x v="0"/>
    <x v="9"/>
    <d v="1899-12-30T14:06:00"/>
    <d v="1899-12-30T14:58:00"/>
    <n v="52"/>
    <x v="0"/>
    <x v="0"/>
  </r>
  <r>
    <n v="429"/>
    <s v="Basil"/>
    <s v="Male"/>
    <d v="1993-04-19T00:00:00"/>
    <x v="3"/>
    <n v="31"/>
    <x v="1"/>
    <x v="3"/>
    <x v="37"/>
    <x v="1"/>
    <x v="1"/>
    <x v="0"/>
    <x v="1"/>
    <x v="0"/>
    <x v="0"/>
    <x v="1"/>
    <x v="0"/>
    <x v="39"/>
    <d v="1899-12-30T17:57:00"/>
    <d v="1899-12-30T19:04:00"/>
    <n v="67"/>
    <x v="1"/>
    <x v="3"/>
  </r>
  <r>
    <n v="430"/>
    <s v="Maryanna"/>
    <s v="Female"/>
    <d v="1998-12-06T00:00:00"/>
    <x v="0"/>
    <n v="25"/>
    <x v="1"/>
    <x v="3"/>
    <x v="47"/>
    <x v="0"/>
    <x v="0"/>
    <x v="1"/>
    <x v="0"/>
    <x v="0"/>
    <x v="0"/>
    <x v="1"/>
    <x v="1"/>
    <x v="1"/>
    <d v="1899-12-30T15:12:00"/>
    <d v="1899-12-30T17:51:00"/>
    <n v="159"/>
    <x v="1"/>
    <x v="1"/>
  </r>
  <r>
    <n v="431"/>
    <s v="Willard"/>
    <s v="Male"/>
    <d v="1993-07-16T00:00:00"/>
    <x v="3"/>
    <n v="31"/>
    <x v="0"/>
    <x v="3"/>
    <x v="53"/>
    <x v="0"/>
    <x v="0"/>
    <x v="0"/>
    <x v="1"/>
    <x v="0"/>
    <x v="0"/>
    <x v="1"/>
    <x v="0"/>
    <x v="34"/>
    <d v="1899-12-30T16:01:00"/>
    <d v="1899-12-30T17:27:00"/>
    <n v="86"/>
    <x v="0"/>
    <x v="0"/>
  </r>
  <r>
    <n v="432"/>
    <s v="Reed"/>
    <s v="Male"/>
    <d v="1994-01-10T00:00:00"/>
    <x v="0"/>
    <n v="30"/>
    <x v="1"/>
    <x v="4"/>
    <x v="80"/>
    <x v="0"/>
    <x v="0"/>
    <x v="0"/>
    <x v="1"/>
    <x v="1"/>
    <x v="1"/>
    <x v="0"/>
    <x v="0"/>
    <x v="23"/>
    <d v="1899-12-30T10:56:00"/>
    <d v="1899-12-30T13:31:00"/>
    <n v="155"/>
    <x v="1"/>
    <x v="3"/>
  </r>
  <r>
    <n v="433"/>
    <s v="Becca"/>
    <s v="Female"/>
    <d v="1977-01-28T00:00:00"/>
    <x v="1"/>
    <n v="47"/>
    <x v="0"/>
    <x v="1"/>
    <x v="63"/>
    <x v="1"/>
    <x v="1"/>
    <x v="0"/>
    <x v="1"/>
    <x v="0"/>
    <x v="1"/>
    <x v="1"/>
    <x v="1"/>
    <x v="1"/>
    <d v="1899-12-30T14:51:00"/>
    <d v="1899-12-30T17:19:00"/>
    <n v="148"/>
    <x v="0"/>
    <x v="0"/>
  </r>
  <r>
    <n v="434"/>
    <s v="Sabra"/>
    <s v="Female"/>
    <d v="1995-04-29T00:00:00"/>
    <x v="0"/>
    <n v="29"/>
    <x v="1"/>
    <x v="4"/>
    <x v="35"/>
    <x v="1"/>
    <x v="1"/>
    <x v="0"/>
    <x v="0"/>
    <x v="1"/>
    <x v="1"/>
    <x v="1"/>
    <x v="1"/>
    <x v="1"/>
    <d v="1899-12-30T18:14:00"/>
    <d v="1899-12-30T21:08:00"/>
    <n v="174"/>
    <x v="0"/>
    <x v="0"/>
  </r>
  <r>
    <n v="435"/>
    <s v="Maisie"/>
    <s v="Female"/>
    <d v="1981-04-20T00:00:00"/>
    <x v="1"/>
    <n v="43"/>
    <x v="1"/>
    <x v="2"/>
    <x v="14"/>
    <x v="0"/>
    <x v="1"/>
    <x v="1"/>
    <x v="1"/>
    <x v="0"/>
    <x v="0"/>
    <x v="0"/>
    <x v="0"/>
    <x v="39"/>
    <d v="1899-12-30T14:44:00"/>
    <d v="1899-12-30T17:19:00"/>
    <n v="155"/>
    <x v="1"/>
    <x v="1"/>
  </r>
  <r>
    <n v="436"/>
    <s v="Dalt"/>
    <s v="Male"/>
    <d v="2001-05-02T00:00:00"/>
    <x v="0"/>
    <n v="23"/>
    <x v="1"/>
    <x v="2"/>
    <x v="2"/>
    <x v="1"/>
    <x v="1"/>
    <x v="1"/>
    <x v="1"/>
    <x v="0"/>
    <x v="0"/>
    <x v="1"/>
    <x v="1"/>
    <x v="1"/>
    <d v="1899-12-30T11:28:00"/>
    <d v="1899-12-30T13:03:00"/>
    <n v="95"/>
    <x v="1"/>
    <x v="2"/>
  </r>
  <r>
    <n v="437"/>
    <s v="Aldwin"/>
    <s v="Male"/>
    <d v="1997-08-23T00:00:00"/>
    <x v="0"/>
    <n v="27"/>
    <x v="0"/>
    <x v="3"/>
    <x v="7"/>
    <x v="1"/>
    <x v="1"/>
    <x v="1"/>
    <x v="1"/>
    <x v="0"/>
    <x v="0"/>
    <x v="0"/>
    <x v="0"/>
    <x v="137"/>
    <d v="1899-12-30T16:29:00"/>
    <d v="1899-12-30T19:03:00"/>
    <n v="154"/>
    <x v="0"/>
    <x v="0"/>
  </r>
  <r>
    <n v="438"/>
    <s v="Averil"/>
    <s v="Male"/>
    <d v="1990-02-22T00:00:00"/>
    <x v="3"/>
    <n v="34"/>
    <x v="0"/>
    <x v="3"/>
    <x v="66"/>
    <x v="0"/>
    <x v="0"/>
    <x v="1"/>
    <x v="1"/>
    <x v="1"/>
    <x v="0"/>
    <x v="1"/>
    <x v="1"/>
    <x v="1"/>
    <d v="1899-12-30T17:18:00"/>
    <d v="1899-12-30T19:59:00"/>
    <n v="161"/>
    <x v="1"/>
    <x v="2"/>
  </r>
  <r>
    <n v="439"/>
    <s v="Cchaddie"/>
    <s v="Male"/>
    <d v="2011-12-20T00:00:00"/>
    <x v="2"/>
    <n v="12"/>
    <x v="1"/>
    <x v="3"/>
    <x v="17"/>
    <x v="0"/>
    <x v="1"/>
    <x v="1"/>
    <x v="0"/>
    <x v="0"/>
    <x v="0"/>
    <x v="0"/>
    <x v="0"/>
    <x v="0"/>
    <d v="1899-12-30T13:58:00"/>
    <d v="1899-12-30T16:09:00"/>
    <n v="131"/>
    <x v="1"/>
    <x v="1"/>
  </r>
  <r>
    <n v="440"/>
    <s v="Griffin"/>
    <s v="Male"/>
    <d v="1987-09-27T00:00:00"/>
    <x v="3"/>
    <n v="37"/>
    <x v="0"/>
    <x v="2"/>
    <x v="21"/>
    <x v="0"/>
    <x v="1"/>
    <x v="1"/>
    <x v="1"/>
    <x v="0"/>
    <x v="1"/>
    <x v="1"/>
    <x v="0"/>
    <x v="138"/>
    <d v="1899-12-30T13:10:00"/>
    <d v="1899-12-30T15:39:00"/>
    <n v="149"/>
    <x v="0"/>
    <x v="0"/>
  </r>
  <r>
    <n v="441"/>
    <s v="Risa"/>
    <s v="Female"/>
    <d v="1986-03-24T00:00:00"/>
    <x v="3"/>
    <n v="38"/>
    <x v="1"/>
    <x v="1"/>
    <x v="36"/>
    <x v="0"/>
    <x v="0"/>
    <x v="1"/>
    <x v="0"/>
    <x v="1"/>
    <x v="0"/>
    <x v="1"/>
    <x v="0"/>
    <x v="139"/>
    <d v="1899-12-30T16:41:00"/>
    <d v="1899-12-30T19:37:00"/>
    <n v="176"/>
    <x v="0"/>
    <x v="0"/>
  </r>
  <r>
    <n v="442"/>
    <s v="Joyce"/>
    <s v="Female"/>
    <d v="1994-05-17T00:00:00"/>
    <x v="0"/>
    <n v="30"/>
    <x v="1"/>
    <x v="2"/>
    <x v="21"/>
    <x v="0"/>
    <x v="1"/>
    <x v="1"/>
    <x v="1"/>
    <x v="0"/>
    <x v="1"/>
    <x v="1"/>
    <x v="1"/>
    <x v="1"/>
    <d v="1899-12-30T14:08:00"/>
    <d v="1899-12-30T16:01:00"/>
    <n v="113"/>
    <x v="1"/>
    <x v="4"/>
  </r>
  <r>
    <n v="443"/>
    <s v="Merrie"/>
    <s v="Female"/>
    <d v="1998-11-11T00:00:00"/>
    <x v="0"/>
    <n v="25"/>
    <x v="1"/>
    <x v="3"/>
    <x v="73"/>
    <x v="1"/>
    <x v="1"/>
    <x v="1"/>
    <x v="1"/>
    <x v="1"/>
    <x v="0"/>
    <x v="1"/>
    <x v="0"/>
    <x v="138"/>
    <d v="1899-12-30T13:59:00"/>
    <d v="1899-12-30T14:43:00"/>
    <n v="44"/>
    <x v="1"/>
    <x v="3"/>
  </r>
  <r>
    <n v="444"/>
    <s v="Orville"/>
    <s v="Male"/>
    <d v="1975-02-23T00:00:00"/>
    <x v="1"/>
    <n v="49"/>
    <x v="1"/>
    <x v="3"/>
    <x v="91"/>
    <x v="0"/>
    <x v="1"/>
    <x v="1"/>
    <x v="1"/>
    <x v="1"/>
    <x v="1"/>
    <x v="1"/>
    <x v="1"/>
    <x v="1"/>
    <d v="1899-12-30T18:40:00"/>
    <d v="1899-12-30T21:15:00"/>
    <n v="155"/>
    <x v="1"/>
    <x v="4"/>
  </r>
  <r>
    <n v="445"/>
    <s v="Amabel"/>
    <s v="Female"/>
    <d v="1989-04-11T00:00:00"/>
    <x v="3"/>
    <n v="35"/>
    <x v="0"/>
    <x v="2"/>
    <x v="2"/>
    <x v="1"/>
    <x v="1"/>
    <x v="1"/>
    <x v="1"/>
    <x v="0"/>
    <x v="0"/>
    <x v="1"/>
    <x v="1"/>
    <x v="1"/>
    <d v="1899-12-30T12:12:00"/>
    <d v="1899-12-30T14:33:00"/>
    <n v="141"/>
    <x v="0"/>
    <x v="0"/>
  </r>
  <r>
    <n v="446"/>
    <s v="Alyce"/>
    <s v="Female"/>
    <d v="1982-12-05T00:00:00"/>
    <x v="1"/>
    <n v="41"/>
    <x v="1"/>
    <x v="3"/>
    <x v="53"/>
    <x v="0"/>
    <x v="0"/>
    <x v="0"/>
    <x v="1"/>
    <x v="0"/>
    <x v="0"/>
    <x v="1"/>
    <x v="0"/>
    <x v="140"/>
    <d v="1899-12-30T14:06:00"/>
    <d v="1899-12-30T16:58:00"/>
    <n v="172"/>
    <x v="1"/>
    <x v="3"/>
  </r>
  <r>
    <n v="447"/>
    <s v="Wittie"/>
    <s v="Male"/>
    <d v="1991-04-09T00:00:00"/>
    <x v="3"/>
    <n v="33"/>
    <x v="0"/>
    <x v="1"/>
    <x v="13"/>
    <x v="1"/>
    <x v="0"/>
    <x v="1"/>
    <x v="0"/>
    <x v="0"/>
    <x v="0"/>
    <x v="1"/>
    <x v="1"/>
    <x v="1"/>
    <d v="1899-12-30T09:14:00"/>
    <d v="1899-12-30T10:24:00"/>
    <n v="70"/>
    <x v="0"/>
    <x v="0"/>
  </r>
  <r>
    <n v="448"/>
    <s v="Jean"/>
    <s v="Female"/>
    <d v="1997-07-13T00:00:00"/>
    <x v="0"/>
    <n v="27"/>
    <x v="0"/>
    <x v="3"/>
    <x v="91"/>
    <x v="0"/>
    <x v="1"/>
    <x v="1"/>
    <x v="1"/>
    <x v="1"/>
    <x v="1"/>
    <x v="1"/>
    <x v="1"/>
    <x v="1"/>
    <d v="1899-12-30T17:22:00"/>
    <d v="1899-12-30T18:04:00"/>
    <n v="42"/>
    <x v="0"/>
    <x v="0"/>
  </r>
  <r>
    <n v="449"/>
    <s v="Catriona"/>
    <s v="Female"/>
    <d v="2006-07-23T00:00:00"/>
    <x v="2"/>
    <n v="18"/>
    <x v="1"/>
    <x v="1"/>
    <x v="67"/>
    <x v="1"/>
    <x v="1"/>
    <x v="1"/>
    <x v="1"/>
    <x v="1"/>
    <x v="1"/>
    <x v="1"/>
    <x v="0"/>
    <x v="13"/>
    <d v="1899-12-30T18:43:00"/>
    <d v="1899-12-30T20:53:00"/>
    <n v="130"/>
    <x v="0"/>
    <x v="0"/>
  </r>
  <r>
    <n v="450"/>
    <s v="Hunter"/>
    <s v="Male"/>
    <d v="2006-06-24T00:00:00"/>
    <x v="2"/>
    <n v="18"/>
    <x v="0"/>
    <x v="0"/>
    <x v="103"/>
    <x v="0"/>
    <x v="1"/>
    <x v="0"/>
    <x v="0"/>
    <x v="0"/>
    <x v="1"/>
    <x v="0"/>
    <x v="0"/>
    <x v="141"/>
    <d v="1899-12-30T19:08:00"/>
    <d v="1899-12-30T20:21:00"/>
    <n v="73"/>
    <x v="0"/>
    <x v="0"/>
  </r>
  <r>
    <n v="451"/>
    <s v="Cherish"/>
    <s v="Female"/>
    <d v="1994-04-09T00:00:00"/>
    <x v="0"/>
    <n v="30"/>
    <x v="0"/>
    <x v="0"/>
    <x v="0"/>
    <x v="0"/>
    <x v="0"/>
    <x v="0"/>
    <x v="0"/>
    <x v="0"/>
    <x v="0"/>
    <x v="0"/>
    <x v="0"/>
    <x v="6"/>
    <d v="1899-12-30T14:27:00"/>
    <d v="1899-12-30T17:01:00"/>
    <n v="154"/>
    <x v="1"/>
    <x v="3"/>
  </r>
  <r>
    <n v="452"/>
    <s v="Augusta"/>
    <s v="Female"/>
    <d v="1985-06-16T00:00:00"/>
    <x v="3"/>
    <n v="39"/>
    <x v="1"/>
    <x v="0"/>
    <x v="100"/>
    <x v="0"/>
    <x v="1"/>
    <x v="0"/>
    <x v="0"/>
    <x v="1"/>
    <x v="0"/>
    <x v="0"/>
    <x v="0"/>
    <x v="142"/>
    <d v="1899-12-30T16:21:00"/>
    <d v="1899-12-30T19:03:00"/>
    <n v="162"/>
    <x v="1"/>
    <x v="3"/>
  </r>
  <r>
    <n v="453"/>
    <s v="Malynda"/>
    <s v="Female"/>
    <d v="1994-03-25T00:00:00"/>
    <x v="0"/>
    <n v="30"/>
    <x v="1"/>
    <x v="1"/>
    <x v="42"/>
    <x v="0"/>
    <x v="0"/>
    <x v="1"/>
    <x v="0"/>
    <x v="0"/>
    <x v="0"/>
    <x v="0"/>
    <x v="0"/>
    <x v="143"/>
    <d v="1899-12-30T18:36:00"/>
    <d v="1899-12-30T19:35:00"/>
    <n v="59"/>
    <x v="1"/>
    <x v="3"/>
  </r>
  <r>
    <n v="454"/>
    <s v="Philippine"/>
    <s v="Female"/>
    <d v="1999-01-10T00:00:00"/>
    <x v="0"/>
    <n v="25"/>
    <x v="0"/>
    <x v="0"/>
    <x v="88"/>
    <x v="0"/>
    <x v="0"/>
    <x v="0"/>
    <x v="0"/>
    <x v="1"/>
    <x v="0"/>
    <x v="1"/>
    <x v="0"/>
    <x v="43"/>
    <d v="1899-12-30T18:14:00"/>
    <d v="1899-12-30T20:56:00"/>
    <n v="162"/>
    <x v="1"/>
    <x v="1"/>
  </r>
  <r>
    <n v="455"/>
    <s v="Sallie"/>
    <s v="Female"/>
    <d v="2008-05-19T00:00:00"/>
    <x v="2"/>
    <n v="16"/>
    <x v="1"/>
    <x v="2"/>
    <x v="14"/>
    <x v="0"/>
    <x v="1"/>
    <x v="1"/>
    <x v="1"/>
    <x v="0"/>
    <x v="0"/>
    <x v="0"/>
    <x v="0"/>
    <x v="15"/>
    <d v="1899-12-30T20:02:00"/>
    <d v="1899-12-30T21:17:00"/>
    <n v="75"/>
    <x v="1"/>
    <x v="2"/>
  </r>
  <r>
    <n v="456"/>
    <s v="Preston"/>
    <s v="Male"/>
    <d v="1993-12-26T00:00:00"/>
    <x v="0"/>
    <n v="30"/>
    <x v="1"/>
    <x v="1"/>
    <x v="32"/>
    <x v="0"/>
    <x v="1"/>
    <x v="1"/>
    <x v="0"/>
    <x v="1"/>
    <x v="0"/>
    <x v="0"/>
    <x v="0"/>
    <x v="144"/>
    <d v="1899-12-30T14:55:00"/>
    <d v="1899-12-30T15:27:00"/>
    <n v="32"/>
    <x v="1"/>
    <x v="1"/>
  </r>
  <r>
    <n v="457"/>
    <s v="Maggi"/>
    <s v="Female"/>
    <d v="1983-03-19T00:00:00"/>
    <x v="1"/>
    <n v="41"/>
    <x v="0"/>
    <x v="2"/>
    <x v="14"/>
    <x v="0"/>
    <x v="1"/>
    <x v="1"/>
    <x v="1"/>
    <x v="0"/>
    <x v="0"/>
    <x v="0"/>
    <x v="1"/>
    <x v="1"/>
    <d v="1899-12-30T16:21:00"/>
    <d v="1899-12-30T17:07:00"/>
    <n v="46"/>
    <x v="1"/>
    <x v="4"/>
  </r>
  <r>
    <n v="458"/>
    <s v="Edi"/>
    <s v="Female"/>
    <d v="1986-02-14T00:00:00"/>
    <x v="3"/>
    <n v="38"/>
    <x v="1"/>
    <x v="1"/>
    <x v="46"/>
    <x v="0"/>
    <x v="1"/>
    <x v="0"/>
    <x v="1"/>
    <x v="1"/>
    <x v="1"/>
    <x v="1"/>
    <x v="0"/>
    <x v="145"/>
    <d v="1899-12-30T11:37:00"/>
    <d v="1899-12-30T13:01:00"/>
    <n v="84"/>
    <x v="1"/>
    <x v="3"/>
  </r>
  <r>
    <n v="459"/>
    <s v="Ancell"/>
    <s v="Male"/>
    <d v="1978-03-02T00:00:00"/>
    <x v="1"/>
    <n v="46"/>
    <x v="1"/>
    <x v="1"/>
    <x v="36"/>
    <x v="0"/>
    <x v="0"/>
    <x v="1"/>
    <x v="0"/>
    <x v="1"/>
    <x v="0"/>
    <x v="1"/>
    <x v="1"/>
    <x v="1"/>
    <d v="1899-12-30T18:28:00"/>
    <d v="1899-12-30T20:58:00"/>
    <n v="150"/>
    <x v="1"/>
    <x v="3"/>
  </r>
  <r>
    <n v="460"/>
    <s v="Blithe"/>
    <s v="Female"/>
    <d v="1995-12-20T00:00:00"/>
    <x v="0"/>
    <n v="28"/>
    <x v="0"/>
    <x v="0"/>
    <x v="87"/>
    <x v="1"/>
    <x v="0"/>
    <x v="1"/>
    <x v="1"/>
    <x v="1"/>
    <x v="1"/>
    <x v="1"/>
    <x v="1"/>
    <x v="1"/>
    <d v="1899-12-30T09:22:00"/>
    <d v="1899-12-30T11:29:00"/>
    <n v="127"/>
    <x v="1"/>
    <x v="3"/>
  </r>
  <r>
    <n v="461"/>
    <s v="Gianni"/>
    <s v="Male"/>
    <d v="2009-06-23T00:00:00"/>
    <x v="2"/>
    <n v="15"/>
    <x v="0"/>
    <x v="3"/>
    <x v="47"/>
    <x v="0"/>
    <x v="0"/>
    <x v="1"/>
    <x v="0"/>
    <x v="0"/>
    <x v="0"/>
    <x v="1"/>
    <x v="0"/>
    <x v="146"/>
    <d v="1899-12-30T19:07:00"/>
    <d v="1899-12-30T20:19:00"/>
    <n v="72"/>
    <x v="0"/>
    <x v="0"/>
  </r>
  <r>
    <n v="462"/>
    <s v="Care"/>
    <s v="Male"/>
    <d v="1999-06-01T00:00:00"/>
    <x v="0"/>
    <n v="25"/>
    <x v="0"/>
    <x v="3"/>
    <x v="37"/>
    <x v="1"/>
    <x v="1"/>
    <x v="0"/>
    <x v="1"/>
    <x v="0"/>
    <x v="0"/>
    <x v="1"/>
    <x v="1"/>
    <x v="1"/>
    <d v="1899-12-30T10:55:00"/>
    <d v="1899-12-30T13:51:00"/>
    <n v="176"/>
    <x v="0"/>
    <x v="0"/>
  </r>
  <r>
    <n v="463"/>
    <s v="Sidoney"/>
    <s v="Female"/>
    <d v="2006-04-22T00:00:00"/>
    <x v="2"/>
    <n v="18"/>
    <x v="1"/>
    <x v="3"/>
    <x v="91"/>
    <x v="0"/>
    <x v="1"/>
    <x v="1"/>
    <x v="1"/>
    <x v="1"/>
    <x v="1"/>
    <x v="1"/>
    <x v="1"/>
    <x v="1"/>
    <d v="1899-12-30T18:15:00"/>
    <d v="1899-12-30T18:55:00"/>
    <n v="40"/>
    <x v="0"/>
    <x v="0"/>
  </r>
  <r>
    <n v="464"/>
    <s v="Arda"/>
    <s v="Female"/>
    <d v="1986-09-20T00:00:00"/>
    <x v="3"/>
    <n v="38"/>
    <x v="0"/>
    <x v="0"/>
    <x v="104"/>
    <x v="1"/>
    <x v="1"/>
    <x v="0"/>
    <x v="1"/>
    <x v="1"/>
    <x v="0"/>
    <x v="0"/>
    <x v="0"/>
    <x v="25"/>
    <d v="1899-12-30T20:54:00"/>
    <d v="1899-12-30T21:43:00"/>
    <n v="49"/>
    <x v="1"/>
    <x v="4"/>
  </r>
  <r>
    <n v="465"/>
    <s v="Abagael"/>
    <s v="Female"/>
    <d v="2001-10-29T00:00:00"/>
    <x v="0"/>
    <n v="22"/>
    <x v="1"/>
    <x v="0"/>
    <x v="95"/>
    <x v="0"/>
    <x v="0"/>
    <x v="1"/>
    <x v="1"/>
    <x v="1"/>
    <x v="1"/>
    <x v="0"/>
    <x v="1"/>
    <x v="1"/>
    <d v="1899-12-30T14:33:00"/>
    <d v="1899-12-30T16:01:00"/>
    <n v="88"/>
    <x v="0"/>
    <x v="0"/>
  </r>
  <r>
    <n v="466"/>
    <s v="Krystle"/>
    <s v="Female"/>
    <d v="1980-01-13T00:00:00"/>
    <x v="1"/>
    <n v="44"/>
    <x v="0"/>
    <x v="1"/>
    <x v="19"/>
    <x v="1"/>
    <x v="0"/>
    <x v="1"/>
    <x v="1"/>
    <x v="0"/>
    <x v="1"/>
    <x v="1"/>
    <x v="1"/>
    <x v="1"/>
    <d v="1899-12-30T17:47:00"/>
    <d v="1899-12-30T20:30:00"/>
    <n v="163"/>
    <x v="1"/>
    <x v="3"/>
  </r>
  <r>
    <n v="467"/>
    <s v="Gregorio"/>
    <s v="Male"/>
    <d v="2010-01-27T00:00:00"/>
    <x v="2"/>
    <n v="14"/>
    <x v="0"/>
    <x v="4"/>
    <x v="28"/>
    <x v="0"/>
    <x v="1"/>
    <x v="0"/>
    <x v="0"/>
    <x v="1"/>
    <x v="1"/>
    <x v="0"/>
    <x v="0"/>
    <x v="147"/>
    <d v="1899-12-30T08:25:00"/>
    <d v="1899-12-30T10:21:00"/>
    <n v="116"/>
    <x v="1"/>
    <x v="2"/>
  </r>
  <r>
    <n v="468"/>
    <s v="Nananne"/>
    <s v="Female"/>
    <d v="1983-01-28T00:00:00"/>
    <x v="1"/>
    <n v="41"/>
    <x v="0"/>
    <x v="1"/>
    <x v="44"/>
    <x v="0"/>
    <x v="0"/>
    <x v="1"/>
    <x v="1"/>
    <x v="1"/>
    <x v="0"/>
    <x v="0"/>
    <x v="1"/>
    <x v="1"/>
    <d v="1899-12-30T09:56:00"/>
    <d v="1899-12-30T10:40:00"/>
    <n v="44"/>
    <x v="1"/>
    <x v="1"/>
  </r>
  <r>
    <n v="469"/>
    <s v="Decca"/>
    <s v="Male"/>
    <d v="1990-06-21T00:00:00"/>
    <x v="3"/>
    <n v="34"/>
    <x v="0"/>
    <x v="3"/>
    <x v="12"/>
    <x v="1"/>
    <x v="1"/>
    <x v="1"/>
    <x v="0"/>
    <x v="0"/>
    <x v="0"/>
    <x v="1"/>
    <x v="0"/>
    <x v="132"/>
    <d v="1899-12-30T13:39:00"/>
    <d v="1899-12-30T16:22:00"/>
    <n v="163"/>
    <x v="1"/>
    <x v="3"/>
  </r>
  <r>
    <n v="470"/>
    <s v="Gard"/>
    <s v="Male"/>
    <d v="1998-10-07T00:00:00"/>
    <x v="0"/>
    <n v="25"/>
    <x v="0"/>
    <x v="2"/>
    <x v="14"/>
    <x v="0"/>
    <x v="1"/>
    <x v="1"/>
    <x v="1"/>
    <x v="0"/>
    <x v="0"/>
    <x v="0"/>
    <x v="0"/>
    <x v="131"/>
    <d v="1899-12-30T12:45:00"/>
    <d v="1899-12-30T14:05:00"/>
    <n v="80"/>
    <x v="1"/>
    <x v="1"/>
  </r>
  <r>
    <n v="471"/>
    <s v="Latisha"/>
    <s v="Female"/>
    <d v="1976-04-23T00:00:00"/>
    <x v="1"/>
    <n v="48"/>
    <x v="1"/>
    <x v="2"/>
    <x v="2"/>
    <x v="1"/>
    <x v="1"/>
    <x v="1"/>
    <x v="1"/>
    <x v="0"/>
    <x v="0"/>
    <x v="1"/>
    <x v="1"/>
    <x v="1"/>
    <d v="1899-12-30T10:42:00"/>
    <d v="1899-12-30T13:00:00"/>
    <n v="138"/>
    <x v="1"/>
    <x v="1"/>
  </r>
  <r>
    <n v="472"/>
    <s v="Thorvald"/>
    <s v="Male"/>
    <d v="1979-01-02T00:00:00"/>
    <x v="1"/>
    <n v="45"/>
    <x v="1"/>
    <x v="2"/>
    <x v="5"/>
    <x v="0"/>
    <x v="1"/>
    <x v="0"/>
    <x v="1"/>
    <x v="0"/>
    <x v="0"/>
    <x v="1"/>
    <x v="0"/>
    <x v="122"/>
    <d v="1899-12-30T09:31:00"/>
    <d v="1899-12-30T10:10:00"/>
    <n v="39"/>
    <x v="0"/>
    <x v="0"/>
  </r>
  <r>
    <n v="473"/>
    <s v="Boniface"/>
    <s v="Male"/>
    <d v="2003-11-18T00:00:00"/>
    <x v="0"/>
    <n v="20"/>
    <x v="1"/>
    <x v="0"/>
    <x v="102"/>
    <x v="0"/>
    <x v="1"/>
    <x v="0"/>
    <x v="0"/>
    <x v="1"/>
    <x v="1"/>
    <x v="1"/>
    <x v="0"/>
    <x v="148"/>
    <d v="1899-12-30T09:46:00"/>
    <d v="1899-12-30T11:43:00"/>
    <n v="117"/>
    <x v="1"/>
    <x v="2"/>
  </r>
  <r>
    <n v="474"/>
    <s v="Walker"/>
    <s v="Male"/>
    <d v="1991-08-03T00:00:00"/>
    <x v="3"/>
    <n v="33"/>
    <x v="1"/>
    <x v="1"/>
    <x v="94"/>
    <x v="0"/>
    <x v="1"/>
    <x v="0"/>
    <x v="0"/>
    <x v="0"/>
    <x v="0"/>
    <x v="0"/>
    <x v="0"/>
    <x v="149"/>
    <d v="1899-12-30T16:59:00"/>
    <d v="1899-12-30T19:25:00"/>
    <n v="146"/>
    <x v="1"/>
    <x v="3"/>
  </r>
  <r>
    <n v="475"/>
    <s v="Lyon"/>
    <s v="Male"/>
    <d v="2001-04-04T00:00:00"/>
    <x v="0"/>
    <n v="23"/>
    <x v="1"/>
    <x v="3"/>
    <x v="52"/>
    <x v="0"/>
    <x v="1"/>
    <x v="1"/>
    <x v="0"/>
    <x v="1"/>
    <x v="0"/>
    <x v="1"/>
    <x v="1"/>
    <x v="1"/>
    <d v="1899-12-30T11:56:00"/>
    <d v="1899-12-30T13:01:00"/>
    <n v="65"/>
    <x v="1"/>
    <x v="3"/>
  </r>
  <r>
    <n v="476"/>
    <s v="Mendy"/>
    <s v="Male"/>
    <d v="2001-07-09T00:00:00"/>
    <x v="0"/>
    <n v="23"/>
    <x v="1"/>
    <x v="3"/>
    <x v="68"/>
    <x v="0"/>
    <x v="1"/>
    <x v="0"/>
    <x v="0"/>
    <x v="0"/>
    <x v="0"/>
    <x v="1"/>
    <x v="0"/>
    <x v="150"/>
    <d v="1899-12-30T17:37:00"/>
    <d v="1899-12-30T19:46:00"/>
    <n v="129"/>
    <x v="1"/>
    <x v="2"/>
  </r>
  <r>
    <n v="477"/>
    <s v="Melisa"/>
    <s v="Female"/>
    <d v="2002-03-09T00:00:00"/>
    <x v="0"/>
    <n v="22"/>
    <x v="0"/>
    <x v="2"/>
    <x v="2"/>
    <x v="1"/>
    <x v="1"/>
    <x v="1"/>
    <x v="1"/>
    <x v="0"/>
    <x v="0"/>
    <x v="1"/>
    <x v="1"/>
    <x v="1"/>
    <d v="1899-12-30T09:43:00"/>
    <d v="1899-12-30T12:29:00"/>
    <n v="166"/>
    <x v="0"/>
    <x v="0"/>
  </r>
  <r>
    <n v="478"/>
    <s v="Claretta"/>
    <s v="Female"/>
    <d v="1980-10-31T00:00:00"/>
    <x v="1"/>
    <n v="43"/>
    <x v="1"/>
    <x v="1"/>
    <x v="24"/>
    <x v="0"/>
    <x v="0"/>
    <x v="1"/>
    <x v="0"/>
    <x v="0"/>
    <x v="1"/>
    <x v="1"/>
    <x v="1"/>
    <x v="1"/>
    <d v="1899-12-30T11:56:00"/>
    <d v="1899-12-30T12:44:00"/>
    <n v="48"/>
    <x v="1"/>
    <x v="2"/>
  </r>
  <r>
    <n v="479"/>
    <s v="Ingamar"/>
    <s v="Male"/>
    <d v="2010-03-23T00:00:00"/>
    <x v="2"/>
    <n v="14"/>
    <x v="0"/>
    <x v="3"/>
    <x v="73"/>
    <x v="1"/>
    <x v="1"/>
    <x v="1"/>
    <x v="1"/>
    <x v="1"/>
    <x v="0"/>
    <x v="1"/>
    <x v="1"/>
    <x v="1"/>
    <d v="1899-12-30T12:23:00"/>
    <d v="1899-12-30T14:55:00"/>
    <n v="152"/>
    <x v="1"/>
    <x v="1"/>
  </r>
  <r>
    <n v="480"/>
    <s v="Ikey"/>
    <s v="Male"/>
    <d v="2000-07-25T00:00:00"/>
    <x v="0"/>
    <n v="24"/>
    <x v="0"/>
    <x v="3"/>
    <x v="56"/>
    <x v="1"/>
    <x v="1"/>
    <x v="1"/>
    <x v="1"/>
    <x v="0"/>
    <x v="1"/>
    <x v="1"/>
    <x v="0"/>
    <x v="151"/>
    <d v="1899-12-30T11:46:00"/>
    <d v="1899-12-30T13:53:00"/>
    <n v="127"/>
    <x v="0"/>
    <x v="0"/>
  </r>
  <r>
    <n v="481"/>
    <s v="Felicdad"/>
    <s v="Female"/>
    <d v="1979-03-26T00:00:00"/>
    <x v="1"/>
    <n v="45"/>
    <x v="1"/>
    <x v="2"/>
    <x v="2"/>
    <x v="1"/>
    <x v="1"/>
    <x v="1"/>
    <x v="1"/>
    <x v="0"/>
    <x v="0"/>
    <x v="1"/>
    <x v="1"/>
    <x v="1"/>
    <d v="1899-12-30T20:40:00"/>
    <d v="1899-12-30T22:28:00"/>
    <n v="108"/>
    <x v="0"/>
    <x v="0"/>
  </r>
  <r>
    <n v="482"/>
    <s v="Edmund"/>
    <s v="Male"/>
    <d v="2005-07-27T00:00:00"/>
    <x v="2"/>
    <n v="19"/>
    <x v="0"/>
    <x v="3"/>
    <x v="53"/>
    <x v="0"/>
    <x v="0"/>
    <x v="0"/>
    <x v="1"/>
    <x v="0"/>
    <x v="0"/>
    <x v="1"/>
    <x v="0"/>
    <x v="20"/>
    <d v="1899-12-30T12:50:00"/>
    <d v="1899-12-30T13:29:00"/>
    <n v="39"/>
    <x v="0"/>
    <x v="0"/>
  </r>
  <r>
    <n v="483"/>
    <s v="Agatha"/>
    <s v="Female"/>
    <d v="1998-03-17T00:00:00"/>
    <x v="0"/>
    <n v="26"/>
    <x v="0"/>
    <x v="1"/>
    <x v="26"/>
    <x v="0"/>
    <x v="0"/>
    <x v="1"/>
    <x v="1"/>
    <x v="1"/>
    <x v="1"/>
    <x v="1"/>
    <x v="0"/>
    <x v="13"/>
    <d v="1899-12-30T18:41:00"/>
    <d v="1899-12-30T19:44:00"/>
    <n v="63"/>
    <x v="1"/>
    <x v="2"/>
  </r>
  <r>
    <n v="484"/>
    <s v="Shurlock"/>
    <s v="Male"/>
    <d v="1996-05-03T00:00:00"/>
    <x v="0"/>
    <n v="28"/>
    <x v="1"/>
    <x v="3"/>
    <x v="47"/>
    <x v="0"/>
    <x v="0"/>
    <x v="1"/>
    <x v="0"/>
    <x v="0"/>
    <x v="0"/>
    <x v="1"/>
    <x v="1"/>
    <x v="1"/>
    <d v="1899-12-30T14:12:00"/>
    <d v="1899-12-30T16:30:00"/>
    <n v="138"/>
    <x v="0"/>
    <x v="0"/>
  </r>
  <r>
    <n v="485"/>
    <s v="Quincey"/>
    <s v="Male"/>
    <d v="1979-03-31T00:00:00"/>
    <x v="1"/>
    <n v="45"/>
    <x v="1"/>
    <x v="2"/>
    <x v="5"/>
    <x v="0"/>
    <x v="1"/>
    <x v="0"/>
    <x v="1"/>
    <x v="0"/>
    <x v="0"/>
    <x v="1"/>
    <x v="0"/>
    <x v="39"/>
    <d v="1899-12-30T18:07:00"/>
    <d v="1899-12-30T21:04:00"/>
    <n v="177"/>
    <x v="0"/>
    <x v="0"/>
  </r>
  <r>
    <n v="486"/>
    <s v="Bret"/>
    <s v="Male"/>
    <d v="1975-09-16T00:00:00"/>
    <x v="1"/>
    <n v="49"/>
    <x v="1"/>
    <x v="1"/>
    <x v="13"/>
    <x v="1"/>
    <x v="0"/>
    <x v="1"/>
    <x v="0"/>
    <x v="0"/>
    <x v="0"/>
    <x v="1"/>
    <x v="0"/>
    <x v="152"/>
    <d v="1899-12-30T17:10:00"/>
    <d v="1899-12-30T18:43:00"/>
    <n v="93"/>
    <x v="1"/>
    <x v="2"/>
  </r>
  <r>
    <n v="487"/>
    <s v="Mariam"/>
    <s v="Female"/>
    <d v="1998-02-22T00:00:00"/>
    <x v="0"/>
    <n v="26"/>
    <x v="1"/>
    <x v="3"/>
    <x v="56"/>
    <x v="1"/>
    <x v="1"/>
    <x v="1"/>
    <x v="1"/>
    <x v="0"/>
    <x v="1"/>
    <x v="1"/>
    <x v="0"/>
    <x v="153"/>
    <d v="1899-12-30T15:44:00"/>
    <d v="1899-12-30T18:44:00"/>
    <n v="180"/>
    <x v="1"/>
    <x v="1"/>
  </r>
  <r>
    <n v="488"/>
    <s v="Hodge"/>
    <s v="Male"/>
    <d v="1981-04-25T00:00:00"/>
    <x v="1"/>
    <n v="43"/>
    <x v="0"/>
    <x v="4"/>
    <x v="25"/>
    <x v="1"/>
    <x v="0"/>
    <x v="1"/>
    <x v="0"/>
    <x v="0"/>
    <x v="1"/>
    <x v="0"/>
    <x v="1"/>
    <x v="1"/>
    <d v="1899-12-30T17:52:00"/>
    <d v="1899-12-30T19:44:00"/>
    <n v="112"/>
    <x v="1"/>
    <x v="2"/>
  </r>
  <r>
    <n v="489"/>
    <s v="Huntley"/>
    <s v="Male"/>
    <d v="1991-10-08T00:00:00"/>
    <x v="3"/>
    <n v="32"/>
    <x v="0"/>
    <x v="3"/>
    <x v="55"/>
    <x v="1"/>
    <x v="0"/>
    <x v="1"/>
    <x v="1"/>
    <x v="0"/>
    <x v="0"/>
    <x v="1"/>
    <x v="1"/>
    <x v="1"/>
    <d v="1899-12-30T12:42:00"/>
    <d v="1899-12-30T15:05:00"/>
    <n v="143"/>
    <x v="1"/>
    <x v="2"/>
  </r>
  <r>
    <n v="490"/>
    <s v="Sheilakathryn"/>
    <s v="Female"/>
    <d v="1996-06-14T00:00:00"/>
    <x v="0"/>
    <n v="28"/>
    <x v="1"/>
    <x v="1"/>
    <x v="67"/>
    <x v="1"/>
    <x v="1"/>
    <x v="1"/>
    <x v="1"/>
    <x v="1"/>
    <x v="1"/>
    <x v="1"/>
    <x v="1"/>
    <x v="1"/>
    <d v="1899-12-30T09:55:00"/>
    <d v="1899-12-30T12:11:00"/>
    <n v="136"/>
    <x v="1"/>
    <x v="1"/>
  </r>
  <r>
    <n v="491"/>
    <s v="Crysta"/>
    <s v="Female"/>
    <d v="1975-07-18T00:00:00"/>
    <x v="1"/>
    <n v="49"/>
    <x v="0"/>
    <x v="2"/>
    <x v="2"/>
    <x v="1"/>
    <x v="1"/>
    <x v="1"/>
    <x v="1"/>
    <x v="0"/>
    <x v="0"/>
    <x v="1"/>
    <x v="0"/>
    <x v="43"/>
    <d v="1899-12-30T08:06:00"/>
    <d v="1899-12-30T08:45:00"/>
    <n v="39"/>
    <x v="1"/>
    <x v="3"/>
  </r>
  <r>
    <n v="492"/>
    <s v="Angel"/>
    <s v="Male"/>
    <d v="2007-11-19T00:00:00"/>
    <x v="2"/>
    <n v="16"/>
    <x v="1"/>
    <x v="3"/>
    <x v="18"/>
    <x v="0"/>
    <x v="1"/>
    <x v="1"/>
    <x v="1"/>
    <x v="1"/>
    <x v="0"/>
    <x v="0"/>
    <x v="1"/>
    <x v="1"/>
    <d v="1899-12-30T11:43:00"/>
    <d v="1899-12-30T14:21:00"/>
    <n v="158"/>
    <x v="0"/>
    <x v="0"/>
  </r>
  <r>
    <n v="493"/>
    <s v="Elka"/>
    <s v="Female"/>
    <d v="1984-11-15T00:00:00"/>
    <x v="3"/>
    <n v="39"/>
    <x v="1"/>
    <x v="3"/>
    <x v="18"/>
    <x v="0"/>
    <x v="1"/>
    <x v="1"/>
    <x v="1"/>
    <x v="1"/>
    <x v="0"/>
    <x v="0"/>
    <x v="0"/>
    <x v="154"/>
    <d v="1899-12-30T15:14:00"/>
    <d v="1899-12-30T17:15:00"/>
    <n v="121"/>
    <x v="0"/>
    <x v="0"/>
  </r>
  <r>
    <n v="494"/>
    <s v="Mil"/>
    <s v="Female"/>
    <d v="2012-07-22T00:00:00"/>
    <x v="2"/>
    <n v="12"/>
    <x v="1"/>
    <x v="1"/>
    <x v="24"/>
    <x v="0"/>
    <x v="0"/>
    <x v="1"/>
    <x v="0"/>
    <x v="0"/>
    <x v="1"/>
    <x v="1"/>
    <x v="0"/>
    <x v="155"/>
    <d v="1899-12-30T11:50:00"/>
    <d v="1899-12-30T13:40:00"/>
    <n v="110"/>
    <x v="0"/>
    <x v="0"/>
  </r>
  <r>
    <n v="495"/>
    <s v="Efren"/>
    <s v="Male"/>
    <d v="1984-03-30T00:00:00"/>
    <x v="3"/>
    <n v="40"/>
    <x v="1"/>
    <x v="1"/>
    <x v="22"/>
    <x v="0"/>
    <x v="0"/>
    <x v="0"/>
    <x v="1"/>
    <x v="1"/>
    <x v="0"/>
    <x v="1"/>
    <x v="1"/>
    <x v="1"/>
    <d v="1899-12-30T08:41:00"/>
    <d v="1899-12-30T09:28:00"/>
    <n v="47"/>
    <x v="0"/>
    <x v="0"/>
  </r>
  <r>
    <n v="496"/>
    <s v="Butch"/>
    <s v="Male"/>
    <d v="1979-12-03T00:00:00"/>
    <x v="1"/>
    <n v="44"/>
    <x v="0"/>
    <x v="2"/>
    <x v="51"/>
    <x v="0"/>
    <x v="1"/>
    <x v="1"/>
    <x v="0"/>
    <x v="0"/>
    <x v="0"/>
    <x v="1"/>
    <x v="1"/>
    <x v="1"/>
    <d v="1899-12-30T15:34:00"/>
    <d v="1899-12-30T18:25:00"/>
    <n v="171"/>
    <x v="1"/>
    <x v="3"/>
  </r>
  <r>
    <n v="497"/>
    <s v="Elbertine"/>
    <s v="Female"/>
    <d v="2012-09-19T00:00:00"/>
    <x v="2"/>
    <n v="12"/>
    <x v="0"/>
    <x v="3"/>
    <x v="17"/>
    <x v="0"/>
    <x v="1"/>
    <x v="1"/>
    <x v="0"/>
    <x v="0"/>
    <x v="0"/>
    <x v="0"/>
    <x v="1"/>
    <x v="1"/>
    <d v="1899-12-30T08:05:00"/>
    <d v="1899-12-30T09:11:00"/>
    <n v="66"/>
    <x v="0"/>
    <x v="0"/>
  </r>
  <r>
    <n v="498"/>
    <s v="Dall"/>
    <s v="Male"/>
    <d v="1981-08-07T00:00:00"/>
    <x v="1"/>
    <n v="43"/>
    <x v="0"/>
    <x v="0"/>
    <x v="105"/>
    <x v="0"/>
    <x v="1"/>
    <x v="1"/>
    <x v="0"/>
    <x v="1"/>
    <x v="1"/>
    <x v="0"/>
    <x v="0"/>
    <x v="156"/>
    <d v="1899-12-30T10:38:00"/>
    <d v="1899-12-30T12:34:00"/>
    <n v="116"/>
    <x v="1"/>
    <x v="3"/>
  </r>
  <r>
    <n v="499"/>
    <s v="Cecilia"/>
    <s v="Female"/>
    <d v="1995-09-22T00:00:00"/>
    <x v="0"/>
    <n v="29"/>
    <x v="0"/>
    <x v="1"/>
    <x v="3"/>
    <x v="0"/>
    <x v="1"/>
    <x v="0"/>
    <x v="1"/>
    <x v="0"/>
    <x v="1"/>
    <x v="0"/>
    <x v="0"/>
    <x v="157"/>
    <d v="1899-12-30T20:43:00"/>
    <d v="1899-12-30T21:18:00"/>
    <n v="35"/>
    <x v="0"/>
    <x v="0"/>
  </r>
  <r>
    <n v="500"/>
    <s v="Esdras"/>
    <s v="Male"/>
    <d v="2005-10-14T00:00:00"/>
    <x v="2"/>
    <n v="18"/>
    <x v="1"/>
    <x v="1"/>
    <x v="8"/>
    <x v="0"/>
    <x v="0"/>
    <x v="0"/>
    <x v="0"/>
    <x v="0"/>
    <x v="0"/>
    <x v="1"/>
    <x v="1"/>
    <x v="1"/>
    <d v="1899-12-30T14:34:00"/>
    <d v="1899-12-30T15:34:00"/>
    <n v="60"/>
    <x v="0"/>
    <x v="0"/>
  </r>
  <r>
    <n v="501"/>
    <s v="Gib"/>
    <s v="Male"/>
    <d v="2005-03-14T00:00:00"/>
    <x v="2"/>
    <n v="19"/>
    <x v="0"/>
    <x v="3"/>
    <x v="53"/>
    <x v="0"/>
    <x v="0"/>
    <x v="0"/>
    <x v="1"/>
    <x v="0"/>
    <x v="0"/>
    <x v="1"/>
    <x v="0"/>
    <x v="158"/>
    <d v="1899-12-30T19:22:00"/>
    <d v="1899-12-30T20:45:00"/>
    <n v="83"/>
    <x v="0"/>
    <x v="0"/>
  </r>
  <r>
    <n v="502"/>
    <s v="Nolly"/>
    <s v="Male"/>
    <d v="2010-11-29T00:00:00"/>
    <x v="2"/>
    <n v="13"/>
    <x v="0"/>
    <x v="2"/>
    <x v="14"/>
    <x v="0"/>
    <x v="1"/>
    <x v="1"/>
    <x v="1"/>
    <x v="0"/>
    <x v="0"/>
    <x v="0"/>
    <x v="1"/>
    <x v="1"/>
    <d v="1899-12-30T16:10:00"/>
    <d v="1899-12-30T18:57:00"/>
    <n v="167"/>
    <x v="0"/>
    <x v="0"/>
  </r>
  <r>
    <n v="503"/>
    <s v="Sib"/>
    <s v="Female"/>
    <d v="2007-10-19T00:00:00"/>
    <x v="2"/>
    <n v="16"/>
    <x v="1"/>
    <x v="1"/>
    <x v="94"/>
    <x v="0"/>
    <x v="1"/>
    <x v="0"/>
    <x v="0"/>
    <x v="0"/>
    <x v="0"/>
    <x v="0"/>
    <x v="1"/>
    <x v="1"/>
    <d v="1899-12-30T15:10:00"/>
    <d v="1899-12-30T17:07:00"/>
    <n v="117"/>
    <x v="1"/>
    <x v="1"/>
  </r>
  <r>
    <n v="504"/>
    <s v="Filia"/>
    <s v="Female"/>
    <d v="2000-12-01T00:00:00"/>
    <x v="0"/>
    <n v="23"/>
    <x v="1"/>
    <x v="1"/>
    <x v="77"/>
    <x v="0"/>
    <x v="1"/>
    <x v="1"/>
    <x v="0"/>
    <x v="0"/>
    <x v="1"/>
    <x v="0"/>
    <x v="0"/>
    <x v="159"/>
    <d v="1899-12-30T12:33:00"/>
    <d v="1899-12-30T15:05:00"/>
    <n v="152"/>
    <x v="0"/>
    <x v="0"/>
  </r>
  <r>
    <n v="505"/>
    <s v="Remus"/>
    <s v="Male"/>
    <d v="1989-05-02T00:00:00"/>
    <x v="3"/>
    <n v="35"/>
    <x v="1"/>
    <x v="2"/>
    <x v="5"/>
    <x v="0"/>
    <x v="1"/>
    <x v="0"/>
    <x v="1"/>
    <x v="0"/>
    <x v="0"/>
    <x v="1"/>
    <x v="1"/>
    <x v="1"/>
    <d v="1899-12-30T16:19:00"/>
    <d v="1899-12-30T17:12:00"/>
    <n v="53"/>
    <x v="0"/>
    <x v="0"/>
  </r>
  <r>
    <n v="506"/>
    <s v="Dasie"/>
    <s v="Female"/>
    <d v="1997-07-09T00:00:00"/>
    <x v="0"/>
    <n v="27"/>
    <x v="0"/>
    <x v="3"/>
    <x v="68"/>
    <x v="0"/>
    <x v="1"/>
    <x v="0"/>
    <x v="0"/>
    <x v="0"/>
    <x v="0"/>
    <x v="1"/>
    <x v="1"/>
    <x v="1"/>
    <d v="1899-12-30T18:28:00"/>
    <d v="1899-12-30T19:33:00"/>
    <n v="65"/>
    <x v="0"/>
    <x v="0"/>
  </r>
  <r>
    <n v="507"/>
    <s v="Anna-diane"/>
    <s v="Female"/>
    <d v="1977-05-24T00:00:00"/>
    <x v="1"/>
    <n v="47"/>
    <x v="0"/>
    <x v="3"/>
    <x v="55"/>
    <x v="1"/>
    <x v="0"/>
    <x v="1"/>
    <x v="1"/>
    <x v="0"/>
    <x v="0"/>
    <x v="1"/>
    <x v="0"/>
    <x v="160"/>
    <d v="1899-12-30T15:09:00"/>
    <d v="1899-12-30T16:45:00"/>
    <n v="96"/>
    <x v="1"/>
    <x v="1"/>
  </r>
  <r>
    <n v="508"/>
    <s v="Josh"/>
    <s v="Male"/>
    <d v="1979-09-18T00:00:00"/>
    <x v="1"/>
    <n v="45"/>
    <x v="1"/>
    <x v="2"/>
    <x v="14"/>
    <x v="0"/>
    <x v="1"/>
    <x v="1"/>
    <x v="1"/>
    <x v="0"/>
    <x v="0"/>
    <x v="0"/>
    <x v="1"/>
    <x v="1"/>
    <d v="1899-12-30T19:23:00"/>
    <d v="1899-12-30T21:15:00"/>
    <n v="112"/>
    <x v="1"/>
    <x v="3"/>
  </r>
  <r>
    <n v="509"/>
    <s v="Joly"/>
    <s v="Female"/>
    <d v="1997-03-21T00:00:00"/>
    <x v="0"/>
    <n v="27"/>
    <x v="0"/>
    <x v="2"/>
    <x v="21"/>
    <x v="0"/>
    <x v="1"/>
    <x v="1"/>
    <x v="1"/>
    <x v="0"/>
    <x v="1"/>
    <x v="1"/>
    <x v="1"/>
    <x v="1"/>
    <d v="1899-12-30T14:17:00"/>
    <d v="1899-12-30T15:27:00"/>
    <n v="70"/>
    <x v="0"/>
    <x v="0"/>
  </r>
  <r>
    <n v="510"/>
    <s v="Minor"/>
    <s v="Male"/>
    <d v="2005-03-23T00:00:00"/>
    <x v="2"/>
    <n v="19"/>
    <x v="1"/>
    <x v="1"/>
    <x v="62"/>
    <x v="0"/>
    <x v="1"/>
    <x v="0"/>
    <x v="0"/>
    <x v="1"/>
    <x v="0"/>
    <x v="1"/>
    <x v="0"/>
    <x v="161"/>
    <d v="1899-12-30T12:56:00"/>
    <d v="1899-12-30T14:02:00"/>
    <n v="66"/>
    <x v="1"/>
    <x v="3"/>
  </r>
  <r>
    <n v="511"/>
    <s v="Finley"/>
    <s v="Male"/>
    <d v="1988-01-16T00:00:00"/>
    <x v="3"/>
    <n v="36"/>
    <x v="1"/>
    <x v="2"/>
    <x v="9"/>
    <x v="0"/>
    <x v="0"/>
    <x v="1"/>
    <x v="1"/>
    <x v="0"/>
    <x v="0"/>
    <x v="1"/>
    <x v="0"/>
    <x v="19"/>
    <d v="1899-12-30T11:56:00"/>
    <d v="1899-12-30T14:34:00"/>
    <n v="158"/>
    <x v="1"/>
    <x v="2"/>
  </r>
  <r>
    <n v="512"/>
    <s v="Jarred"/>
    <s v="Male"/>
    <d v="2000-12-23T00:00:00"/>
    <x v="0"/>
    <n v="23"/>
    <x v="1"/>
    <x v="1"/>
    <x v="8"/>
    <x v="0"/>
    <x v="0"/>
    <x v="0"/>
    <x v="0"/>
    <x v="0"/>
    <x v="0"/>
    <x v="1"/>
    <x v="0"/>
    <x v="136"/>
    <d v="1899-12-30T19:02:00"/>
    <d v="1899-12-30T21:29:00"/>
    <n v="147"/>
    <x v="0"/>
    <x v="0"/>
  </r>
  <r>
    <n v="513"/>
    <s v="Kermy"/>
    <s v="Male"/>
    <d v="1999-05-03T00:00:00"/>
    <x v="0"/>
    <n v="25"/>
    <x v="0"/>
    <x v="2"/>
    <x v="9"/>
    <x v="0"/>
    <x v="0"/>
    <x v="1"/>
    <x v="1"/>
    <x v="0"/>
    <x v="0"/>
    <x v="1"/>
    <x v="0"/>
    <x v="117"/>
    <d v="1899-12-30T14:30:00"/>
    <d v="1899-12-30T15:32:00"/>
    <n v="62"/>
    <x v="1"/>
    <x v="4"/>
  </r>
  <r>
    <n v="514"/>
    <s v="Darcee"/>
    <s v="Female"/>
    <d v="2001-05-13T00:00:00"/>
    <x v="0"/>
    <n v="23"/>
    <x v="1"/>
    <x v="1"/>
    <x v="75"/>
    <x v="0"/>
    <x v="1"/>
    <x v="0"/>
    <x v="1"/>
    <x v="1"/>
    <x v="0"/>
    <x v="0"/>
    <x v="0"/>
    <x v="94"/>
    <d v="1899-12-30T12:43:00"/>
    <d v="1899-12-30T14:11:00"/>
    <n v="88"/>
    <x v="0"/>
    <x v="0"/>
  </r>
  <r>
    <n v="515"/>
    <s v="Laney"/>
    <s v="Female"/>
    <d v="2002-10-23T00:00:00"/>
    <x v="0"/>
    <n v="21"/>
    <x v="1"/>
    <x v="2"/>
    <x v="21"/>
    <x v="0"/>
    <x v="1"/>
    <x v="1"/>
    <x v="1"/>
    <x v="0"/>
    <x v="1"/>
    <x v="1"/>
    <x v="1"/>
    <x v="1"/>
    <d v="1899-12-30T08:29:00"/>
    <d v="1899-12-30T10:46:00"/>
    <n v="137"/>
    <x v="0"/>
    <x v="0"/>
  </r>
  <r>
    <n v="516"/>
    <s v="Corella"/>
    <s v="Female"/>
    <d v="1975-10-30T00:00:00"/>
    <x v="1"/>
    <n v="48"/>
    <x v="0"/>
    <x v="2"/>
    <x v="2"/>
    <x v="1"/>
    <x v="1"/>
    <x v="1"/>
    <x v="1"/>
    <x v="0"/>
    <x v="0"/>
    <x v="1"/>
    <x v="0"/>
    <x v="162"/>
    <d v="1899-12-30T14:44:00"/>
    <d v="1899-12-30T15:19:00"/>
    <n v="35"/>
    <x v="1"/>
    <x v="1"/>
  </r>
  <r>
    <n v="517"/>
    <s v="Alec"/>
    <s v="Male"/>
    <d v="1998-06-19T00:00:00"/>
    <x v="0"/>
    <n v="26"/>
    <x v="1"/>
    <x v="0"/>
    <x v="86"/>
    <x v="1"/>
    <x v="0"/>
    <x v="1"/>
    <x v="1"/>
    <x v="0"/>
    <x v="1"/>
    <x v="0"/>
    <x v="1"/>
    <x v="1"/>
    <d v="1899-12-30T08:44:00"/>
    <d v="1899-12-30T09:58:00"/>
    <n v="74"/>
    <x v="0"/>
    <x v="0"/>
  </r>
  <r>
    <n v="518"/>
    <s v="Torey"/>
    <s v="Male"/>
    <d v="2007-06-28T00:00:00"/>
    <x v="2"/>
    <n v="17"/>
    <x v="1"/>
    <x v="3"/>
    <x v="52"/>
    <x v="0"/>
    <x v="1"/>
    <x v="1"/>
    <x v="0"/>
    <x v="1"/>
    <x v="0"/>
    <x v="1"/>
    <x v="0"/>
    <x v="163"/>
    <d v="1899-12-30T08:24:00"/>
    <d v="1899-12-30T09:41:00"/>
    <n v="77"/>
    <x v="0"/>
    <x v="0"/>
  </r>
  <r>
    <n v="519"/>
    <s v="Hollis"/>
    <s v="Male"/>
    <d v="2010-11-26T00:00:00"/>
    <x v="2"/>
    <n v="13"/>
    <x v="1"/>
    <x v="3"/>
    <x v="68"/>
    <x v="0"/>
    <x v="1"/>
    <x v="0"/>
    <x v="0"/>
    <x v="0"/>
    <x v="0"/>
    <x v="1"/>
    <x v="0"/>
    <x v="164"/>
    <d v="1899-12-30T10:34:00"/>
    <d v="1899-12-30T13:30:00"/>
    <n v="176"/>
    <x v="0"/>
    <x v="0"/>
  </r>
  <r>
    <n v="520"/>
    <s v="Jo-anne"/>
    <s v="Female"/>
    <d v="1991-09-12T00:00:00"/>
    <x v="3"/>
    <n v="33"/>
    <x v="1"/>
    <x v="1"/>
    <x v="42"/>
    <x v="0"/>
    <x v="0"/>
    <x v="1"/>
    <x v="0"/>
    <x v="0"/>
    <x v="0"/>
    <x v="0"/>
    <x v="1"/>
    <x v="1"/>
    <d v="1899-12-30T19:30:00"/>
    <d v="1899-12-30T22:15:00"/>
    <n v="165"/>
    <x v="0"/>
    <x v="0"/>
  </r>
  <r>
    <n v="521"/>
    <s v="Mikaela"/>
    <s v="Female"/>
    <d v="1993-03-01T00:00:00"/>
    <x v="3"/>
    <n v="31"/>
    <x v="0"/>
    <x v="0"/>
    <x v="106"/>
    <x v="1"/>
    <x v="0"/>
    <x v="0"/>
    <x v="1"/>
    <x v="0"/>
    <x v="1"/>
    <x v="1"/>
    <x v="1"/>
    <x v="1"/>
    <d v="1899-12-30T20:33:00"/>
    <d v="1899-12-30T22:09:00"/>
    <n v="96"/>
    <x v="0"/>
    <x v="0"/>
  </r>
  <r>
    <n v="522"/>
    <s v="Calypso"/>
    <s v="Female"/>
    <d v="2000-03-03T00:00:00"/>
    <x v="0"/>
    <n v="24"/>
    <x v="1"/>
    <x v="3"/>
    <x v="96"/>
    <x v="0"/>
    <x v="1"/>
    <x v="0"/>
    <x v="1"/>
    <x v="0"/>
    <x v="0"/>
    <x v="0"/>
    <x v="0"/>
    <x v="94"/>
    <d v="1899-12-30T20:25:00"/>
    <d v="1899-12-30T22:20:00"/>
    <n v="115"/>
    <x v="0"/>
    <x v="0"/>
  </r>
  <r>
    <n v="523"/>
    <s v="Klarika"/>
    <s v="Female"/>
    <d v="1994-01-12T00:00:00"/>
    <x v="0"/>
    <n v="30"/>
    <x v="0"/>
    <x v="2"/>
    <x v="21"/>
    <x v="0"/>
    <x v="1"/>
    <x v="1"/>
    <x v="1"/>
    <x v="0"/>
    <x v="1"/>
    <x v="1"/>
    <x v="1"/>
    <x v="1"/>
    <d v="1899-12-30T17:59:00"/>
    <d v="1899-12-30T19:38:00"/>
    <n v="99"/>
    <x v="1"/>
    <x v="1"/>
  </r>
  <r>
    <n v="524"/>
    <s v="Sofie"/>
    <s v="Female"/>
    <d v="2009-07-17T00:00:00"/>
    <x v="2"/>
    <n v="15"/>
    <x v="1"/>
    <x v="3"/>
    <x v="18"/>
    <x v="0"/>
    <x v="1"/>
    <x v="1"/>
    <x v="1"/>
    <x v="1"/>
    <x v="0"/>
    <x v="0"/>
    <x v="0"/>
    <x v="19"/>
    <d v="1899-12-30T14:20:00"/>
    <d v="1899-12-30T14:54:00"/>
    <n v="34"/>
    <x v="0"/>
    <x v="0"/>
  </r>
  <r>
    <n v="525"/>
    <s v="Charisse"/>
    <s v="Female"/>
    <d v="1997-04-07T00:00:00"/>
    <x v="0"/>
    <n v="27"/>
    <x v="0"/>
    <x v="4"/>
    <x v="43"/>
    <x v="1"/>
    <x v="1"/>
    <x v="0"/>
    <x v="0"/>
    <x v="1"/>
    <x v="0"/>
    <x v="0"/>
    <x v="1"/>
    <x v="1"/>
    <d v="1899-12-30T18:22:00"/>
    <d v="1899-12-30T18:58:00"/>
    <n v="36"/>
    <x v="0"/>
    <x v="0"/>
  </r>
  <r>
    <n v="526"/>
    <s v="Tailor"/>
    <s v="Male"/>
    <d v="2008-01-07T00:00:00"/>
    <x v="2"/>
    <n v="16"/>
    <x v="1"/>
    <x v="0"/>
    <x v="60"/>
    <x v="0"/>
    <x v="0"/>
    <x v="1"/>
    <x v="0"/>
    <x v="1"/>
    <x v="0"/>
    <x v="0"/>
    <x v="0"/>
    <x v="34"/>
    <d v="1899-12-30T13:43:00"/>
    <d v="1899-12-30T15:48:00"/>
    <n v="125"/>
    <x v="1"/>
    <x v="2"/>
  </r>
  <r>
    <n v="527"/>
    <s v="Flora"/>
    <s v="Female"/>
    <d v="1990-08-20T00:00:00"/>
    <x v="3"/>
    <n v="34"/>
    <x v="0"/>
    <x v="1"/>
    <x v="38"/>
    <x v="1"/>
    <x v="1"/>
    <x v="1"/>
    <x v="0"/>
    <x v="0"/>
    <x v="1"/>
    <x v="1"/>
    <x v="1"/>
    <x v="1"/>
    <d v="1899-12-30T11:15:00"/>
    <d v="1899-12-30T12:14:00"/>
    <n v="59"/>
    <x v="1"/>
    <x v="1"/>
  </r>
  <r>
    <n v="528"/>
    <s v="Yetty"/>
    <s v="Female"/>
    <d v="1998-07-30T00:00:00"/>
    <x v="0"/>
    <n v="26"/>
    <x v="1"/>
    <x v="1"/>
    <x v="16"/>
    <x v="1"/>
    <x v="1"/>
    <x v="1"/>
    <x v="0"/>
    <x v="1"/>
    <x v="0"/>
    <x v="1"/>
    <x v="0"/>
    <x v="13"/>
    <d v="1899-12-30T08:27:00"/>
    <d v="1899-12-30T10:46:00"/>
    <n v="139"/>
    <x v="0"/>
    <x v="0"/>
  </r>
  <r>
    <n v="529"/>
    <s v="Errol"/>
    <s v="Male"/>
    <d v="2004-09-13T00:00:00"/>
    <x v="0"/>
    <n v="20"/>
    <x v="0"/>
    <x v="3"/>
    <x v="47"/>
    <x v="0"/>
    <x v="0"/>
    <x v="1"/>
    <x v="0"/>
    <x v="0"/>
    <x v="0"/>
    <x v="1"/>
    <x v="1"/>
    <x v="1"/>
    <d v="1899-12-30T08:50:00"/>
    <d v="1899-12-30T10:35:00"/>
    <n v="105"/>
    <x v="0"/>
    <x v="0"/>
  </r>
  <r>
    <n v="530"/>
    <s v="Sandy"/>
    <s v="Female"/>
    <d v="1979-04-17T00:00:00"/>
    <x v="1"/>
    <n v="45"/>
    <x v="0"/>
    <x v="1"/>
    <x v="45"/>
    <x v="0"/>
    <x v="1"/>
    <x v="1"/>
    <x v="1"/>
    <x v="1"/>
    <x v="1"/>
    <x v="0"/>
    <x v="0"/>
    <x v="165"/>
    <d v="1899-12-30T19:59:00"/>
    <d v="1899-12-30T20:43:00"/>
    <n v="44"/>
    <x v="0"/>
    <x v="0"/>
  </r>
  <r>
    <n v="531"/>
    <s v="Zacharie"/>
    <s v="Male"/>
    <d v="1993-06-10T00:00:00"/>
    <x v="3"/>
    <n v="31"/>
    <x v="0"/>
    <x v="3"/>
    <x v="7"/>
    <x v="1"/>
    <x v="1"/>
    <x v="1"/>
    <x v="1"/>
    <x v="0"/>
    <x v="0"/>
    <x v="0"/>
    <x v="0"/>
    <x v="166"/>
    <d v="1899-12-30T14:51:00"/>
    <d v="1899-12-30T15:46:00"/>
    <n v="55"/>
    <x v="1"/>
    <x v="2"/>
  </r>
  <r>
    <n v="532"/>
    <s v="Skell"/>
    <s v="Male"/>
    <d v="1976-09-28T00:00:00"/>
    <x v="1"/>
    <n v="48"/>
    <x v="0"/>
    <x v="0"/>
    <x v="79"/>
    <x v="0"/>
    <x v="0"/>
    <x v="0"/>
    <x v="1"/>
    <x v="0"/>
    <x v="1"/>
    <x v="0"/>
    <x v="0"/>
    <x v="167"/>
    <d v="1899-12-30T16:04:00"/>
    <d v="1899-12-30T16:43:00"/>
    <n v="39"/>
    <x v="1"/>
    <x v="1"/>
  </r>
  <r>
    <n v="533"/>
    <s v="Cyndie"/>
    <s v="Female"/>
    <d v="1985-08-29T00:00:00"/>
    <x v="3"/>
    <n v="39"/>
    <x v="0"/>
    <x v="0"/>
    <x v="107"/>
    <x v="0"/>
    <x v="0"/>
    <x v="1"/>
    <x v="0"/>
    <x v="0"/>
    <x v="1"/>
    <x v="0"/>
    <x v="1"/>
    <x v="1"/>
    <d v="1899-12-30T18:58:00"/>
    <d v="1899-12-30T21:37:00"/>
    <n v="159"/>
    <x v="0"/>
    <x v="0"/>
  </r>
  <r>
    <n v="534"/>
    <s v="Rabbi"/>
    <s v="Male"/>
    <d v="1996-01-31T00:00:00"/>
    <x v="0"/>
    <n v="28"/>
    <x v="1"/>
    <x v="4"/>
    <x v="108"/>
    <x v="1"/>
    <x v="1"/>
    <x v="0"/>
    <x v="0"/>
    <x v="0"/>
    <x v="1"/>
    <x v="0"/>
    <x v="1"/>
    <x v="1"/>
    <d v="1899-12-30T14:53:00"/>
    <d v="1899-12-30T17:41:00"/>
    <n v="168"/>
    <x v="0"/>
    <x v="0"/>
  </r>
  <r>
    <n v="535"/>
    <s v="Enos"/>
    <s v="Male"/>
    <d v="2006-09-25T00:00:00"/>
    <x v="2"/>
    <n v="18"/>
    <x v="0"/>
    <x v="1"/>
    <x v="64"/>
    <x v="0"/>
    <x v="1"/>
    <x v="0"/>
    <x v="0"/>
    <x v="0"/>
    <x v="1"/>
    <x v="1"/>
    <x v="0"/>
    <x v="25"/>
    <d v="1899-12-30T17:46:00"/>
    <d v="1899-12-30T19:22:00"/>
    <n v="96"/>
    <x v="1"/>
    <x v="3"/>
  </r>
  <r>
    <n v="536"/>
    <s v="Giselbert"/>
    <s v="Male"/>
    <d v="1988-03-25T00:00:00"/>
    <x v="3"/>
    <n v="36"/>
    <x v="0"/>
    <x v="1"/>
    <x v="26"/>
    <x v="0"/>
    <x v="0"/>
    <x v="1"/>
    <x v="1"/>
    <x v="1"/>
    <x v="1"/>
    <x v="1"/>
    <x v="1"/>
    <x v="1"/>
    <d v="1899-12-30T16:05:00"/>
    <d v="1899-12-30T16:43:00"/>
    <n v="38"/>
    <x v="0"/>
    <x v="0"/>
  </r>
  <r>
    <n v="537"/>
    <s v="Jane"/>
    <s v="Female"/>
    <d v="1997-12-18T00:00:00"/>
    <x v="0"/>
    <n v="26"/>
    <x v="1"/>
    <x v="1"/>
    <x v="45"/>
    <x v="0"/>
    <x v="1"/>
    <x v="1"/>
    <x v="1"/>
    <x v="1"/>
    <x v="1"/>
    <x v="0"/>
    <x v="0"/>
    <x v="168"/>
    <d v="1899-12-30T10:22:00"/>
    <d v="1899-12-30T11:11:00"/>
    <n v="49"/>
    <x v="1"/>
    <x v="1"/>
  </r>
  <r>
    <n v="538"/>
    <s v="Jethro"/>
    <s v="Male"/>
    <d v="1980-06-26T00:00:00"/>
    <x v="1"/>
    <n v="44"/>
    <x v="0"/>
    <x v="3"/>
    <x v="91"/>
    <x v="0"/>
    <x v="1"/>
    <x v="1"/>
    <x v="1"/>
    <x v="1"/>
    <x v="1"/>
    <x v="1"/>
    <x v="1"/>
    <x v="1"/>
    <d v="1899-12-30T08:10:00"/>
    <d v="1899-12-30T10:42:00"/>
    <n v="152"/>
    <x v="1"/>
    <x v="3"/>
  </r>
  <r>
    <n v="539"/>
    <s v="Dru"/>
    <s v="Male"/>
    <d v="2012-08-18T00:00:00"/>
    <x v="2"/>
    <n v="12"/>
    <x v="0"/>
    <x v="2"/>
    <x v="21"/>
    <x v="0"/>
    <x v="1"/>
    <x v="1"/>
    <x v="1"/>
    <x v="0"/>
    <x v="1"/>
    <x v="1"/>
    <x v="0"/>
    <x v="169"/>
    <d v="1899-12-30T17:08:00"/>
    <d v="1899-12-30T17:40:00"/>
    <n v="32"/>
    <x v="0"/>
    <x v="0"/>
  </r>
  <r>
    <n v="540"/>
    <s v="Ermanno"/>
    <s v="Male"/>
    <d v="2000-02-12T00:00:00"/>
    <x v="0"/>
    <n v="24"/>
    <x v="1"/>
    <x v="2"/>
    <x v="9"/>
    <x v="0"/>
    <x v="0"/>
    <x v="1"/>
    <x v="1"/>
    <x v="0"/>
    <x v="0"/>
    <x v="1"/>
    <x v="0"/>
    <x v="39"/>
    <d v="1899-12-30T08:58:00"/>
    <d v="1899-12-30T10:09:00"/>
    <n v="71"/>
    <x v="1"/>
    <x v="4"/>
  </r>
  <r>
    <n v="541"/>
    <s v="Solomon"/>
    <s v="Male"/>
    <d v="1976-09-04T00:00:00"/>
    <x v="1"/>
    <n v="48"/>
    <x v="0"/>
    <x v="3"/>
    <x v="53"/>
    <x v="0"/>
    <x v="0"/>
    <x v="0"/>
    <x v="1"/>
    <x v="0"/>
    <x v="0"/>
    <x v="1"/>
    <x v="1"/>
    <x v="1"/>
    <d v="1899-12-30T16:59:00"/>
    <d v="1899-12-30T17:48:00"/>
    <n v="49"/>
    <x v="0"/>
    <x v="0"/>
  </r>
  <r>
    <n v="542"/>
    <s v="Cicily"/>
    <s v="Female"/>
    <d v="2011-10-11T00:00:00"/>
    <x v="2"/>
    <n v="12"/>
    <x v="0"/>
    <x v="2"/>
    <x v="5"/>
    <x v="0"/>
    <x v="1"/>
    <x v="0"/>
    <x v="1"/>
    <x v="0"/>
    <x v="0"/>
    <x v="1"/>
    <x v="0"/>
    <x v="19"/>
    <d v="1899-12-30T11:55:00"/>
    <d v="1899-12-30T14:42:00"/>
    <n v="167"/>
    <x v="0"/>
    <x v="0"/>
  </r>
  <r>
    <n v="543"/>
    <s v="Perle"/>
    <s v="Female"/>
    <d v="1995-08-03T00:00:00"/>
    <x v="0"/>
    <n v="29"/>
    <x v="1"/>
    <x v="3"/>
    <x v="7"/>
    <x v="1"/>
    <x v="1"/>
    <x v="1"/>
    <x v="1"/>
    <x v="0"/>
    <x v="0"/>
    <x v="0"/>
    <x v="1"/>
    <x v="1"/>
    <d v="1899-12-30T14:45:00"/>
    <d v="1899-12-30T15:42:00"/>
    <n v="57"/>
    <x v="1"/>
    <x v="3"/>
  </r>
  <r>
    <n v="544"/>
    <s v="Bianca"/>
    <s v="Female"/>
    <d v="2012-09-21T00:00:00"/>
    <x v="2"/>
    <n v="12"/>
    <x v="0"/>
    <x v="3"/>
    <x v="57"/>
    <x v="0"/>
    <x v="0"/>
    <x v="1"/>
    <x v="1"/>
    <x v="0"/>
    <x v="1"/>
    <x v="1"/>
    <x v="0"/>
    <x v="112"/>
    <d v="1899-12-30T09:49:00"/>
    <d v="1899-12-30T10:36:00"/>
    <n v="47"/>
    <x v="1"/>
    <x v="4"/>
  </r>
  <r>
    <n v="545"/>
    <s v="Ddene"/>
    <s v="Female"/>
    <d v="1987-06-02T00:00:00"/>
    <x v="3"/>
    <n v="37"/>
    <x v="0"/>
    <x v="2"/>
    <x v="5"/>
    <x v="0"/>
    <x v="1"/>
    <x v="0"/>
    <x v="1"/>
    <x v="0"/>
    <x v="0"/>
    <x v="1"/>
    <x v="0"/>
    <x v="13"/>
    <d v="1899-12-30T15:26:00"/>
    <d v="1899-12-30T18:01:00"/>
    <n v="155"/>
    <x v="0"/>
    <x v="0"/>
  </r>
  <r>
    <n v="546"/>
    <s v="Agnesse"/>
    <s v="Female"/>
    <d v="2003-11-04T00:00:00"/>
    <x v="0"/>
    <n v="20"/>
    <x v="1"/>
    <x v="2"/>
    <x v="51"/>
    <x v="0"/>
    <x v="1"/>
    <x v="1"/>
    <x v="0"/>
    <x v="0"/>
    <x v="0"/>
    <x v="1"/>
    <x v="1"/>
    <x v="1"/>
    <d v="1899-12-30T08:55:00"/>
    <d v="1899-12-30T09:55:00"/>
    <n v="60"/>
    <x v="1"/>
    <x v="4"/>
  </r>
  <r>
    <n v="547"/>
    <s v="Papageno"/>
    <s v="Male"/>
    <d v="2002-09-08T00:00:00"/>
    <x v="0"/>
    <n v="22"/>
    <x v="1"/>
    <x v="3"/>
    <x v="27"/>
    <x v="0"/>
    <x v="1"/>
    <x v="1"/>
    <x v="1"/>
    <x v="0"/>
    <x v="1"/>
    <x v="0"/>
    <x v="1"/>
    <x v="1"/>
    <d v="1899-12-30T16:19:00"/>
    <d v="1899-12-30T19:01:00"/>
    <n v="162"/>
    <x v="0"/>
    <x v="0"/>
  </r>
  <r>
    <n v="548"/>
    <s v="Alvina"/>
    <s v="Female"/>
    <d v="2011-05-04T00:00:00"/>
    <x v="2"/>
    <n v="13"/>
    <x v="1"/>
    <x v="3"/>
    <x v="47"/>
    <x v="0"/>
    <x v="0"/>
    <x v="1"/>
    <x v="0"/>
    <x v="0"/>
    <x v="0"/>
    <x v="1"/>
    <x v="0"/>
    <x v="170"/>
    <d v="1899-12-30T16:36:00"/>
    <d v="1899-12-30T18:18:00"/>
    <n v="102"/>
    <x v="0"/>
    <x v="0"/>
  </r>
  <r>
    <n v="549"/>
    <s v="Sebastiano"/>
    <s v="Male"/>
    <d v="1989-07-31T00:00:00"/>
    <x v="3"/>
    <n v="35"/>
    <x v="0"/>
    <x v="2"/>
    <x v="9"/>
    <x v="0"/>
    <x v="0"/>
    <x v="1"/>
    <x v="1"/>
    <x v="0"/>
    <x v="0"/>
    <x v="1"/>
    <x v="0"/>
    <x v="171"/>
    <d v="1899-12-30T16:27:00"/>
    <d v="1899-12-30T17:50:00"/>
    <n v="83"/>
    <x v="1"/>
    <x v="3"/>
  </r>
  <r>
    <n v="550"/>
    <s v="Charyl"/>
    <s v="Female"/>
    <d v="2006-08-31T00:00:00"/>
    <x v="2"/>
    <n v="18"/>
    <x v="0"/>
    <x v="2"/>
    <x v="21"/>
    <x v="0"/>
    <x v="1"/>
    <x v="1"/>
    <x v="1"/>
    <x v="0"/>
    <x v="1"/>
    <x v="1"/>
    <x v="1"/>
    <x v="1"/>
    <d v="1899-12-30T18:01:00"/>
    <d v="1899-12-30T19:25:00"/>
    <n v="84"/>
    <x v="1"/>
    <x v="3"/>
  </r>
  <r>
    <n v="551"/>
    <s v="Manda"/>
    <s v="Female"/>
    <d v="1988-09-21T00:00:00"/>
    <x v="3"/>
    <n v="36"/>
    <x v="1"/>
    <x v="3"/>
    <x v="47"/>
    <x v="0"/>
    <x v="0"/>
    <x v="1"/>
    <x v="0"/>
    <x v="0"/>
    <x v="0"/>
    <x v="1"/>
    <x v="1"/>
    <x v="1"/>
    <d v="1899-12-30T15:38:00"/>
    <d v="1899-12-30T16:42:00"/>
    <n v="64"/>
    <x v="1"/>
    <x v="2"/>
  </r>
  <r>
    <n v="552"/>
    <s v="Bernetta"/>
    <s v="Female"/>
    <d v="1986-11-05T00:00:00"/>
    <x v="3"/>
    <n v="37"/>
    <x v="1"/>
    <x v="2"/>
    <x v="2"/>
    <x v="1"/>
    <x v="1"/>
    <x v="1"/>
    <x v="1"/>
    <x v="0"/>
    <x v="0"/>
    <x v="1"/>
    <x v="0"/>
    <x v="172"/>
    <d v="1899-12-30T15:55:00"/>
    <d v="1899-12-30T17:06:00"/>
    <n v="71"/>
    <x v="0"/>
    <x v="0"/>
  </r>
  <r>
    <n v="553"/>
    <s v="Consalve"/>
    <s v="Male"/>
    <d v="1986-12-14T00:00:00"/>
    <x v="3"/>
    <n v="37"/>
    <x v="1"/>
    <x v="1"/>
    <x v="44"/>
    <x v="0"/>
    <x v="0"/>
    <x v="1"/>
    <x v="1"/>
    <x v="1"/>
    <x v="0"/>
    <x v="0"/>
    <x v="0"/>
    <x v="173"/>
    <d v="1899-12-30T18:23:00"/>
    <d v="1899-12-30T20:10:00"/>
    <n v="107"/>
    <x v="0"/>
    <x v="0"/>
  </r>
  <r>
    <n v="554"/>
    <s v="Kit"/>
    <s v="Female"/>
    <d v="1978-01-19T00:00:00"/>
    <x v="1"/>
    <n v="46"/>
    <x v="0"/>
    <x v="1"/>
    <x v="63"/>
    <x v="1"/>
    <x v="1"/>
    <x v="0"/>
    <x v="1"/>
    <x v="0"/>
    <x v="1"/>
    <x v="1"/>
    <x v="0"/>
    <x v="174"/>
    <d v="1899-12-30T18:15:00"/>
    <d v="1899-12-30T19:07:00"/>
    <n v="52"/>
    <x v="1"/>
    <x v="3"/>
  </r>
  <r>
    <n v="555"/>
    <s v="Garner"/>
    <s v="Male"/>
    <d v="1985-05-27T00:00:00"/>
    <x v="3"/>
    <n v="39"/>
    <x v="0"/>
    <x v="0"/>
    <x v="106"/>
    <x v="1"/>
    <x v="0"/>
    <x v="0"/>
    <x v="1"/>
    <x v="0"/>
    <x v="1"/>
    <x v="1"/>
    <x v="0"/>
    <x v="6"/>
    <d v="1899-12-30T19:22:00"/>
    <d v="1899-12-30T20:59:00"/>
    <n v="97"/>
    <x v="0"/>
    <x v="0"/>
  </r>
  <r>
    <n v="556"/>
    <s v="Audra"/>
    <s v="Female"/>
    <d v="1985-04-20T00:00:00"/>
    <x v="3"/>
    <n v="39"/>
    <x v="1"/>
    <x v="3"/>
    <x v="18"/>
    <x v="0"/>
    <x v="1"/>
    <x v="1"/>
    <x v="1"/>
    <x v="1"/>
    <x v="0"/>
    <x v="0"/>
    <x v="1"/>
    <x v="1"/>
    <d v="1899-12-30T10:32:00"/>
    <d v="1899-12-30T11:50:00"/>
    <n v="78"/>
    <x v="0"/>
    <x v="0"/>
  </r>
  <r>
    <n v="557"/>
    <s v="Hatti"/>
    <s v="Female"/>
    <d v="1987-03-26T00:00:00"/>
    <x v="3"/>
    <n v="37"/>
    <x v="1"/>
    <x v="2"/>
    <x v="10"/>
    <x v="0"/>
    <x v="1"/>
    <x v="1"/>
    <x v="1"/>
    <x v="1"/>
    <x v="0"/>
    <x v="1"/>
    <x v="0"/>
    <x v="175"/>
    <d v="1899-12-30T10:36:00"/>
    <d v="1899-12-30T11:30:00"/>
    <n v="54"/>
    <x v="0"/>
    <x v="0"/>
  </r>
  <r>
    <n v="558"/>
    <s v="Theodoric"/>
    <s v="Male"/>
    <d v="1975-11-26T00:00:00"/>
    <x v="1"/>
    <n v="48"/>
    <x v="1"/>
    <x v="1"/>
    <x v="1"/>
    <x v="1"/>
    <x v="1"/>
    <x v="1"/>
    <x v="1"/>
    <x v="0"/>
    <x v="1"/>
    <x v="0"/>
    <x v="1"/>
    <x v="1"/>
    <d v="1899-12-30T15:32:00"/>
    <d v="1899-12-30T16:21:00"/>
    <n v="49"/>
    <x v="1"/>
    <x v="4"/>
  </r>
  <r>
    <n v="559"/>
    <s v="Bride"/>
    <s v="Female"/>
    <d v="1978-08-08T00:00:00"/>
    <x v="1"/>
    <n v="46"/>
    <x v="0"/>
    <x v="3"/>
    <x v="7"/>
    <x v="1"/>
    <x v="1"/>
    <x v="1"/>
    <x v="1"/>
    <x v="0"/>
    <x v="0"/>
    <x v="0"/>
    <x v="1"/>
    <x v="1"/>
    <d v="1899-12-30T17:54:00"/>
    <d v="1899-12-30T19:43:00"/>
    <n v="109"/>
    <x v="0"/>
    <x v="0"/>
  </r>
  <r>
    <n v="560"/>
    <s v="Marietta"/>
    <s v="Female"/>
    <d v="1979-07-13T00:00:00"/>
    <x v="1"/>
    <n v="45"/>
    <x v="1"/>
    <x v="3"/>
    <x v="52"/>
    <x v="0"/>
    <x v="1"/>
    <x v="1"/>
    <x v="0"/>
    <x v="1"/>
    <x v="0"/>
    <x v="1"/>
    <x v="1"/>
    <x v="1"/>
    <d v="1899-12-30T15:36:00"/>
    <d v="1899-12-30T17:50:00"/>
    <n v="134"/>
    <x v="1"/>
    <x v="4"/>
  </r>
  <r>
    <n v="561"/>
    <s v="Monique"/>
    <s v="Female"/>
    <d v="1981-09-23T00:00:00"/>
    <x v="1"/>
    <n v="43"/>
    <x v="0"/>
    <x v="4"/>
    <x v="80"/>
    <x v="0"/>
    <x v="0"/>
    <x v="0"/>
    <x v="1"/>
    <x v="1"/>
    <x v="1"/>
    <x v="0"/>
    <x v="0"/>
    <x v="176"/>
    <d v="1899-12-30T13:20:00"/>
    <d v="1899-12-30T14:50:00"/>
    <n v="90"/>
    <x v="0"/>
    <x v="0"/>
  </r>
  <r>
    <n v="562"/>
    <s v="Gerladina"/>
    <s v="Female"/>
    <d v="1986-10-09T00:00:00"/>
    <x v="3"/>
    <n v="37"/>
    <x v="1"/>
    <x v="2"/>
    <x v="14"/>
    <x v="0"/>
    <x v="1"/>
    <x v="1"/>
    <x v="1"/>
    <x v="0"/>
    <x v="0"/>
    <x v="0"/>
    <x v="0"/>
    <x v="39"/>
    <d v="1899-12-30T12:52:00"/>
    <d v="1899-12-30T15:39:00"/>
    <n v="167"/>
    <x v="0"/>
    <x v="0"/>
  </r>
  <r>
    <n v="563"/>
    <s v="Filippa"/>
    <s v="Female"/>
    <d v="2008-06-20T00:00:00"/>
    <x v="2"/>
    <n v="16"/>
    <x v="0"/>
    <x v="4"/>
    <x v="25"/>
    <x v="1"/>
    <x v="0"/>
    <x v="1"/>
    <x v="0"/>
    <x v="0"/>
    <x v="1"/>
    <x v="0"/>
    <x v="1"/>
    <x v="1"/>
    <d v="1899-12-30T18:39:00"/>
    <d v="1899-12-30T20:03:00"/>
    <n v="84"/>
    <x v="1"/>
    <x v="3"/>
  </r>
  <r>
    <n v="564"/>
    <s v="Helaina"/>
    <s v="Female"/>
    <d v="2007-03-15T00:00:00"/>
    <x v="2"/>
    <n v="17"/>
    <x v="1"/>
    <x v="3"/>
    <x v="56"/>
    <x v="1"/>
    <x v="1"/>
    <x v="1"/>
    <x v="1"/>
    <x v="0"/>
    <x v="1"/>
    <x v="1"/>
    <x v="1"/>
    <x v="1"/>
    <d v="1899-12-30T16:59:00"/>
    <d v="1899-12-30T18:57:00"/>
    <n v="118"/>
    <x v="0"/>
    <x v="0"/>
  </r>
  <r>
    <n v="565"/>
    <s v="Thorsten"/>
    <s v="Male"/>
    <d v="1982-03-19T00:00:00"/>
    <x v="1"/>
    <n v="42"/>
    <x v="1"/>
    <x v="2"/>
    <x v="14"/>
    <x v="0"/>
    <x v="1"/>
    <x v="1"/>
    <x v="1"/>
    <x v="0"/>
    <x v="0"/>
    <x v="0"/>
    <x v="0"/>
    <x v="177"/>
    <d v="1899-12-30T12:52:00"/>
    <d v="1899-12-30T13:23:00"/>
    <n v="31"/>
    <x v="0"/>
    <x v="0"/>
  </r>
  <r>
    <n v="566"/>
    <s v="Kathy"/>
    <s v="Female"/>
    <d v="1991-07-05T00:00:00"/>
    <x v="3"/>
    <n v="33"/>
    <x v="1"/>
    <x v="3"/>
    <x v="39"/>
    <x v="0"/>
    <x v="1"/>
    <x v="0"/>
    <x v="1"/>
    <x v="0"/>
    <x v="1"/>
    <x v="1"/>
    <x v="1"/>
    <x v="1"/>
    <d v="1899-12-30T09:56:00"/>
    <d v="1899-12-30T12:44:00"/>
    <n v="168"/>
    <x v="1"/>
    <x v="4"/>
  </r>
  <r>
    <n v="567"/>
    <s v="Verile"/>
    <s v="Female"/>
    <d v="1979-11-24T00:00:00"/>
    <x v="1"/>
    <n v="44"/>
    <x v="0"/>
    <x v="0"/>
    <x v="34"/>
    <x v="0"/>
    <x v="0"/>
    <x v="0"/>
    <x v="1"/>
    <x v="1"/>
    <x v="1"/>
    <x v="1"/>
    <x v="0"/>
    <x v="0"/>
    <d v="1899-12-30T19:09:00"/>
    <d v="1899-12-30T20:37:00"/>
    <n v="88"/>
    <x v="0"/>
    <x v="0"/>
  </r>
  <r>
    <n v="568"/>
    <s v="Amye"/>
    <s v="Female"/>
    <d v="1989-08-26T00:00:00"/>
    <x v="3"/>
    <n v="35"/>
    <x v="0"/>
    <x v="4"/>
    <x v="89"/>
    <x v="0"/>
    <x v="0"/>
    <x v="0"/>
    <x v="0"/>
    <x v="1"/>
    <x v="0"/>
    <x v="0"/>
    <x v="1"/>
    <x v="1"/>
    <d v="1899-12-30T10:41:00"/>
    <d v="1899-12-30T11:43:00"/>
    <n v="62"/>
    <x v="0"/>
    <x v="0"/>
  </r>
  <r>
    <n v="569"/>
    <s v="Pasquale"/>
    <s v="Male"/>
    <d v="1993-07-21T00:00:00"/>
    <x v="3"/>
    <n v="31"/>
    <x v="0"/>
    <x v="3"/>
    <x v="31"/>
    <x v="0"/>
    <x v="0"/>
    <x v="1"/>
    <x v="1"/>
    <x v="0"/>
    <x v="0"/>
    <x v="0"/>
    <x v="0"/>
    <x v="178"/>
    <d v="1899-12-30T20:28:00"/>
    <d v="1899-12-30T22:53:00"/>
    <n v="145"/>
    <x v="1"/>
    <x v="4"/>
  </r>
  <r>
    <n v="570"/>
    <s v="Dewitt"/>
    <s v="Male"/>
    <d v="1983-11-16T00:00:00"/>
    <x v="3"/>
    <n v="40"/>
    <x v="1"/>
    <x v="2"/>
    <x v="14"/>
    <x v="0"/>
    <x v="1"/>
    <x v="1"/>
    <x v="1"/>
    <x v="0"/>
    <x v="0"/>
    <x v="0"/>
    <x v="1"/>
    <x v="1"/>
    <d v="1899-12-30T18:30:00"/>
    <d v="1899-12-30T20:35:00"/>
    <n v="125"/>
    <x v="0"/>
    <x v="0"/>
  </r>
  <r>
    <n v="571"/>
    <s v="Emmalynne"/>
    <s v="Female"/>
    <d v="1975-04-20T00:00:00"/>
    <x v="1"/>
    <n v="49"/>
    <x v="0"/>
    <x v="3"/>
    <x v="33"/>
    <x v="0"/>
    <x v="1"/>
    <x v="1"/>
    <x v="0"/>
    <x v="0"/>
    <x v="1"/>
    <x v="1"/>
    <x v="1"/>
    <x v="1"/>
    <d v="1899-12-30T10:11:00"/>
    <d v="1899-12-30T11:21:00"/>
    <n v="70"/>
    <x v="1"/>
    <x v="4"/>
  </r>
  <r>
    <n v="572"/>
    <s v="Sheila"/>
    <s v="Female"/>
    <d v="2008-07-26T00:00:00"/>
    <x v="2"/>
    <n v="16"/>
    <x v="1"/>
    <x v="4"/>
    <x v="109"/>
    <x v="1"/>
    <x v="0"/>
    <x v="0"/>
    <x v="1"/>
    <x v="1"/>
    <x v="0"/>
    <x v="0"/>
    <x v="0"/>
    <x v="16"/>
    <d v="1899-12-30T17:04:00"/>
    <d v="1899-12-30T17:34:00"/>
    <n v="30"/>
    <x v="0"/>
    <x v="0"/>
  </r>
  <r>
    <n v="573"/>
    <s v="Iggie"/>
    <s v="Male"/>
    <d v="1997-04-19T00:00:00"/>
    <x v="0"/>
    <n v="27"/>
    <x v="0"/>
    <x v="1"/>
    <x v="13"/>
    <x v="1"/>
    <x v="0"/>
    <x v="1"/>
    <x v="0"/>
    <x v="0"/>
    <x v="0"/>
    <x v="1"/>
    <x v="1"/>
    <x v="1"/>
    <d v="1899-12-30T18:16:00"/>
    <d v="1899-12-30T19:13:00"/>
    <n v="57"/>
    <x v="0"/>
    <x v="0"/>
  </r>
  <r>
    <n v="574"/>
    <s v="Stafani"/>
    <s v="Female"/>
    <d v="1975-03-30T00:00:00"/>
    <x v="1"/>
    <n v="49"/>
    <x v="0"/>
    <x v="3"/>
    <x v="96"/>
    <x v="0"/>
    <x v="1"/>
    <x v="0"/>
    <x v="1"/>
    <x v="0"/>
    <x v="0"/>
    <x v="0"/>
    <x v="1"/>
    <x v="1"/>
    <d v="1899-12-30T19:30:00"/>
    <d v="1899-12-30T22:29:00"/>
    <n v="179"/>
    <x v="1"/>
    <x v="1"/>
  </r>
  <r>
    <n v="575"/>
    <s v="Laurice"/>
    <s v="Female"/>
    <d v="1991-03-09T00:00:00"/>
    <x v="3"/>
    <n v="33"/>
    <x v="0"/>
    <x v="2"/>
    <x v="9"/>
    <x v="0"/>
    <x v="0"/>
    <x v="1"/>
    <x v="1"/>
    <x v="0"/>
    <x v="0"/>
    <x v="1"/>
    <x v="1"/>
    <x v="1"/>
    <d v="1899-12-30T16:29:00"/>
    <d v="1899-12-30T18:47:00"/>
    <n v="138"/>
    <x v="1"/>
    <x v="4"/>
  </r>
  <r>
    <n v="576"/>
    <s v="Brade"/>
    <s v="Male"/>
    <d v="2008-06-10T00:00:00"/>
    <x v="2"/>
    <n v="16"/>
    <x v="0"/>
    <x v="3"/>
    <x v="68"/>
    <x v="0"/>
    <x v="1"/>
    <x v="0"/>
    <x v="0"/>
    <x v="0"/>
    <x v="0"/>
    <x v="1"/>
    <x v="0"/>
    <x v="138"/>
    <d v="1899-12-30T12:40:00"/>
    <d v="1899-12-30T14:33:00"/>
    <n v="113"/>
    <x v="1"/>
    <x v="1"/>
  </r>
  <r>
    <n v="577"/>
    <s v="Yelena"/>
    <s v="Female"/>
    <d v="2002-11-24T00:00:00"/>
    <x v="0"/>
    <n v="21"/>
    <x v="1"/>
    <x v="3"/>
    <x v="57"/>
    <x v="0"/>
    <x v="0"/>
    <x v="1"/>
    <x v="1"/>
    <x v="0"/>
    <x v="1"/>
    <x v="1"/>
    <x v="1"/>
    <x v="1"/>
    <d v="1899-12-30T10:26:00"/>
    <d v="1899-12-30T12:27:00"/>
    <n v="121"/>
    <x v="1"/>
    <x v="2"/>
  </r>
  <r>
    <n v="578"/>
    <s v="Lester"/>
    <s v="Male"/>
    <d v="1983-04-02T00:00:00"/>
    <x v="1"/>
    <n v="41"/>
    <x v="0"/>
    <x v="4"/>
    <x v="35"/>
    <x v="1"/>
    <x v="1"/>
    <x v="0"/>
    <x v="0"/>
    <x v="1"/>
    <x v="1"/>
    <x v="1"/>
    <x v="1"/>
    <x v="1"/>
    <d v="1899-12-30T20:35:00"/>
    <d v="1899-12-30T23:32:00"/>
    <n v="177"/>
    <x v="0"/>
    <x v="0"/>
  </r>
  <r>
    <n v="579"/>
    <s v="Nickey"/>
    <s v="Male"/>
    <d v="1988-10-22T00:00:00"/>
    <x v="3"/>
    <n v="35"/>
    <x v="0"/>
    <x v="3"/>
    <x v="7"/>
    <x v="1"/>
    <x v="1"/>
    <x v="1"/>
    <x v="1"/>
    <x v="0"/>
    <x v="0"/>
    <x v="0"/>
    <x v="1"/>
    <x v="1"/>
    <d v="1899-12-30T19:50:00"/>
    <d v="1899-12-30T21:54:00"/>
    <n v="124"/>
    <x v="1"/>
    <x v="4"/>
  </r>
  <r>
    <n v="580"/>
    <s v="Freedman"/>
    <s v="Male"/>
    <d v="2006-07-29T00:00:00"/>
    <x v="2"/>
    <n v="18"/>
    <x v="1"/>
    <x v="1"/>
    <x v="36"/>
    <x v="0"/>
    <x v="0"/>
    <x v="1"/>
    <x v="0"/>
    <x v="1"/>
    <x v="0"/>
    <x v="1"/>
    <x v="0"/>
    <x v="43"/>
    <d v="1899-12-30T16:10:00"/>
    <d v="1899-12-30T18:43:00"/>
    <n v="153"/>
    <x v="0"/>
    <x v="0"/>
  </r>
  <r>
    <n v="581"/>
    <s v="Albert"/>
    <s v="Male"/>
    <d v="1975-09-09T00:00:00"/>
    <x v="1"/>
    <n v="49"/>
    <x v="0"/>
    <x v="1"/>
    <x v="46"/>
    <x v="0"/>
    <x v="1"/>
    <x v="0"/>
    <x v="1"/>
    <x v="1"/>
    <x v="1"/>
    <x v="1"/>
    <x v="1"/>
    <x v="1"/>
    <d v="1899-12-30T15:25:00"/>
    <d v="1899-12-30T17:54:00"/>
    <n v="149"/>
    <x v="0"/>
    <x v="0"/>
  </r>
  <r>
    <n v="582"/>
    <s v="Avie"/>
    <s v="Female"/>
    <d v="1980-08-22T00:00:00"/>
    <x v="1"/>
    <n v="44"/>
    <x v="0"/>
    <x v="3"/>
    <x v="53"/>
    <x v="0"/>
    <x v="0"/>
    <x v="0"/>
    <x v="1"/>
    <x v="0"/>
    <x v="0"/>
    <x v="1"/>
    <x v="0"/>
    <x v="51"/>
    <d v="1899-12-30T14:41:00"/>
    <d v="1899-12-30T15:12:00"/>
    <n v="31"/>
    <x v="0"/>
    <x v="0"/>
  </r>
  <r>
    <n v="583"/>
    <s v="Giacinta"/>
    <s v="Female"/>
    <d v="1994-01-26T00:00:00"/>
    <x v="0"/>
    <n v="30"/>
    <x v="1"/>
    <x v="2"/>
    <x v="51"/>
    <x v="0"/>
    <x v="1"/>
    <x v="1"/>
    <x v="0"/>
    <x v="0"/>
    <x v="0"/>
    <x v="1"/>
    <x v="1"/>
    <x v="1"/>
    <d v="1899-12-30T16:34:00"/>
    <d v="1899-12-30T17:28:00"/>
    <n v="54"/>
    <x v="0"/>
    <x v="0"/>
  </r>
  <r>
    <n v="584"/>
    <s v="Dallis"/>
    <s v="Male"/>
    <d v="1995-10-21T00:00:00"/>
    <x v="0"/>
    <n v="28"/>
    <x v="1"/>
    <x v="1"/>
    <x v="3"/>
    <x v="0"/>
    <x v="1"/>
    <x v="0"/>
    <x v="1"/>
    <x v="0"/>
    <x v="1"/>
    <x v="0"/>
    <x v="1"/>
    <x v="1"/>
    <d v="1899-12-30T10:48:00"/>
    <d v="1899-12-30T12:54:00"/>
    <n v="126"/>
    <x v="0"/>
    <x v="0"/>
  </r>
  <r>
    <n v="585"/>
    <s v="Courtenay"/>
    <s v="Female"/>
    <d v="1997-11-09T00:00:00"/>
    <x v="0"/>
    <n v="26"/>
    <x v="0"/>
    <x v="3"/>
    <x v="7"/>
    <x v="1"/>
    <x v="1"/>
    <x v="1"/>
    <x v="1"/>
    <x v="0"/>
    <x v="0"/>
    <x v="0"/>
    <x v="0"/>
    <x v="179"/>
    <d v="1899-12-30T20:45:00"/>
    <d v="1899-12-30T22:10:00"/>
    <n v="85"/>
    <x v="1"/>
    <x v="1"/>
  </r>
  <r>
    <n v="586"/>
    <s v="Roosevelt"/>
    <s v="Male"/>
    <d v="1991-11-13T00:00:00"/>
    <x v="3"/>
    <n v="32"/>
    <x v="1"/>
    <x v="1"/>
    <x v="3"/>
    <x v="0"/>
    <x v="1"/>
    <x v="0"/>
    <x v="1"/>
    <x v="0"/>
    <x v="1"/>
    <x v="0"/>
    <x v="1"/>
    <x v="1"/>
    <d v="1899-12-30T08:13:00"/>
    <d v="1899-12-30T09:23:00"/>
    <n v="70"/>
    <x v="0"/>
    <x v="0"/>
  </r>
  <r>
    <n v="587"/>
    <s v="Cammy"/>
    <s v="Male"/>
    <d v="1998-03-16T00:00:00"/>
    <x v="0"/>
    <n v="26"/>
    <x v="0"/>
    <x v="4"/>
    <x v="30"/>
    <x v="1"/>
    <x v="0"/>
    <x v="0"/>
    <x v="0"/>
    <x v="0"/>
    <x v="1"/>
    <x v="1"/>
    <x v="0"/>
    <x v="33"/>
    <d v="1899-12-30T15:57:00"/>
    <d v="1899-12-30T18:11:00"/>
    <n v="134"/>
    <x v="0"/>
    <x v="0"/>
  </r>
  <r>
    <n v="588"/>
    <s v="Rochester"/>
    <s v="Male"/>
    <d v="2004-12-08T00:00:00"/>
    <x v="2"/>
    <n v="19"/>
    <x v="0"/>
    <x v="1"/>
    <x v="67"/>
    <x v="1"/>
    <x v="1"/>
    <x v="1"/>
    <x v="1"/>
    <x v="1"/>
    <x v="1"/>
    <x v="1"/>
    <x v="0"/>
    <x v="180"/>
    <d v="1899-12-30T08:22:00"/>
    <d v="1899-12-30T10:46:00"/>
    <n v="144"/>
    <x v="1"/>
    <x v="4"/>
  </r>
  <r>
    <n v="589"/>
    <s v="Adham"/>
    <s v="Male"/>
    <d v="2009-06-28T00:00:00"/>
    <x v="2"/>
    <n v="15"/>
    <x v="1"/>
    <x v="0"/>
    <x v="88"/>
    <x v="0"/>
    <x v="0"/>
    <x v="0"/>
    <x v="0"/>
    <x v="1"/>
    <x v="0"/>
    <x v="1"/>
    <x v="1"/>
    <x v="1"/>
    <d v="1899-12-30T14:06:00"/>
    <d v="1899-12-30T16:29:00"/>
    <n v="143"/>
    <x v="0"/>
    <x v="0"/>
  </r>
  <r>
    <n v="590"/>
    <s v="Toby"/>
    <s v="Male"/>
    <d v="1993-08-29T00:00:00"/>
    <x v="3"/>
    <n v="31"/>
    <x v="1"/>
    <x v="3"/>
    <x v="53"/>
    <x v="0"/>
    <x v="0"/>
    <x v="0"/>
    <x v="1"/>
    <x v="0"/>
    <x v="0"/>
    <x v="1"/>
    <x v="0"/>
    <x v="181"/>
    <d v="1899-12-30T09:51:00"/>
    <d v="1899-12-30T11:53:00"/>
    <n v="122"/>
    <x v="1"/>
    <x v="1"/>
  </r>
  <r>
    <n v="591"/>
    <s v="Waylen"/>
    <s v="Male"/>
    <d v="1984-10-22T00:00:00"/>
    <x v="3"/>
    <n v="39"/>
    <x v="1"/>
    <x v="4"/>
    <x v="50"/>
    <x v="0"/>
    <x v="0"/>
    <x v="0"/>
    <x v="0"/>
    <x v="0"/>
    <x v="1"/>
    <x v="0"/>
    <x v="0"/>
    <x v="45"/>
    <d v="1899-12-30T12:50:00"/>
    <d v="1899-12-30T13:21:00"/>
    <n v="31"/>
    <x v="1"/>
    <x v="3"/>
  </r>
  <r>
    <n v="592"/>
    <s v="Aurie"/>
    <s v="Female"/>
    <d v="1980-11-21T00:00:00"/>
    <x v="1"/>
    <n v="43"/>
    <x v="1"/>
    <x v="1"/>
    <x v="61"/>
    <x v="0"/>
    <x v="0"/>
    <x v="0"/>
    <x v="1"/>
    <x v="0"/>
    <x v="1"/>
    <x v="1"/>
    <x v="0"/>
    <x v="13"/>
    <d v="1899-12-30T10:17:00"/>
    <d v="1899-12-30T12:43:00"/>
    <n v="146"/>
    <x v="1"/>
    <x v="2"/>
  </r>
  <r>
    <n v="593"/>
    <s v="Honor"/>
    <s v="Female"/>
    <d v="1998-07-23T00:00:00"/>
    <x v="0"/>
    <n v="26"/>
    <x v="1"/>
    <x v="4"/>
    <x v="71"/>
    <x v="1"/>
    <x v="0"/>
    <x v="0"/>
    <x v="0"/>
    <x v="1"/>
    <x v="0"/>
    <x v="1"/>
    <x v="1"/>
    <x v="1"/>
    <d v="1899-12-30T19:51:00"/>
    <d v="1899-12-30T21:41:00"/>
    <n v="110"/>
    <x v="1"/>
    <x v="1"/>
  </r>
  <r>
    <n v="594"/>
    <s v="Clare"/>
    <s v="Male"/>
    <d v="2009-05-04T00:00:00"/>
    <x v="2"/>
    <n v="15"/>
    <x v="1"/>
    <x v="2"/>
    <x v="21"/>
    <x v="0"/>
    <x v="1"/>
    <x v="1"/>
    <x v="1"/>
    <x v="0"/>
    <x v="1"/>
    <x v="1"/>
    <x v="0"/>
    <x v="182"/>
    <d v="1899-12-30T08:01:00"/>
    <d v="1899-12-30T10:51:00"/>
    <n v="170"/>
    <x v="1"/>
    <x v="4"/>
  </r>
  <r>
    <n v="595"/>
    <s v="Orazio"/>
    <s v="Male"/>
    <d v="1991-05-13T00:00:00"/>
    <x v="3"/>
    <n v="33"/>
    <x v="1"/>
    <x v="3"/>
    <x v="96"/>
    <x v="0"/>
    <x v="1"/>
    <x v="0"/>
    <x v="1"/>
    <x v="0"/>
    <x v="0"/>
    <x v="0"/>
    <x v="0"/>
    <x v="70"/>
    <d v="1899-12-30T17:06:00"/>
    <d v="1899-12-30T19:10:00"/>
    <n v="124"/>
    <x v="1"/>
    <x v="4"/>
  </r>
  <r>
    <n v="596"/>
    <s v="Darius"/>
    <s v="Male"/>
    <d v="1978-07-25T00:00:00"/>
    <x v="1"/>
    <n v="46"/>
    <x v="0"/>
    <x v="4"/>
    <x v="54"/>
    <x v="1"/>
    <x v="0"/>
    <x v="0"/>
    <x v="1"/>
    <x v="0"/>
    <x v="1"/>
    <x v="0"/>
    <x v="1"/>
    <x v="1"/>
    <d v="1899-12-30T20:46:00"/>
    <d v="1899-12-30T23:18:00"/>
    <n v="152"/>
    <x v="1"/>
    <x v="4"/>
  </r>
  <r>
    <n v="597"/>
    <s v="Holly"/>
    <s v="Male"/>
    <d v="1975-12-22T00:00:00"/>
    <x v="1"/>
    <n v="48"/>
    <x v="0"/>
    <x v="2"/>
    <x v="14"/>
    <x v="0"/>
    <x v="1"/>
    <x v="1"/>
    <x v="1"/>
    <x v="0"/>
    <x v="0"/>
    <x v="0"/>
    <x v="1"/>
    <x v="1"/>
    <d v="1899-12-30T18:52:00"/>
    <d v="1899-12-30T21:06:00"/>
    <n v="134"/>
    <x v="1"/>
    <x v="2"/>
  </r>
  <r>
    <n v="598"/>
    <s v="Ami"/>
    <s v="Female"/>
    <d v="2009-11-05T00:00:00"/>
    <x v="2"/>
    <n v="14"/>
    <x v="1"/>
    <x v="3"/>
    <x v="39"/>
    <x v="0"/>
    <x v="1"/>
    <x v="0"/>
    <x v="1"/>
    <x v="0"/>
    <x v="1"/>
    <x v="1"/>
    <x v="0"/>
    <x v="15"/>
    <d v="1899-12-30T09:21:00"/>
    <d v="1899-12-30T11:54:00"/>
    <n v="153"/>
    <x v="1"/>
    <x v="2"/>
  </r>
  <r>
    <n v="599"/>
    <s v="Weber"/>
    <s v="Male"/>
    <d v="1985-11-28T00:00:00"/>
    <x v="3"/>
    <n v="38"/>
    <x v="1"/>
    <x v="4"/>
    <x v="81"/>
    <x v="0"/>
    <x v="0"/>
    <x v="0"/>
    <x v="0"/>
    <x v="1"/>
    <x v="1"/>
    <x v="1"/>
    <x v="1"/>
    <x v="1"/>
    <d v="1899-12-30T08:35:00"/>
    <d v="1899-12-30T10:57:00"/>
    <n v="142"/>
    <x v="1"/>
    <x v="3"/>
  </r>
  <r>
    <n v="600"/>
    <s v="Meyer"/>
    <s v="Male"/>
    <d v="1979-10-17T00:00:00"/>
    <x v="1"/>
    <n v="44"/>
    <x v="0"/>
    <x v="1"/>
    <x v="63"/>
    <x v="1"/>
    <x v="1"/>
    <x v="0"/>
    <x v="1"/>
    <x v="0"/>
    <x v="1"/>
    <x v="1"/>
    <x v="1"/>
    <x v="1"/>
    <d v="1899-12-30T19:40:00"/>
    <d v="1899-12-30T21:01:00"/>
    <n v="81"/>
    <x v="1"/>
    <x v="3"/>
  </r>
  <r>
    <n v="601"/>
    <s v="Germaine"/>
    <s v="Female"/>
    <d v="1984-11-19T00:00:00"/>
    <x v="3"/>
    <n v="39"/>
    <x v="1"/>
    <x v="3"/>
    <x v="68"/>
    <x v="0"/>
    <x v="1"/>
    <x v="0"/>
    <x v="0"/>
    <x v="0"/>
    <x v="0"/>
    <x v="1"/>
    <x v="1"/>
    <x v="1"/>
    <d v="1899-12-30T12:10:00"/>
    <d v="1899-12-30T13:27:00"/>
    <n v="77"/>
    <x v="1"/>
    <x v="2"/>
  </r>
  <r>
    <n v="602"/>
    <s v="Germayne"/>
    <s v="Male"/>
    <d v="1975-04-28T00:00:00"/>
    <x v="1"/>
    <n v="49"/>
    <x v="1"/>
    <x v="3"/>
    <x v="68"/>
    <x v="0"/>
    <x v="1"/>
    <x v="0"/>
    <x v="0"/>
    <x v="0"/>
    <x v="0"/>
    <x v="1"/>
    <x v="1"/>
    <x v="1"/>
    <d v="1899-12-30T15:41:00"/>
    <d v="1899-12-30T18:34:00"/>
    <n v="173"/>
    <x v="0"/>
    <x v="0"/>
  </r>
  <r>
    <n v="603"/>
    <s v="Ingamar"/>
    <s v="Male"/>
    <d v="2007-04-03T00:00:00"/>
    <x v="2"/>
    <n v="17"/>
    <x v="1"/>
    <x v="1"/>
    <x v="22"/>
    <x v="0"/>
    <x v="0"/>
    <x v="0"/>
    <x v="1"/>
    <x v="1"/>
    <x v="0"/>
    <x v="1"/>
    <x v="1"/>
    <x v="1"/>
    <d v="1899-12-30T15:24:00"/>
    <d v="1899-12-30T16:49:00"/>
    <n v="85"/>
    <x v="0"/>
    <x v="0"/>
  </r>
  <r>
    <n v="604"/>
    <s v="Mirella"/>
    <s v="Female"/>
    <d v="1989-02-20T00:00:00"/>
    <x v="3"/>
    <n v="35"/>
    <x v="1"/>
    <x v="3"/>
    <x v="12"/>
    <x v="1"/>
    <x v="1"/>
    <x v="1"/>
    <x v="0"/>
    <x v="0"/>
    <x v="0"/>
    <x v="1"/>
    <x v="1"/>
    <x v="1"/>
    <d v="1899-12-30T18:42:00"/>
    <d v="1899-12-30T21:30:00"/>
    <n v="168"/>
    <x v="1"/>
    <x v="3"/>
  </r>
  <r>
    <n v="605"/>
    <s v="Joey"/>
    <s v="Male"/>
    <d v="1979-02-18T00:00:00"/>
    <x v="1"/>
    <n v="45"/>
    <x v="1"/>
    <x v="1"/>
    <x v="62"/>
    <x v="0"/>
    <x v="1"/>
    <x v="0"/>
    <x v="0"/>
    <x v="1"/>
    <x v="0"/>
    <x v="1"/>
    <x v="0"/>
    <x v="45"/>
    <d v="1899-12-30T17:42:00"/>
    <d v="1899-12-30T19:42:00"/>
    <n v="120"/>
    <x v="0"/>
    <x v="0"/>
  </r>
  <r>
    <n v="606"/>
    <s v="Ruben"/>
    <s v="Male"/>
    <d v="1995-02-23T00:00:00"/>
    <x v="0"/>
    <n v="29"/>
    <x v="1"/>
    <x v="1"/>
    <x v="94"/>
    <x v="0"/>
    <x v="1"/>
    <x v="0"/>
    <x v="0"/>
    <x v="0"/>
    <x v="0"/>
    <x v="0"/>
    <x v="0"/>
    <x v="19"/>
    <d v="1899-12-30T20:39:00"/>
    <d v="1899-12-30T21:21:00"/>
    <n v="42"/>
    <x v="1"/>
    <x v="4"/>
  </r>
  <r>
    <n v="607"/>
    <s v="Maureene"/>
    <s v="Female"/>
    <d v="1982-09-29T00:00:00"/>
    <x v="1"/>
    <n v="42"/>
    <x v="0"/>
    <x v="1"/>
    <x v="36"/>
    <x v="0"/>
    <x v="0"/>
    <x v="1"/>
    <x v="0"/>
    <x v="1"/>
    <x v="0"/>
    <x v="1"/>
    <x v="1"/>
    <x v="1"/>
    <d v="1899-12-30T16:20:00"/>
    <d v="1899-12-30T17:27:00"/>
    <n v="67"/>
    <x v="1"/>
    <x v="2"/>
  </r>
  <r>
    <n v="608"/>
    <s v="Ekaterina"/>
    <s v="Female"/>
    <d v="2006-05-09T00:00:00"/>
    <x v="2"/>
    <n v="18"/>
    <x v="1"/>
    <x v="1"/>
    <x v="94"/>
    <x v="0"/>
    <x v="1"/>
    <x v="0"/>
    <x v="0"/>
    <x v="0"/>
    <x v="0"/>
    <x v="0"/>
    <x v="0"/>
    <x v="45"/>
    <d v="1899-12-30T08:46:00"/>
    <d v="1899-12-30T10:56:00"/>
    <n v="130"/>
    <x v="0"/>
    <x v="0"/>
  </r>
  <r>
    <n v="609"/>
    <s v="Marrissa"/>
    <s v="Female"/>
    <d v="1988-05-20T00:00:00"/>
    <x v="3"/>
    <n v="36"/>
    <x v="1"/>
    <x v="1"/>
    <x v="29"/>
    <x v="1"/>
    <x v="0"/>
    <x v="1"/>
    <x v="1"/>
    <x v="1"/>
    <x v="0"/>
    <x v="1"/>
    <x v="0"/>
    <x v="13"/>
    <d v="1899-12-30T17:33:00"/>
    <d v="1899-12-30T20:00:00"/>
    <n v="147"/>
    <x v="0"/>
    <x v="0"/>
  </r>
  <r>
    <n v="610"/>
    <s v="Neda"/>
    <s v="Female"/>
    <d v="1990-07-20T00:00:00"/>
    <x v="3"/>
    <n v="34"/>
    <x v="1"/>
    <x v="3"/>
    <x v="4"/>
    <x v="0"/>
    <x v="1"/>
    <x v="0"/>
    <x v="1"/>
    <x v="1"/>
    <x v="0"/>
    <x v="1"/>
    <x v="0"/>
    <x v="75"/>
    <d v="1899-12-30T14:03:00"/>
    <d v="1899-12-30T16:19:00"/>
    <n v="136"/>
    <x v="0"/>
    <x v="0"/>
  </r>
  <r>
    <n v="611"/>
    <s v="Arly"/>
    <s v="Female"/>
    <d v="1987-12-04T00:00:00"/>
    <x v="3"/>
    <n v="36"/>
    <x v="0"/>
    <x v="2"/>
    <x v="21"/>
    <x v="0"/>
    <x v="1"/>
    <x v="1"/>
    <x v="1"/>
    <x v="0"/>
    <x v="1"/>
    <x v="1"/>
    <x v="0"/>
    <x v="39"/>
    <d v="1899-12-30T14:49:00"/>
    <d v="1899-12-30T15:28:00"/>
    <n v="39"/>
    <x v="1"/>
    <x v="1"/>
  </r>
  <r>
    <n v="612"/>
    <s v="Alameda"/>
    <s v="Female"/>
    <d v="1979-05-08T00:00:00"/>
    <x v="1"/>
    <n v="45"/>
    <x v="1"/>
    <x v="1"/>
    <x v="76"/>
    <x v="1"/>
    <x v="1"/>
    <x v="0"/>
    <x v="1"/>
    <x v="1"/>
    <x v="0"/>
    <x v="1"/>
    <x v="1"/>
    <x v="1"/>
    <d v="1899-12-30T13:42:00"/>
    <d v="1899-12-30T15:41:00"/>
    <n v="119"/>
    <x v="0"/>
    <x v="0"/>
  </r>
  <r>
    <n v="613"/>
    <s v="Emlen"/>
    <s v="Male"/>
    <d v="1981-07-25T00:00:00"/>
    <x v="1"/>
    <n v="43"/>
    <x v="1"/>
    <x v="4"/>
    <x v="99"/>
    <x v="1"/>
    <x v="1"/>
    <x v="1"/>
    <x v="0"/>
    <x v="1"/>
    <x v="1"/>
    <x v="0"/>
    <x v="0"/>
    <x v="19"/>
    <d v="1899-12-30T17:32:00"/>
    <d v="1899-12-30T19:46:00"/>
    <n v="134"/>
    <x v="1"/>
    <x v="2"/>
  </r>
  <r>
    <n v="614"/>
    <s v="Phineas"/>
    <s v="Male"/>
    <d v="2008-08-09T00:00:00"/>
    <x v="2"/>
    <n v="16"/>
    <x v="0"/>
    <x v="1"/>
    <x v="22"/>
    <x v="0"/>
    <x v="0"/>
    <x v="0"/>
    <x v="1"/>
    <x v="1"/>
    <x v="0"/>
    <x v="1"/>
    <x v="1"/>
    <x v="1"/>
    <d v="1899-12-30T09:37:00"/>
    <d v="1899-12-30T10:58:00"/>
    <n v="81"/>
    <x v="0"/>
    <x v="0"/>
  </r>
  <r>
    <n v="615"/>
    <s v="Norbie"/>
    <s v="Male"/>
    <d v="1985-06-28T00:00:00"/>
    <x v="3"/>
    <n v="39"/>
    <x v="0"/>
    <x v="1"/>
    <x v="62"/>
    <x v="0"/>
    <x v="1"/>
    <x v="0"/>
    <x v="0"/>
    <x v="1"/>
    <x v="0"/>
    <x v="1"/>
    <x v="1"/>
    <x v="1"/>
    <d v="1899-12-30T18:07:00"/>
    <d v="1899-12-30T18:50:00"/>
    <n v="43"/>
    <x v="0"/>
    <x v="0"/>
  </r>
  <r>
    <n v="616"/>
    <s v="Dennis"/>
    <s v="Male"/>
    <d v="1987-09-01T00:00:00"/>
    <x v="3"/>
    <n v="37"/>
    <x v="1"/>
    <x v="3"/>
    <x v="96"/>
    <x v="0"/>
    <x v="1"/>
    <x v="0"/>
    <x v="1"/>
    <x v="0"/>
    <x v="0"/>
    <x v="0"/>
    <x v="1"/>
    <x v="1"/>
    <d v="1899-12-30T11:30:00"/>
    <d v="1899-12-30T13:22:00"/>
    <n v="112"/>
    <x v="0"/>
    <x v="0"/>
  </r>
  <r>
    <n v="617"/>
    <s v="Duffie"/>
    <s v="Male"/>
    <d v="2000-01-17T00:00:00"/>
    <x v="0"/>
    <n v="24"/>
    <x v="1"/>
    <x v="0"/>
    <x v="92"/>
    <x v="1"/>
    <x v="1"/>
    <x v="1"/>
    <x v="0"/>
    <x v="1"/>
    <x v="1"/>
    <x v="1"/>
    <x v="1"/>
    <x v="1"/>
    <d v="1899-12-30T15:28:00"/>
    <d v="1899-12-30T17:59:00"/>
    <n v="151"/>
    <x v="1"/>
    <x v="1"/>
  </r>
  <r>
    <n v="618"/>
    <s v="Earlie"/>
    <s v="Male"/>
    <d v="1986-10-27T00:00:00"/>
    <x v="3"/>
    <n v="37"/>
    <x v="0"/>
    <x v="1"/>
    <x v="24"/>
    <x v="0"/>
    <x v="0"/>
    <x v="1"/>
    <x v="0"/>
    <x v="0"/>
    <x v="1"/>
    <x v="1"/>
    <x v="1"/>
    <x v="1"/>
    <d v="1899-12-30T20:35:00"/>
    <d v="1899-12-30T23:35:00"/>
    <n v="180"/>
    <x v="1"/>
    <x v="3"/>
  </r>
  <r>
    <n v="619"/>
    <s v="Phillip"/>
    <s v="Male"/>
    <d v="1976-01-20T00:00:00"/>
    <x v="1"/>
    <n v="48"/>
    <x v="0"/>
    <x v="1"/>
    <x v="63"/>
    <x v="1"/>
    <x v="1"/>
    <x v="0"/>
    <x v="1"/>
    <x v="0"/>
    <x v="1"/>
    <x v="1"/>
    <x v="1"/>
    <x v="1"/>
    <d v="1899-12-30T14:29:00"/>
    <d v="1899-12-30T17:07:00"/>
    <n v="158"/>
    <x v="1"/>
    <x v="3"/>
  </r>
  <r>
    <n v="620"/>
    <s v="Geneva"/>
    <s v="Female"/>
    <d v="2000-04-22T00:00:00"/>
    <x v="0"/>
    <n v="24"/>
    <x v="1"/>
    <x v="3"/>
    <x v="66"/>
    <x v="0"/>
    <x v="0"/>
    <x v="1"/>
    <x v="1"/>
    <x v="1"/>
    <x v="0"/>
    <x v="1"/>
    <x v="0"/>
    <x v="183"/>
    <d v="1899-12-30T10:26:00"/>
    <d v="1899-12-30T12:06:00"/>
    <n v="100"/>
    <x v="0"/>
    <x v="0"/>
  </r>
  <r>
    <n v="621"/>
    <s v="Haley"/>
    <s v="Male"/>
    <d v="1983-10-10T00:00:00"/>
    <x v="3"/>
    <n v="40"/>
    <x v="1"/>
    <x v="2"/>
    <x v="10"/>
    <x v="0"/>
    <x v="1"/>
    <x v="1"/>
    <x v="1"/>
    <x v="1"/>
    <x v="0"/>
    <x v="1"/>
    <x v="1"/>
    <x v="1"/>
    <d v="1899-12-30T10:52:00"/>
    <d v="1899-12-30T11:27:00"/>
    <n v="35"/>
    <x v="0"/>
    <x v="0"/>
  </r>
  <r>
    <n v="622"/>
    <s v="Glory"/>
    <s v="Female"/>
    <d v="1976-04-24T00:00:00"/>
    <x v="1"/>
    <n v="48"/>
    <x v="0"/>
    <x v="1"/>
    <x v="42"/>
    <x v="0"/>
    <x v="0"/>
    <x v="1"/>
    <x v="0"/>
    <x v="0"/>
    <x v="0"/>
    <x v="0"/>
    <x v="0"/>
    <x v="184"/>
    <d v="1899-12-30T15:30:00"/>
    <d v="1899-12-30T17:48:00"/>
    <n v="138"/>
    <x v="1"/>
    <x v="4"/>
  </r>
  <r>
    <n v="623"/>
    <s v="Merralee"/>
    <s v="Female"/>
    <d v="2011-03-26T00:00:00"/>
    <x v="2"/>
    <n v="13"/>
    <x v="0"/>
    <x v="3"/>
    <x v="39"/>
    <x v="0"/>
    <x v="1"/>
    <x v="0"/>
    <x v="1"/>
    <x v="0"/>
    <x v="1"/>
    <x v="1"/>
    <x v="0"/>
    <x v="185"/>
    <d v="1899-12-30T08:25:00"/>
    <d v="1899-12-30T09:36:00"/>
    <n v="71"/>
    <x v="1"/>
    <x v="3"/>
  </r>
  <r>
    <n v="624"/>
    <s v="Willie"/>
    <s v="Male"/>
    <d v="1980-10-30T00:00:00"/>
    <x v="1"/>
    <n v="43"/>
    <x v="0"/>
    <x v="1"/>
    <x v="65"/>
    <x v="1"/>
    <x v="1"/>
    <x v="0"/>
    <x v="0"/>
    <x v="0"/>
    <x v="0"/>
    <x v="1"/>
    <x v="1"/>
    <x v="1"/>
    <d v="1899-12-30T08:39:00"/>
    <d v="1899-12-30T10:03:00"/>
    <n v="84"/>
    <x v="0"/>
    <x v="0"/>
  </r>
  <r>
    <n v="625"/>
    <s v="Olympie"/>
    <s v="Female"/>
    <d v="2002-10-07T00:00:00"/>
    <x v="0"/>
    <n v="21"/>
    <x v="0"/>
    <x v="0"/>
    <x v="86"/>
    <x v="1"/>
    <x v="0"/>
    <x v="1"/>
    <x v="1"/>
    <x v="0"/>
    <x v="1"/>
    <x v="0"/>
    <x v="1"/>
    <x v="1"/>
    <d v="1899-12-30T19:28:00"/>
    <d v="1899-12-30T21:19:00"/>
    <n v="111"/>
    <x v="1"/>
    <x v="4"/>
  </r>
  <r>
    <n v="626"/>
    <s v="Warren"/>
    <s v="Male"/>
    <d v="2003-10-02T00:00:00"/>
    <x v="0"/>
    <n v="21"/>
    <x v="1"/>
    <x v="4"/>
    <x v="70"/>
    <x v="1"/>
    <x v="0"/>
    <x v="0"/>
    <x v="1"/>
    <x v="1"/>
    <x v="1"/>
    <x v="1"/>
    <x v="0"/>
    <x v="161"/>
    <d v="1899-12-30T16:57:00"/>
    <d v="1899-12-30T19:06:00"/>
    <n v="129"/>
    <x v="0"/>
    <x v="0"/>
  </r>
  <r>
    <n v="627"/>
    <s v="Tiffani"/>
    <s v="Female"/>
    <d v="1995-06-19T00:00:00"/>
    <x v="0"/>
    <n v="29"/>
    <x v="0"/>
    <x v="3"/>
    <x v="52"/>
    <x v="0"/>
    <x v="1"/>
    <x v="1"/>
    <x v="0"/>
    <x v="1"/>
    <x v="0"/>
    <x v="1"/>
    <x v="0"/>
    <x v="101"/>
    <d v="1899-12-30T20:00:00"/>
    <d v="1899-12-30T22:20:00"/>
    <n v="140"/>
    <x v="1"/>
    <x v="1"/>
  </r>
  <r>
    <n v="628"/>
    <s v="Welbie"/>
    <s v="Male"/>
    <d v="1985-02-07T00:00:00"/>
    <x v="3"/>
    <n v="39"/>
    <x v="1"/>
    <x v="3"/>
    <x v="52"/>
    <x v="0"/>
    <x v="1"/>
    <x v="1"/>
    <x v="0"/>
    <x v="1"/>
    <x v="0"/>
    <x v="1"/>
    <x v="1"/>
    <x v="1"/>
    <d v="1899-12-30T16:53:00"/>
    <d v="1899-12-30T19:23:00"/>
    <n v="150"/>
    <x v="1"/>
    <x v="2"/>
  </r>
  <r>
    <n v="629"/>
    <s v="Jean"/>
    <s v="Male"/>
    <d v="2007-08-08T00:00:00"/>
    <x v="2"/>
    <n v="17"/>
    <x v="1"/>
    <x v="1"/>
    <x v="77"/>
    <x v="0"/>
    <x v="1"/>
    <x v="1"/>
    <x v="0"/>
    <x v="0"/>
    <x v="1"/>
    <x v="0"/>
    <x v="1"/>
    <x v="1"/>
    <d v="1899-12-30T11:02:00"/>
    <d v="1899-12-30T13:11:00"/>
    <n v="129"/>
    <x v="1"/>
    <x v="1"/>
  </r>
  <r>
    <n v="630"/>
    <s v="Pablo"/>
    <s v="Male"/>
    <d v="2003-07-25T00:00:00"/>
    <x v="0"/>
    <n v="21"/>
    <x v="1"/>
    <x v="4"/>
    <x v="84"/>
    <x v="1"/>
    <x v="1"/>
    <x v="0"/>
    <x v="1"/>
    <x v="1"/>
    <x v="1"/>
    <x v="0"/>
    <x v="1"/>
    <x v="1"/>
    <d v="1899-12-30T14:29:00"/>
    <d v="1899-12-30T16:42:00"/>
    <n v="133"/>
    <x v="1"/>
    <x v="1"/>
  </r>
  <r>
    <n v="631"/>
    <s v="Cordy"/>
    <s v="Female"/>
    <d v="1996-03-05T00:00:00"/>
    <x v="0"/>
    <n v="28"/>
    <x v="1"/>
    <x v="1"/>
    <x v="67"/>
    <x v="1"/>
    <x v="1"/>
    <x v="1"/>
    <x v="1"/>
    <x v="1"/>
    <x v="1"/>
    <x v="1"/>
    <x v="1"/>
    <x v="1"/>
    <d v="1899-12-30T08:50:00"/>
    <d v="1899-12-30T10:15:00"/>
    <n v="85"/>
    <x v="1"/>
    <x v="4"/>
  </r>
  <r>
    <n v="632"/>
    <s v="Holmes"/>
    <s v="Male"/>
    <d v="1987-03-27T00:00:00"/>
    <x v="3"/>
    <n v="37"/>
    <x v="0"/>
    <x v="2"/>
    <x v="14"/>
    <x v="0"/>
    <x v="1"/>
    <x v="1"/>
    <x v="1"/>
    <x v="0"/>
    <x v="0"/>
    <x v="0"/>
    <x v="0"/>
    <x v="34"/>
    <d v="1899-12-30T12:16:00"/>
    <d v="1899-12-30T13:35:00"/>
    <n v="79"/>
    <x v="0"/>
    <x v="0"/>
  </r>
  <r>
    <n v="633"/>
    <s v="Trula"/>
    <s v="Female"/>
    <d v="1997-10-13T00:00:00"/>
    <x v="0"/>
    <n v="26"/>
    <x v="0"/>
    <x v="4"/>
    <x v="54"/>
    <x v="1"/>
    <x v="0"/>
    <x v="0"/>
    <x v="1"/>
    <x v="0"/>
    <x v="1"/>
    <x v="0"/>
    <x v="0"/>
    <x v="186"/>
    <d v="1899-12-30T14:42:00"/>
    <d v="1899-12-30T16:59:00"/>
    <n v="137"/>
    <x v="0"/>
    <x v="0"/>
  </r>
  <r>
    <n v="634"/>
    <s v="Nina"/>
    <s v="Female"/>
    <d v="1999-12-22T00:00:00"/>
    <x v="0"/>
    <n v="24"/>
    <x v="0"/>
    <x v="2"/>
    <x v="10"/>
    <x v="0"/>
    <x v="1"/>
    <x v="1"/>
    <x v="1"/>
    <x v="1"/>
    <x v="0"/>
    <x v="1"/>
    <x v="1"/>
    <x v="1"/>
    <d v="1899-12-30T16:51:00"/>
    <d v="1899-12-30T17:51:00"/>
    <n v="60"/>
    <x v="1"/>
    <x v="2"/>
  </r>
  <r>
    <n v="635"/>
    <s v="Alverta"/>
    <s v="Female"/>
    <d v="2005-12-03T00:00:00"/>
    <x v="2"/>
    <n v="18"/>
    <x v="0"/>
    <x v="2"/>
    <x v="21"/>
    <x v="0"/>
    <x v="1"/>
    <x v="1"/>
    <x v="1"/>
    <x v="0"/>
    <x v="1"/>
    <x v="1"/>
    <x v="1"/>
    <x v="1"/>
    <d v="1899-12-30T09:13:00"/>
    <d v="1899-12-30T12:00:00"/>
    <n v="167"/>
    <x v="1"/>
    <x v="4"/>
  </r>
  <r>
    <n v="636"/>
    <s v="Georgeanne"/>
    <s v="Female"/>
    <d v="1998-01-07T00:00:00"/>
    <x v="0"/>
    <n v="26"/>
    <x v="1"/>
    <x v="1"/>
    <x v="62"/>
    <x v="0"/>
    <x v="1"/>
    <x v="0"/>
    <x v="0"/>
    <x v="1"/>
    <x v="0"/>
    <x v="1"/>
    <x v="0"/>
    <x v="128"/>
    <d v="1899-12-30T13:24:00"/>
    <d v="1899-12-30T15:02:00"/>
    <n v="98"/>
    <x v="1"/>
    <x v="2"/>
  </r>
  <r>
    <n v="637"/>
    <s v="Steward"/>
    <s v="Male"/>
    <d v="2001-06-15T00:00:00"/>
    <x v="0"/>
    <n v="23"/>
    <x v="1"/>
    <x v="2"/>
    <x v="14"/>
    <x v="0"/>
    <x v="1"/>
    <x v="1"/>
    <x v="1"/>
    <x v="0"/>
    <x v="0"/>
    <x v="0"/>
    <x v="1"/>
    <x v="1"/>
    <d v="1899-12-30T10:01:00"/>
    <d v="1899-12-30T10:35:00"/>
    <n v="34"/>
    <x v="0"/>
    <x v="0"/>
  </r>
  <r>
    <n v="638"/>
    <s v="Timothea"/>
    <s v="Female"/>
    <d v="2005-11-02T00:00:00"/>
    <x v="2"/>
    <n v="18"/>
    <x v="0"/>
    <x v="3"/>
    <x v="57"/>
    <x v="0"/>
    <x v="0"/>
    <x v="1"/>
    <x v="1"/>
    <x v="0"/>
    <x v="1"/>
    <x v="1"/>
    <x v="1"/>
    <x v="1"/>
    <d v="1899-12-30T19:45:00"/>
    <d v="1899-12-30T21:41:00"/>
    <n v="116"/>
    <x v="1"/>
    <x v="1"/>
  </r>
  <r>
    <n v="639"/>
    <s v="Shea"/>
    <s v="Female"/>
    <d v="1999-10-07T00:00:00"/>
    <x v="0"/>
    <n v="24"/>
    <x v="0"/>
    <x v="0"/>
    <x v="93"/>
    <x v="1"/>
    <x v="0"/>
    <x v="0"/>
    <x v="0"/>
    <x v="0"/>
    <x v="0"/>
    <x v="1"/>
    <x v="0"/>
    <x v="187"/>
    <d v="1899-12-30T09:25:00"/>
    <d v="1899-12-30T12:08:00"/>
    <n v="163"/>
    <x v="0"/>
    <x v="0"/>
  </r>
  <r>
    <n v="640"/>
    <s v="Romola"/>
    <s v="Female"/>
    <d v="2007-04-06T00:00:00"/>
    <x v="2"/>
    <n v="17"/>
    <x v="0"/>
    <x v="4"/>
    <x v="71"/>
    <x v="1"/>
    <x v="0"/>
    <x v="0"/>
    <x v="0"/>
    <x v="1"/>
    <x v="0"/>
    <x v="1"/>
    <x v="0"/>
    <x v="188"/>
    <d v="1899-12-30T10:00:00"/>
    <d v="1899-12-30T12:50:00"/>
    <n v="170"/>
    <x v="0"/>
    <x v="0"/>
  </r>
  <r>
    <n v="641"/>
    <s v="Elladine"/>
    <s v="Female"/>
    <d v="1999-08-17T00:00:00"/>
    <x v="0"/>
    <n v="25"/>
    <x v="0"/>
    <x v="2"/>
    <x v="14"/>
    <x v="0"/>
    <x v="1"/>
    <x v="1"/>
    <x v="1"/>
    <x v="0"/>
    <x v="0"/>
    <x v="0"/>
    <x v="1"/>
    <x v="1"/>
    <d v="1899-12-30T08:37:00"/>
    <d v="1899-12-30T11:18:00"/>
    <n v="161"/>
    <x v="1"/>
    <x v="1"/>
  </r>
  <r>
    <n v="642"/>
    <s v="Noelle"/>
    <s v="Female"/>
    <d v="1976-11-06T00:00:00"/>
    <x v="1"/>
    <n v="47"/>
    <x v="1"/>
    <x v="3"/>
    <x v="27"/>
    <x v="0"/>
    <x v="1"/>
    <x v="1"/>
    <x v="1"/>
    <x v="0"/>
    <x v="1"/>
    <x v="0"/>
    <x v="0"/>
    <x v="39"/>
    <d v="1899-12-30T12:42:00"/>
    <d v="1899-12-30T13:41:00"/>
    <n v="59"/>
    <x v="1"/>
    <x v="2"/>
  </r>
  <r>
    <n v="643"/>
    <s v="Dilan"/>
    <s v="Male"/>
    <d v="1999-07-25T00:00:00"/>
    <x v="0"/>
    <n v="25"/>
    <x v="0"/>
    <x v="3"/>
    <x v="17"/>
    <x v="0"/>
    <x v="1"/>
    <x v="1"/>
    <x v="0"/>
    <x v="0"/>
    <x v="0"/>
    <x v="0"/>
    <x v="0"/>
    <x v="45"/>
    <d v="1899-12-30T20:31:00"/>
    <d v="1899-12-30T22:06:00"/>
    <n v="95"/>
    <x v="1"/>
    <x v="3"/>
  </r>
  <r>
    <n v="644"/>
    <s v="Catlee"/>
    <s v="Female"/>
    <d v="2010-07-16T00:00:00"/>
    <x v="2"/>
    <n v="14"/>
    <x v="0"/>
    <x v="4"/>
    <x v="80"/>
    <x v="0"/>
    <x v="0"/>
    <x v="0"/>
    <x v="1"/>
    <x v="1"/>
    <x v="1"/>
    <x v="0"/>
    <x v="0"/>
    <x v="43"/>
    <d v="1899-12-30T12:54:00"/>
    <d v="1899-12-30T14:45:00"/>
    <n v="111"/>
    <x v="1"/>
    <x v="1"/>
  </r>
  <r>
    <n v="645"/>
    <s v="Padget"/>
    <s v="Male"/>
    <d v="2010-10-02T00:00:00"/>
    <x v="2"/>
    <n v="14"/>
    <x v="0"/>
    <x v="1"/>
    <x v="1"/>
    <x v="1"/>
    <x v="1"/>
    <x v="1"/>
    <x v="1"/>
    <x v="0"/>
    <x v="1"/>
    <x v="0"/>
    <x v="0"/>
    <x v="61"/>
    <d v="1899-12-30T17:23:00"/>
    <d v="1899-12-30T18:35:00"/>
    <n v="72"/>
    <x v="0"/>
    <x v="0"/>
  </r>
  <r>
    <n v="646"/>
    <s v="Toiboid"/>
    <s v="Male"/>
    <d v="1975-08-16T00:00:00"/>
    <x v="1"/>
    <n v="49"/>
    <x v="0"/>
    <x v="1"/>
    <x v="75"/>
    <x v="0"/>
    <x v="1"/>
    <x v="0"/>
    <x v="1"/>
    <x v="1"/>
    <x v="0"/>
    <x v="0"/>
    <x v="1"/>
    <x v="1"/>
    <d v="1899-12-30T17:16:00"/>
    <d v="1899-12-30T20:14:00"/>
    <n v="178"/>
    <x v="0"/>
    <x v="0"/>
  </r>
  <r>
    <n v="647"/>
    <s v="Rodd"/>
    <s v="Male"/>
    <d v="2000-07-26T00:00:00"/>
    <x v="0"/>
    <n v="24"/>
    <x v="1"/>
    <x v="3"/>
    <x v="7"/>
    <x v="1"/>
    <x v="1"/>
    <x v="1"/>
    <x v="1"/>
    <x v="0"/>
    <x v="0"/>
    <x v="0"/>
    <x v="0"/>
    <x v="189"/>
    <d v="1899-12-30T18:58:00"/>
    <d v="1899-12-30T21:53:00"/>
    <n v="175"/>
    <x v="0"/>
    <x v="0"/>
  </r>
  <r>
    <n v="648"/>
    <s v="Kikelia"/>
    <s v="Female"/>
    <d v="1998-09-22T00:00:00"/>
    <x v="0"/>
    <n v="26"/>
    <x v="1"/>
    <x v="2"/>
    <x v="5"/>
    <x v="0"/>
    <x v="1"/>
    <x v="0"/>
    <x v="1"/>
    <x v="0"/>
    <x v="0"/>
    <x v="1"/>
    <x v="0"/>
    <x v="52"/>
    <d v="1899-12-30T12:44:00"/>
    <d v="1899-12-30T15:27:00"/>
    <n v="163"/>
    <x v="0"/>
    <x v="0"/>
  </r>
  <r>
    <n v="649"/>
    <s v="Noelani"/>
    <s v="Female"/>
    <d v="2002-05-28T00:00:00"/>
    <x v="0"/>
    <n v="22"/>
    <x v="1"/>
    <x v="4"/>
    <x v="30"/>
    <x v="1"/>
    <x v="0"/>
    <x v="0"/>
    <x v="0"/>
    <x v="0"/>
    <x v="1"/>
    <x v="1"/>
    <x v="1"/>
    <x v="1"/>
    <d v="1899-12-30T13:50:00"/>
    <d v="1899-12-30T14:51:00"/>
    <n v="61"/>
    <x v="0"/>
    <x v="0"/>
  </r>
  <r>
    <n v="650"/>
    <s v="Holly"/>
    <s v="Male"/>
    <d v="2012-09-15T00:00:00"/>
    <x v="2"/>
    <n v="12"/>
    <x v="0"/>
    <x v="1"/>
    <x v="16"/>
    <x v="1"/>
    <x v="1"/>
    <x v="1"/>
    <x v="0"/>
    <x v="1"/>
    <x v="0"/>
    <x v="1"/>
    <x v="0"/>
    <x v="64"/>
    <d v="1899-12-30T14:54:00"/>
    <d v="1899-12-30T15:59:00"/>
    <n v="65"/>
    <x v="0"/>
    <x v="0"/>
  </r>
  <r>
    <n v="651"/>
    <s v="Bradley"/>
    <s v="Male"/>
    <d v="2010-09-13T00:00:00"/>
    <x v="2"/>
    <n v="14"/>
    <x v="0"/>
    <x v="0"/>
    <x v="105"/>
    <x v="0"/>
    <x v="1"/>
    <x v="1"/>
    <x v="0"/>
    <x v="1"/>
    <x v="1"/>
    <x v="0"/>
    <x v="1"/>
    <x v="1"/>
    <d v="1899-12-30T20:36:00"/>
    <d v="1899-12-30T21:38:00"/>
    <n v="62"/>
    <x v="0"/>
    <x v="0"/>
  </r>
  <r>
    <n v="652"/>
    <s v="Jermayne"/>
    <s v="Male"/>
    <d v="2006-08-22T00:00:00"/>
    <x v="2"/>
    <n v="18"/>
    <x v="0"/>
    <x v="1"/>
    <x v="41"/>
    <x v="0"/>
    <x v="1"/>
    <x v="1"/>
    <x v="0"/>
    <x v="1"/>
    <x v="1"/>
    <x v="1"/>
    <x v="1"/>
    <x v="1"/>
    <d v="1899-12-30T11:06:00"/>
    <d v="1899-12-30T12:50:00"/>
    <n v="104"/>
    <x v="0"/>
    <x v="0"/>
  </r>
  <r>
    <n v="653"/>
    <s v="Bradford"/>
    <s v="Male"/>
    <d v="1997-10-25T00:00:00"/>
    <x v="0"/>
    <n v="26"/>
    <x v="1"/>
    <x v="1"/>
    <x v="65"/>
    <x v="1"/>
    <x v="1"/>
    <x v="0"/>
    <x v="0"/>
    <x v="0"/>
    <x v="0"/>
    <x v="1"/>
    <x v="1"/>
    <x v="1"/>
    <d v="1899-12-30T13:11:00"/>
    <d v="1899-12-30T15:05:00"/>
    <n v="114"/>
    <x v="0"/>
    <x v="0"/>
  </r>
  <r>
    <n v="654"/>
    <s v="Fabian"/>
    <s v="Male"/>
    <d v="1978-01-01T00:00:00"/>
    <x v="1"/>
    <n v="46"/>
    <x v="0"/>
    <x v="2"/>
    <x v="2"/>
    <x v="1"/>
    <x v="1"/>
    <x v="1"/>
    <x v="1"/>
    <x v="0"/>
    <x v="0"/>
    <x v="1"/>
    <x v="1"/>
    <x v="1"/>
    <d v="1899-12-30T14:38:00"/>
    <d v="1899-12-30T16:07:00"/>
    <n v="89"/>
    <x v="0"/>
    <x v="0"/>
  </r>
  <r>
    <n v="655"/>
    <s v="Demetris"/>
    <s v="Male"/>
    <d v="1996-07-22T00:00:00"/>
    <x v="0"/>
    <n v="28"/>
    <x v="1"/>
    <x v="3"/>
    <x v="18"/>
    <x v="0"/>
    <x v="1"/>
    <x v="1"/>
    <x v="1"/>
    <x v="1"/>
    <x v="0"/>
    <x v="0"/>
    <x v="1"/>
    <x v="1"/>
    <d v="1899-12-30T09:20:00"/>
    <d v="1899-12-30T11:19:00"/>
    <n v="119"/>
    <x v="1"/>
    <x v="3"/>
  </r>
  <r>
    <n v="656"/>
    <s v="Barbabas"/>
    <s v="Male"/>
    <d v="2011-09-24T00:00:00"/>
    <x v="2"/>
    <n v="13"/>
    <x v="1"/>
    <x v="4"/>
    <x v="28"/>
    <x v="0"/>
    <x v="1"/>
    <x v="0"/>
    <x v="0"/>
    <x v="1"/>
    <x v="1"/>
    <x v="0"/>
    <x v="0"/>
    <x v="190"/>
    <d v="1899-12-30T17:13:00"/>
    <d v="1899-12-30T17:50:00"/>
    <n v="37"/>
    <x v="0"/>
    <x v="0"/>
  </r>
  <r>
    <n v="657"/>
    <s v="Ricoriki"/>
    <s v="Male"/>
    <d v="1984-06-15T00:00:00"/>
    <x v="3"/>
    <n v="40"/>
    <x v="0"/>
    <x v="3"/>
    <x v="52"/>
    <x v="0"/>
    <x v="1"/>
    <x v="1"/>
    <x v="0"/>
    <x v="1"/>
    <x v="0"/>
    <x v="1"/>
    <x v="0"/>
    <x v="24"/>
    <d v="1899-12-30T14:58:00"/>
    <d v="1899-12-30T15:44:00"/>
    <n v="46"/>
    <x v="0"/>
    <x v="0"/>
  </r>
  <r>
    <n v="658"/>
    <s v="Westleigh"/>
    <s v="Male"/>
    <d v="1999-01-01T00:00:00"/>
    <x v="0"/>
    <n v="25"/>
    <x v="1"/>
    <x v="0"/>
    <x v="110"/>
    <x v="1"/>
    <x v="1"/>
    <x v="0"/>
    <x v="1"/>
    <x v="0"/>
    <x v="1"/>
    <x v="0"/>
    <x v="1"/>
    <x v="1"/>
    <d v="1899-12-30T19:23:00"/>
    <d v="1899-12-30T20:33:00"/>
    <n v="70"/>
    <x v="0"/>
    <x v="0"/>
  </r>
  <r>
    <n v="659"/>
    <s v="Ailina"/>
    <s v="Female"/>
    <d v="2006-10-15T00:00:00"/>
    <x v="2"/>
    <n v="17"/>
    <x v="1"/>
    <x v="1"/>
    <x v="64"/>
    <x v="0"/>
    <x v="1"/>
    <x v="0"/>
    <x v="0"/>
    <x v="0"/>
    <x v="1"/>
    <x v="1"/>
    <x v="1"/>
    <x v="1"/>
    <d v="1899-12-30T18:02:00"/>
    <d v="1899-12-30T20:33:00"/>
    <n v="151"/>
    <x v="0"/>
    <x v="0"/>
  </r>
  <r>
    <n v="660"/>
    <s v="Bronson"/>
    <s v="Male"/>
    <d v="1977-06-17T00:00:00"/>
    <x v="1"/>
    <n v="47"/>
    <x v="0"/>
    <x v="3"/>
    <x v="17"/>
    <x v="0"/>
    <x v="1"/>
    <x v="1"/>
    <x v="0"/>
    <x v="0"/>
    <x v="0"/>
    <x v="0"/>
    <x v="1"/>
    <x v="1"/>
    <d v="1899-12-30T09:58:00"/>
    <d v="1899-12-30T12:28:00"/>
    <n v="150"/>
    <x v="0"/>
    <x v="0"/>
  </r>
  <r>
    <n v="661"/>
    <s v="Aaron"/>
    <s v="Male"/>
    <d v="2009-12-05T00:00:00"/>
    <x v="2"/>
    <n v="14"/>
    <x v="1"/>
    <x v="1"/>
    <x v="97"/>
    <x v="1"/>
    <x v="1"/>
    <x v="0"/>
    <x v="1"/>
    <x v="0"/>
    <x v="0"/>
    <x v="0"/>
    <x v="0"/>
    <x v="89"/>
    <d v="1899-12-30T17:02:00"/>
    <d v="1899-12-30T18:27:00"/>
    <n v="85"/>
    <x v="0"/>
    <x v="0"/>
  </r>
  <r>
    <n v="662"/>
    <s v="Giffer"/>
    <s v="Male"/>
    <d v="1985-12-07T00:00:00"/>
    <x v="3"/>
    <n v="38"/>
    <x v="0"/>
    <x v="3"/>
    <x v="91"/>
    <x v="0"/>
    <x v="1"/>
    <x v="1"/>
    <x v="1"/>
    <x v="1"/>
    <x v="1"/>
    <x v="1"/>
    <x v="0"/>
    <x v="191"/>
    <d v="1899-12-30T11:41:00"/>
    <d v="1899-12-30T13:51:00"/>
    <n v="130"/>
    <x v="1"/>
    <x v="4"/>
  </r>
  <r>
    <n v="663"/>
    <s v="Elisa"/>
    <s v="Female"/>
    <d v="1992-10-12T00:00:00"/>
    <x v="3"/>
    <n v="31"/>
    <x v="1"/>
    <x v="1"/>
    <x v="8"/>
    <x v="0"/>
    <x v="0"/>
    <x v="0"/>
    <x v="0"/>
    <x v="0"/>
    <x v="0"/>
    <x v="1"/>
    <x v="1"/>
    <x v="1"/>
    <d v="1899-12-30T14:01:00"/>
    <d v="1899-12-30T14:58:00"/>
    <n v="57"/>
    <x v="0"/>
    <x v="0"/>
  </r>
  <r>
    <n v="664"/>
    <s v="Myrle"/>
    <s v="Female"/>
    <d v="2011-03-27T00:00:00"/>
    <x v="2"/>
    <n v="13"/>
    <x v="1"/>
    <x v="2"/>
    <x v="14"/>
    <x v="0"/>
    <x v="1"/>
    <x v="1"/>
    <x v="1"/>
    <x v="0"/>
    <x v="0"/>
    <x v="0"/>
    <x v="1"/>
    <x v="1"/>
    <d v="1899-12-30T10:20:00"/>
    <d v="1899-12-30T12:47:00"/>
    <n v="147"/>
    <x v="0"/>
    <x v="0"/>
  </r>
  <r>
    <n v="665"/>
    <s v="Myrah"/>
    <s v="Female"/>
    <d v="1982-11-23T00:00:00"/>
    <x v="1"/>
    <n v="41"/>
    <x v="1"/>
    <x v="2"/>
    <x v="51"/>
    <x v="0"/>
    <x v="1"/>
    <x v="1"/>
    <x v="0"/>
    <x v="0"/>
    <x v="0"/>
    <x v="1"/>
    <x v="0"/>
    <x v="192"/>
    <d v="1899-12-30T11:45:00"/>
    <d v="1899-12-30T14:24:00"/>
    <n v="159"/>
    <x v="1"/>
    <x v="1"/>
  </r>
  <r>
    <n v="666"/>
    <s v="Hesther"/>
    <s v="Female"/>
    <d v="2005-02-18T00:00:00"/>
    <x v="2"/>
    <n v="19"/>
    <x v="0"/>
    <x v="3"/>
    <x v="18"/>
    <x v="0"/>
    <x v="1"/>
    <x v="1"/>
    <x v="1"/>
    <x v="1"/>
    <x v="0"/>
    <x v="0"/>
    <x v="0"/>
    <x v="193"/>
    <d v="1899-12-30T10:42:00"/>
    <d v="1899-12-30T12:48:00"/>
    <n v="126"/>
    <x v="1"/>
    <x v="2"/>
  </r>
  <r>
    <n v="667"/>
    <s v="Lewie"/>
    <s v="Male"/>
    <d v="1976-03-12T00:00:00"/>
    <x v="1"/>
    <n v="48"/>
    <x v="0"/>
    <x v="3"/>
    <x v="7"/>
    <x v="1"/>
    <x v="1"/>
    <x v="1"/>
    <x v="1"/>
    <x v="0"/>
    <x v="0"/>
    <x v="0"/>
    <x v="0"/>
    <x v="194"/>
    <d v="1899-12-30T11:46:00"/>
    <d v="1899-12-30T13:27:00"/>
    <n v="101"/>
    <x v="0"/>
    <x v="0"/>
  </r>
  <r>
    <n v="668"/>
    <s v="Nessy"/>
    <s v="Female"/>
    <d v="1988-11-30T00:00:00"/>
    <x v="3"/>
    <n v="35"/>
    <x v="1"/>
    <x v="1"/>
    <x v="29"/>
    <x v="1"/>
    <x v="0"/>
    <x v="1"/>
    <x v="1"/>
    <x v="1"/>
    <x v="0"/>
    <x v="1"/>
    <x v="0"/>
    <x v="152"/>
    <d v="1899-12-30T15:00:00"/>
    <d v="1899-12-30T16:45:00"/>
    <n v="105"/>
    <x v="0"/>
    <x v="0"/>
  </r>
  <r>
    <n v="669"/>
    <s v="Ashia"/>
    <s v="Female"/>
    <d v="1985-04-07T00:00:00"/>
    <x v="3"/>
    <n v="39"/>
    <x v="1"/>
    <x v="4"/>
    <x v="109"/>
    <x v="1"/>
    <x v="0"/>
    <x v="0"/>
    <x v="1"/>
    <x v="1"/>
    <x v="0"/>
    <x v="0"/>
    <x v="0"/>
    <x v="195"/>
    <d v="1899-12-30T19:04:00"/>
    <d v="1899-12-30T22:04:00"/>
    <n v="180"/>
    <x v="0"/>
    <x v="0"/>
  </r>
  <r>
    <n v="670"/>
    <s v="Carmencita"/>
    <s v="Female"/>
    <d v="2001-01-16T00:00:00"/>
    <x v="0"/>
    <n v="23"/>
    <x v="0"/>
    <x v="0"/>
    <x v="34"/>
    <x v="0"/>
    <x v="0"/>
    <x v="0"/>
    <x v="1"/>
    <x v="1"/>
    <x v="1"/>
    <x v="1"/>
    <x v="0"/>
    <x v="196"/>
    <d v="1899-12-30T09:17:00"/>
    <d v="1899-12-30T11:31:00"/>
    <n v="134"/>
    <x v="0"/>
    <x v="0"/>
  </r>
  <r>
    <n v="671"/>
    <s v="Gery"/>
    <s v="Male"/>
    <d v="1985-06-11T00:00:00"/>
    <x v="3"/>
    <n v="39"/>
    <x v="0"/>
    <x v="1"/>
    <x v="64"/>
    <x v="0"/>
    <x v="1"/>
    <x v="0"/>
    <x v="0"/>
    <x v="0"/>
    <x v="1"/>
    <x v="1"/>
    <x v="1"/>
    <x v="1"/>
    <d v="1899-12-30T12:36:00"/>
    <d v="1899-12-30T13:31:00"/>
    <n v="55"/>
    <x v="1"/>
    <x v="1"/>
  </r>
  <r>
    <n v="672"/>
    <s v="Duffie"/>
    <s v="Male"/>
    <d v="1977-01-08T00:00:00"/>
    <x v="1"/>
    <n v="47"/>
    <x v="1"/>
    <x v="3"/>
    <x v="91"/>
    <x v="0"/>
    <x v="1"/>
    <x v="1"/>
    <x v="1"/>
    <x v="1"/>
    <x v="1"/>
    <x v="1"/>
    <x v="0"/>
    <x v="161"/>
    <d v="1899-12-30T08:13:00"/>
    <d v="1899-12-30T09:41:00"/>
    <n v="88"/>
    <x v="1"/>
    <x v="3"/>
  </r>
  <r>
    <n v="673"/>
    <s v="Tomi"/>
    <s v="Female"/>
    <d v="2009-11-17T00:00:00"/>
    <x v="2"/>
    <n v="14"/>
    <x v="0"/>
    <x v="4"/>
    <x v="43"/>
    <x v="1"/>
    <x v="1"/>
    <x v="0"/>
    <x v="0"/>
    <x v="1"/>
    <x v="0"/>
    <x v="0"/>
    <x v="0"/>
    <x v="197"/>
    <d v="1899-12-30T10:49:00"/>
    <d v="1899-12-30T12:46:00"/>
    <n v="117"/>
    <x v="0"/>
    <x v="0"/>
  </r>
  <r>
    <n v="674"/>
    <s v="Yehudit"/>
    <s v="Male"/>
    <d v="2010-04-14T00:00:00"/>
    <x v="2"/>
    <n v="14"/>
    <x v="1"/>
    <x v="4"/>
    <x v="85"/>
    <x v="1"/>
    <x v="0"/>
    <x v="1"/>
    <x v="0"/>
    <x v="1"/>
    <x v="1"/>
    <x v="1"/>
    <x v="0"/>
    <x v="198"/>
    <d v="1899-12-30T20:16:00"/>
    <d v="1899-12-30T20:51:00"/>
    <n v="35"/>
    <x v="0"/>
    <x v="0"/>
  </r>
  <r>
    <n v="675"/>
    <s v="Sidonia"/>
    <s v="Female"/>
    <d v="1983-02-26T00:00:00"/>
    <x v="1"/>
    <n v="41"/>
    <x v="1"/>
    <x v="2"/>
    <x v="10"/>
    <x v="0"/>
    <x v="1"/>
    <x v="1"/>
    <x v="1"/>
    <x v="1"/>
    <x v="0"/>
    <x v="1"/>
    <x v="1"/>
    <x v="1"/>
    <d v="1899-12-30T11:52:00"/>
    <d v="1899-12-30T13:52:00"/>
    <n v="120"/>
    <x v="0"/>
    <x v="0"/>
  </r>
  <r>
    <n v="676"/>
    <s v="Bari"/>
    <s v="Female"/>
    <d v="1980-06-13T00:00:00"/>
    <x v="1"/>
    <n v="44"/>
    <x v="1"/>
    <x v="2"/>
    <x v="2"/>
    <x v="1"/>
    <x v="1"/>
    <x v="1"/>
    <x v="1"/>
    <x v="0"/>
    <x v="0"/>
    <x v="1"/>
    <x v="0"/>
    <x v="39"/>
    <d v="1899-12-30T08:17:00"/>
    <d v="1899-12-30T10:45:00"/>
    <n v="148"/>
    <x v="1"/>
    <x v="3"/>
  </r>
  <r>
    <n v="677"/>
    <s v="Tonia"/>
    <s v="Female"/>
    <d v="2000-05-16T00:00:00"/>
    <x v="0"/>
    <n v="24"/>
    <x v="0"/>
    <x v="4"/>
    <x v="85"/>
    <x v="1"/>
    <x v="0"/>
    <x v="1"/>
    <x v="0"/>
    <x v="1"/>
    <x v="1"/>
    <x v="1"/>
    <x v="0"/>
    <x v="174"/>
    <d v="1899-12-30T09:06:00"/>
    <d v="1899-12-30T09:49:00"/>
    <n v="43"/>
    <x v="0"/>
    <x v="0"/>
  </r>
  <r>
    <n v="678"/>
    <s v="Jessie"/>
    <s v="Female"/>
    <d v="1984-11-21T00:00:00"/>
    <x v="3"/>
    <n v="39"/>
    <x v="1"/>
    <x v="0"/>
    <x v="105"/>
    <x v="0"/>
    <x v="1"/>
    <x v="1"/>
    <x v="0"/>
    <x v="1"/>
    <x v="1"/>
    <x v="0"/>
    <x v="1"/>
    <x v="1"/>
    <d v="1899-12-30T13:57:00"/>
    <d v="1899-12-30T16:46:00"/>
    <n v="169"/>
    <x v="1"/>
    <x v="4"/>
  </r>
  <r>
    <n v="679"/>
    <s v="Terrill"/>
    <s v="Male"/>
    <d v="1987-01-11T00:00:00"/>
    <x v="3"/>
    <n v="37"/>
    <x v="0"/>
    <x v="2"/>
    <x v="5"/>
    <x v="0"/>
    <x v="1"/>
    <x v="0"/>
    <x v="1"/>
    <x v="0"/>
    <x v="0"/>
    <x v="1"/>
    <x v="0"/>
    <x v="199"/>
    <d v="1899-12-30T09:10:00"/>
    <d v="1899-12-30T09:49:00"/>
    <n v="39"/>
    <x v="0"/>
    <x v="0"/>
  </r>
  <r>
    <n v="680"/>
    <s v="Farlee"/>
    <s v="Male"/>
    <d v="1999-08-20T00:00:00"/>
    <x v="0"/>
    <n v="25"/>
    <x v="1"/>
    <x v="1"/>
    <x v="42"/>
    <x v="0"/>
    <x v="0"/>
    <x v="1"/>
    <x v="0"/>
    <x v="0"/>
    <x v="0"/>
    <x v="0"/>
    <x v="0"/>
    <x v="9"/>
    <d v="1899-12-30T16:33:00"/>
    <d v="1899-12-30T17:08:00"/>
    <n v="35"/>
    <x v="1"/>
    <x v="3"/>
  </r>
  <r>
    <n v="681"/>
    <s v="Aura"/>
    <s v="Female"/>
    <d v="1986-11-21T00:00:00"/>
    <x v="3"/>
    <n v="37"/>
    <x v="0"/>
    <x v="2"/>
    <x v="9"/>
    <x v="0"/>
    <x v="0"/>
    <x v="1"/>
    <x v="1"/>
    <x v="0"/>
    <x v="0"/>
    <x v="1"/>
    <x v="1"/>
    <x v="1"/>
    <d v="1899-12-30T09:11:00"/>
    <d v="1899-12-30T11:08:00"/>
    <n v="117"/>
    <x v="1"/>
    <x v="2"/>
  </r>
  <r>
    <n v="682"/>
    <s v="Maximilien"/>
    <s v="Male"/>
    <d v="1989-10-27T00:00:00"/>
    <x v="3"/>
    <n v="34"/>
    <x v="0"/>
    <x v="1"/>
    <x v="29"/>
    <x v="1"/>
    <x v="0"/>
    <x v="1"/>
    <x v="1"/>
    <x v="1"/>
    <x v="0"/>
    <x v="1"/>
    <x v="1"/>
    <x v="1"/>
    <d v="1899-12-30T10:54:00"/>
    <d v="1899-12-30T12:18:00"/>
    <n v="84"/>
    <x v="1"/>
    <x v="4"/>
  </r>
  <r>
    <n v="683"/>
    <s v="Kenneth"/>
    <s v="Male"/>
    <d v="1975-06-05T00:00:00"/>
    <x v="1"/>
    <n v="49"/>
    <x v="1"/>
    <x v="2"/>
    <x v="9"/>
    <x v="0"/>
    <x v="0"/>
    <x v="1"/>
    <x v="1"/>
    <x v="0"/>
    <x v="0"/>
    <x v="1"/>
    <x v="0"/>
    <x v="200"/>
    <d v="1899-12-30T20:23:00"/>
    <d v="1899-12-30T23:12:00"/>
    <n v="169"/>
    <x v="0"/>
    <x v="0"/>
  </r>
  <r>
    <n v="684"/>
    <s v="Joella"/>
    <s v="Female"/>
    <d v="2005-12-25T00:00:00"/>
    <x v="2"/>
    <n v="18"/>
    <x v="1"/>
    <x v="2"/>
    <x v="21"/>
    <x v="0"/>
    <x v="1"/>
    <x v="1"/>
    <x v="1"/>
    <x v="0"/>
    <x v="1"/>
    <x v="1"/>
    <x v="0"/>
    <x v="0"/>
    <d v="1899-12-30T17:51:00"/>
    <d v="1899-12-30T18:31:00"/>
    <n v="40"/>
    <x v="0"/>
    <x v="0"/>
  </r>
  <r>
    <n v="685"/>
    <s v="Norbie"/>
    <s v="Male"/>
    <d v="1981-08-15T00:00:00"/>
    <x v="1"/>
    <n v="43"/>
    <x v="1"/>
    <x v="3"/>
    <x v="56"/>
    <x v="1"/>
    <x v="1"/>
    <x v="1"/>
    <x v="1"/>
    <x v="0"/>
    <x v="1"/>
    <x v="1"/>
    <x v="1"/>
    <x v="1"/>
    <d v="1899-12-30T18:35:00"/>
    <d v="1899-12-30T20:40:00"/>
    <n v="125"/>
    <x v="1"/>
    <x v="1"/>
  </r>
  <r>
    <n v="686"/>
    <s v="Nessa"/>
    <s v="Female"/>
    <d v="1994-05-04T00:00:00"/>
    <x v="0"/>
    <n v="30"/>
    <x v="0"/>
    <x v="1"/>
    <x v="75"/>
    <x v="0"/>
    <x v="1"/>
    <x v="0"/>
    <x v="1"/>
    <x v="1"/>
    <x v="0"/>
    <x v="0"/>
    <x v="1"/>
    <x v="1"/>
    <d v="1899-12-30T10:16:00"/>
    <d v="1899-12-30T12:59:00"/>
    <n v="163"/>
    <x v="0"/>
    <x v="0"/>
  </r>
  <r>
    <n v="687"/>
    <s v="Wendall"/>
    <s v="Male"/>
    <d v="1995-02-23T00:00:00"/>
    <x v="0"/>
    <n v="29"/>
    <x v="1"/>
    <x v="1"/>
    <x v="1"/>
    <x v="1"/>
    <x v="1"/>
    <x v="1"/>
    <x v="1"/>
    <x v="0"/>
    <x v="1"/>
    <x v="0"/>
    <x v="0"/>
    <x v="0"/>
    <d v="1899-12-30T09:13:00"/>
    <d v="1899-12-30T10:58:00"/>
    <n v="105"/>
    <x v="0"/>
    <x v="0"/>
  </r>
  <r>
    <n v="688"/>
    <s v="Lyn"/>
    <s v="Male"/>
    <d v="2011-08-05T00:00:00"/>
    <x v="2"/>
    <n v="13"/>
    <x v="0"/>
    <x v="1"/>
    <x v="59"/>
    <x v="1"/>
    <x v="0"/>
    <x v="0"/>
    <x v="1"/>
    <x v="0"/>
    <x v="0"/>
    <x v="1"/>
    <x v="1"/>
    <x v="1"/>
    <d v="1899-12-30T20:25:00"/>
    <d v="1899-12-30T23:02:00"/>
    <n v="157"/>
    <x v="1"/>
    <x v="1"/>
  </r>
  <r>
    <n v="689"/>
    <s v="Elke"/>
    <s v="Female"/>
    <d v="2011-05-02T00:00:00"/>
    <x v="2"/>
    <n v="13"/>
    <x v="1"/>
    <x v="4"/>
    <x v="99"/>
    <x v="1"/>
    <x v="1"/>
    <x v="1"/>
    <x v="0"/>
    <x v="1"/>
    <x v="1"/>
    <x v="0"/>
    <x v="1"/>
    <x v="1"/>
    <d v="1899-12-30T09:47:00"/>
    <d v="1899-12-30T11:20:00"/>
    <n v="93"/>
    <x v="1"/>
    <x v="3"/>
  </r>
  <r>
    <n v="690"/>
    <s v="Simmonds"/>
    <s v="Male"/>
    <d v="1979-08-28T00:00:00"/>
    <x v="1"/>
    <n v="45"/>
    <x v="0"/>
    <x v="1"/>
    <x v="46"/>
    <x v="0"/>
    <x v="1"/>
    <x v="0"/>
    <x v="1"/>
    <x v="1"/>
    <x v="1"/>
    <x v="1"/>
    <x v="1"/>
    <x v="1"/>
    <d v="1899-12-30T13:10:00"/>
    <d v="1899-12-30T14:30:00"/>
    <n v="80"/>
    <x v="0"/>
    <x v="0"/>
  </r>
  <r>
    <n v="691"/>
    <s v="Guss"/>
    <s v="Male"/>
    <d v="1996-05-06T00:00:00"/>
    <x v="0"/>
    <n v="28"/>
    <x v="0"/>
    <x v="1"/>
    <x v="44"/>
    <x v="0"/>
    <x v="0"/>
    <x v="1"/>
    <x v="1"/>
    <x v="1"/>
    <x v="0"/>
    <x v="0"/>
    <x v="1"/>
    <x v="1"/>
    <d v="1899-12-30T10:17:00"/>
    <d v="1899-12-30T11:29:00"/>
    <n v="72"/>
    <x v="1"/>
    <x v="4"/>
  </r>
  <r>
    <n v="692"/>
    <s v="Matelda"/>
    <s v="Female"/>
    <d v="2007-11-30T00:00:00"/>
    <x v="2"/>
    <n v="16"/>
    <x v="0"/>
    <x v="0"/>
    <x v="60"/>
    <x v="0"/>
    <x v="0"/>
    <x v="1"/>
    <x v="0"/>
    <x v="1"/>
    <x v="0"/>
    <x v="0"/>
    <x v="0"/>
    <x v="10"/>
    <d v="1899-12-30T16:21:00"/>
    <d v="1899-12-30T18:27:00"/>
    <n v="126"/>
    <x v="1"/>
    <x v="4"/>
  </r>
  <r>
    <n v="693"/>
    <s v="Mignonne"/>
    <s v="Female"/>
    <d v="1987-12-14T00:00:00"/>
    <x v="3"/>
    <n v="36"/>
    <x v="1"/>
    <x v="0"/>
    <x v="88"/>
    <x v="0"/>
    <x v="0"/>
    <x v="0"/>
    <x v="0"/>
    <x v="1"/>
    <x v="0"/>
    <x v="1"/>
    <x v="1"/>
    <x v="1"/>
    <d v="1899-12-30T17:34:00"/>
    <d v="1899-12-30T18:19:00"/>
    <n v="45"/>
    <x v="1"/>
    <x v="3"/>
  </r>
  <r>
    <n v="694"/>
    <s v="Shirline"/>
    <s v="Female"/>
    <d v="2005-01-29T00:00:00"/>
    <x v="2"/>
    <n v="19"/>
    <x v="1"/>
    <x v="3"/>
    <x v="68"/>
    <x v="0"/>
    <x v="1"/>
    <x v="0"/>
    <x v="0"/>
    <x v="0"/>
    <x v="0"/>
    <x v="1"/>
    <x v="1"/>
    <x v="1"/>
    <d v="1899-12-30T16:40:00"/>
    <d v="1899-12-30T17:36:00"/>
    <n v="56"/>
    <x v="1"/>
    <x v="2"/>
  </r>
  <r>
    <n v="695"/>
    <s v="Gabriell"/>
    <s v="Female"/>
    <d v="1997-07-24T00:00:00"/>
    <x v="0"/>
    <n v="27"/>
    <x v="1"/>
    <x v="2"/>
    <x v="51"/>
    <x v="0"/>
    <x v="1"/>
    <x v="1"/>
    <x v="0"/>
    <x v="0"/>
    <x v="0"/>
    <x v="1"/>
    <x v="1"/>
    <x v="1"/>
    <d v="1899-12-30T12:30:00"/>
    <d v="1899-12-30T15:10:00"/>
    <n v="160"/>
    <x v="0"/>
    <x v="0"/>
  </r>
  <r>
    <n v="696"/>
    <s v="Janean"/>
    <s v="Female"/>
    <d v="2000-08-02T00:00:00"/>
    <x v="0"/>
    <n v="24"/>
    <x v="1"/>
    <x v="0"/>
    <x v="34"/>
    <x v="0"/>
    <x v="0"/>
    <x v="0"/>
    <x v="1"/>
    <x v="1"/>
    <x v="1"/>
    <x v="1"/>
    <x v="0"/>
    <x v="51"/>
    <d v="1899-12-30T11:43:00"/>
    <d v="1899-12-30T13:15:00"/>
    <n v="92"/>
    <x v="0"/>
    <x v="0"/>
  </r>
  <r>
    <n v="697"/>
    <s v="Alejandro"/>
    <s v="Male"/>
    <d v="2002-03-11T00:00:00"/>
    <x v="0"/>
    <n v="22"/>
    <x v="1"/>
    <x v="4"/>
    <x v="43"/>
    <x v="1"/>
    <x v="1"/>
    <x v="0"/>
    <x v="0"/>
    <x v="1"/>
    <x v="0"/>
    <x v="0"/>
    <x v="0"/>
    <x v="13"/>
    <d v="1899-12-30T10:31:00"/>
    <d v="1899-12-30T12:46:00"/>
    <n v="135"/>
    <x v="1"/>
    <x v="2"/>
  </r>
  <r>
    <n v="698"/>
    <s v="Morgan"/>
    <s v="Male"/>
    <d v="1975-03-21T00:00:00"/>
    <x v="1"/>
    <n v="49"/>
    <x v="1"/>
    <x v="1"/>
    <x v="62"/>
    <x v="0"/>
    <x v="1"/>
    <x v="0"/>
    <x v="0"/>
    <x v="1"/>
    <x v="0"/>
    <x v="1"/>
    <x v="1"/>
    <x v="1"/>
    <d v="1899-12-30T14:52:00"/>
    <d v="1899-12-30T17:14:00"/>
    <n v="142"/>
    <x v="1"/>
    <x v="1"/>
  </r>
  <r>
    <n v="699"/>
    <s v="Peadar"/>
    <s v="Male"/>
    <d v="2009-05-06T00:00:00"/>
    <x v="2"/>
    <n v="15"/>
    <x v="0"/>
    <x v="1"/>
    <x v="44"/>
    <x v="0"/>
    <x v="0"/>
    <x v="1"/>
    <x v="1"/>
    <x v="1"/>
    <x v="0"/>
    <x v="0"/>
    <x v="0"/>
    <x v="39"/>
    <d v="1899-12-30T18:06:00"/>
    <d v="1899-12-30T19:51:00"/>
    <n v="105"/>
    <x v="1"/>
    <x v="3"/>
  </r>
  <r>
    <n v="700"/>
    <s v="Alana"/>
    <s v="Female"/>
    <d v="1988-12-13T00:00:00"/>
    <x v="3"/>
    <n v="35"/>
    <x v="0"/>
    <x v="1"/>
    <x v="75"/>
    <x v="0"/>
    <x v="1"/>
    <x v="0"/>
    <x v="1"/>
    <x v="1"/>
    <x v="0"/>
    <x v="0"/>
    <x v="1"/>
    <x v="1"/>
    <d v="1899-12-30T16:35:00"/>
    <d v="1899-12-30T17:37:00"/>
    <n v="62"/>
    <x v="0"/>
    <x v="0"/>
  </r>
  <r>
    <n v="701"/>
    <s v="Julia"/>
    <s v="Female"/>
    <d v="2000-10-14T00:00:00"/>
    <x v="0"/>
    <n v="23"/>
    <x v="1"/>
    <x v="4"/>
    <x v="109"/>
    <x v="1"/>
    <x v="0"/>
    <x v="0"/>
    <x v="1"/>
    <x v="1"/>
    <x v="0"/>
    <x v="0"/>
    <x v="0"/>
    <x v="197"/>
    <d v="1899-12-30T11:19:00"/>
    <d v="1899-12-30T13:52:00"/>
    <n v="153"/>
    <x v="0"/>
    <x v="0"/>
  </r>
  <r>
    <n v="702"/>
    <s v="Rudiger"/>
    <s v="Male"/>
    <d v="1983-09-05T00:00:00"/>
    <x v="1"/>
    <n v="41"/>
    <x v="1"/>
    <x v="4"/>
    <x v="43"/>
    <x v="1"/>
    <x v="1"/>
    <x v="0"/>
    <x v="0"/>
    <x v="1"/>
    <x v="0"/>
    <x v="0"/>
    <x v="1"/>
    <x v="1"/>
    <d v="1899-12-30T10:22:00"/>
    <d v="1899-12-30T11:16:00"/>
    <n v="54"/>
    <x v="0"/>
    <x v="0"/>
  </r>
  <r>
    <n v="703"/>
    <s v="Travers"/>
    <s v="Male"/>
    <d v="1988-06-18T00:00:00"/>
    <x v="3"/>
    <n v="36"/>
    <x v="0"/>
    <x v="1"/>
    <x v="22"/>
    <x v="0"/>
    <x v="0"/>
    <x v="0"/>
    <x v="1"/>
    <x v="1"/>
    <x v="0"/>
    <x v="1"/>
    <x v="0"/>
    <x v="201"/>
    <d v="1899-12-30T16:01:00"/>
    <d v="1899-12-30T17:57:00"/>
    <n v="116"/>
    <x v="1"/>
    <x v="2"/>
  </r>
  <r>
    <n v="704"/>
    <s v="Hal"/>
    <s v="Male"/>
    <d v="1989-02-16T00:00:00"/>
    <x v="3"/>
    <n v="35"/>
    <x v="0"/>
    <x v="3"/>
    <x v="37"/>
    <x v="1"/>
    <x v="1"/>
    <x v="0"/>
    <x v="1"/>
    <x v="0"/>
    <x v="0"/>
    <x v="1"/>
    <x v="0"/>
    <x v="202"/>
    <d v="1899-12-30T20:14:00"/>
    <d v="1899-12-30T21:00:00"/>
    <n v="46"/>
    <x v="1"/>
    <x v="3"/>
  </r>
  <r>
    <n v="705"/>
    <s v="Edvard"/>
    <s v="Male"/>
    <d v="1991-11-30T00:00:00"/>
    <x v="3"/>
    <n v="32"/>
    <x v="1"/>
    <x v="1"/>
    <x v="67"/>
    <x v="1"/>
    <x v="1"/>
    <x v="1"/>
    <x v="1"/>
    <x v="1"/>
    <x v="1"/>
    <x v="1"/>
    <x v="0"/>
    <x v="203"/>
    <d v="1899-12-30T17:29:00"/>
    <d v="1899-12-30T19:11:00"/>
    <n v="102"/>
    <x v="0"/>
    <x v="0"/>
  </r>
  <r>
    <n v="706"/>
    <s v="Hayley"/>
    <s v="Female"/>
    <d v="1985-06-13T00:00:00"/>
    <x v="3"/>
    <n v="39"/>
    <x v="1"/>
    <x v="1"/>
    <x v="75"/>
    <x v="0"/>
    <x v="1"/>
    <x v="0"/>
    <x v="1"/>
    <x v="1"/>
    <x v="0"/>
    <x v="0"/>
    <x v="1"/>
    <x v="1"/>
    <d v="1899-12-30T11:05:00"/>
    <d v="1899-12-30T13:47:00"/>
    <n v="162"/>
    <x v="1"/>
    <x v="4"/>
  </r>
  <r>
    <n v="707"/>
    <s v="Grove"/>
    <s v="Male"/>
    <d v="1996-06-16T00:00:00"/>
    <x v="0"/>
    <n v="28"/>
    <x v="0"/>
    <x v="4"/>
    <x v="50"/>
    <x v="0"/>
    <x v="0"/>
    <x v="0"/>
    <x v="0"/>
    <x v="0"/>
    <x v="1"/>
    <x v="0"/>
    <x v="0"/>
    <x v="204"/>
    <d v="1899-12-30T13:31:00"/>
    <d v="1899-12-30T15:01:00"/>
    <n v="90"/>
    <x v="1"/>
    <x v="1"/>
  </r>
  <r>
    <n v="708"/>
    <s v="Chic"/>
    <s v="Male"/>
    <d v="2001-06-12T00:00:00"/>
    <x v="0"/>
    <n v="23"/>
    <x v="0"/>
    <x v="3"/>
    <x v="7"/>
    <x v="1"/>
    <x v="1"/>
    <x v="1"/>
    <x v="1"/>
    <x v="0"/>
    <x v="0"/>
    <x v="0"/>
    <x v="0"/>
    <x v="9"/>
    <d v="1899-12-30T18:01:00"/>
    <d v="1899-12-30T20:53:00"/>
    <n v="172"/>
    <x v="1"/>
    <x v="4"/>
  </r>
  <r>
    <n v="709"/>
    <s v="Rudolfo"/>
    <s v="Male"/>
    <d v="1983-11-25T00:00:00"/>
    <x v="3"/>
    <n v="40"/>
    <x v="1"/>
    <x v="1"/>
    <x v="59"/>
    <x v="1"/>
    <x v="0"/>
    <x v="0"/>
    <x v="1"/>
    <x v="0"/>
    <x v="0"/>
    <x v="1"/>
    <x v="0"/>
    <x v="205"/>
    <d v="1899-12-30T17:58:00"/>
    <d v="1899-12-30T20:07:00"/>
    <n v="129"/>
    <x v="0"/>
    <x v="0"/>
  </r>
  <r>
    <n v="710"/>
    <s v="Kayley"/>
    <s v="Female"/>
    <d v="2005-08-19T00:00:00"/>
    <x v="2"/>
    <n v="19"/>
    <x v="0"/>
    <x v="4"/>
    <x v="80"/>
    <x v="0"/>
    <x v="0"/>
    <x v="0"/>
    <x v="1"/>
    <x v="1"/>
    <x v="1"/>
    <x v="0"/>
    <x v="0"/>
    <x v="206"/>
    <d v="1899-12-30T10:54:00"/>
    <d v="1899-12-30T12:03:00"/>
    <n v="69"/>
    <x v="1"/>
    <x v="2"/>
  </r>
  <r>
    <n v="711"/>
    <s v="Nelli"/>
    <s v="Female"/>
    <d v="1983-03-20T00:00:00"/>
    <x v="1"/>
    <n v="41"/>
    <x v="1"/>
    <x v="3"/>
    <x v="37"/>
    <x v="1"/>
    <x v="1"/>
    <x v="0"/>
    <x v="1"/>
    <x v="0"/>
    <x v="0"/>
    <x v="1"/>
    <x v="0"/>
    <x v="34"/>
    <d v="1899-12-30T09:57:00"/>
    <d v="1899-12-30T11:49:00"/>
    <n v="112"/>
    <x v="0"/>
    <x v="0"/>
  </r>
  <r>
    <n v="712"/>
    <s v="Paul"/>
    <s v="Male"/>
    <d v="1999-12-08T00:00:00"/>
    <x v="0"/>
    <n v="24"/>
    <x v="1"/>
    <x v="0"/>
    <x v="34"/>
    <x v="0"/>
    <x v="0"/>
    <x v="0"/>
    <x v="1"/>
    <x v="1"/>
    <x v="1"/>
    <x v="1"/>
    <x v="0"/>
    <x v="207"/>
    <d v="1899-12-30T13:12:00"/>
    <d v="1899-12-30T15:06:00"/>
    <n v="114"/>
    <x v="1"/>
    <x v="4"/>
  </r>
  <r>
    <n v="713"/>
    <s v="Walt"/>
    <s v="Male"/>
    <d v="1986-11-06T00:00:00"/>
    <x v="3"/>
    <n v="37"/>
    <x v="1"/>
    <x v="1"/>
    <x v="24"/>
    <x v="0"/>
    <x v="0"/>
    <x v="1"/>
    <x v="0"/>
    <x v="0"/>
    <x v="1"/>
    <x v="1"/>
    <x v="0"/>
    <x v="6"/>
    <d v="1899-12-30T10:37:00"/>
    <d v="1899-12-30T11:40:00"/>
    <n v="63"/>
    <x v="1"/>
    <x v="1"/>
  </r>
  <r>
    <n v="714"/>
    <s v="Nananne"/>
    <s v="Female"/>
    <d v="1981-08-19T00:00:00"/>
    <x v="1"/>
    <n v="43"/>
    <x v="1"/>
    <x v="2"/>
    <x v="21"/>
    <x v="0"/>
    <x v="1"/>
    <x v="1"/>
    <x v="1"/>
    <x v="0"/>
    <x v="1"/>
    <x v="1"/>
    <x v="0"/>
    <x v="191"/>
    <d v="1899-12-30T10:50:00"/>
    <d v="1899-12-30T11:54:00"/>
    <n v="64"/>
    <x v="0"/>
    <x v="0"/>
  </r>
  <r>
    <n v="715"/>
    <s v="Brant"/>
    <s v="Male"/>
    <d v="1981-06-06T00:00:00"/>
    <x v="1"/>
    <n v="43"/>
    <x v="0"/>
    <x v="1"/>
    <x v="22"/>
    <x v="0"/>
    <x v="0"/>
    <x v="0"/>
    <x v="1"/>
    <x v="1"/>
    <x v="0"/>
    <x v="1"/>
    <x v="1"/>
    <x v="1"/>
    <d v="1899-12-30T12:02:00"/>
    <d v="1899-12-30T12:53:00"/>
    <n v="51"/>
    <x v="1"/>
    <x v="2"/>
  </r>
  <r>
    <n v="716"/>
    <s v="Emiline"/>
    <s v="Female"/>
    <d v="1995-08-02T00:00:00"/>
    <x v="0"/>
    <n v="29"/>
    <x v="1"/>
    <x v="0"/>
    <x v="110"/>
    <x v="1"/>
    <x v="1"/>
    <x v="0"/>
    <x v="1"/>
    <x v="0"/>
    <x v="1"/>
    <x v="0"/>
    <x v="0"/>
    <x v="16"/>
    <d v="1899-12-30T18:15:00"/>
    <d v="1899-12-30T19:38:00"/>
    <n v="83"/>
    <x v="1"/>
    <x v="2"/>
  </r>
  <r>
    <n v="717"/>
    <s v="Ive"/>
    <s v="Male"/>
    <d v="1980-02-07T00:00:00"/>
    <x v="1"/>
    <n v="44"/>
    <x v="0"/>
    <x v="0"/>
    <x v="111"/>
    <x v="1"/>
    <x v="0"/>
    <x v="1"/>
    <x v="0"/>
    <x v="1"/>
    <x v="0"/>
    <x v="1"/>
    <x v="1"/>
    <x v="1"/>
    <d v="1899-12-30T11:10:00"/>
    <d v="1899-12-30T12:53:00"/>
    <n v="103"/>
    <x v="0"/>
    <x v="0"/>
  </r>
  <r>
    <n v="718"/>
    <s v="Jethro"/>
    <s v="Male"/>
    <d v="1996-11-28T00:00:00"/>
    <x v="0"/>
    <n v="27"/>
    <x v="1"/>
    <x v="3"/>
    <x v="68"/>
    <x v="0"/>
    <x v="1"/>
    <x v="0"/>
    <x v="0"/>
    <x v="0"/>
    <x v="0"/>
    <x v="1"/>
    <x v="0"/>
    <x v="18"/>
    <d v="1899-12-30T20:32:00"/>
    <d v="1899-12-30T21:19:00"/>
    <n v="47"/>
    <x v="0"/>
    <x v="0"/>
  </r>
  <r>
    <n v="719"/>
    <s v="Pren"/>
    <s v="Male"/>
    <d v="1990-01-20T00:00:00"/>
    <x v="3"/>
    <n v="34"/>
    <x v="1"/>
    <x v="4"/>
    <x v="54"/>
    <x v="1"/>
    <x v="0"/>
    <x v="0"/>
    <x v="1"/>
    <x v="0"/>
    <x v="1"/>
    <x v="0"/>
    <x v="1"/>
    <x v="1"/>
    <d v="1899-12-30T08:33:00"/>
    <d v="1899-12-30T11:22:00"/>
    <n v="169"/>
    <x v="0"/>
    <x v="0"/>
  </r>
  <r>
    <n v="720"/>
    <s v="Lloyd"/>
    <s v="Male"/>
    <d v="2006-02-17T00:00:00"/>
    <x v="2"/>
    <n v="18"/>
    <x v="1"/>
    <x v="0"/>
    <x v="112"/>
    <x v="1"/>
    <x v="1"/>
    <x v="1"/>
    <x v="1"/>
    <x v="1"/>
    <x v="1"/>
    <x v="0"/>
    <x v="0"/>
    <x v="39"/>
    <d v="1899-12-30T19:42:00"/>
    <d v="1899-12-30T21:49:00"/>
    <n v="127"/>
    <x v="0"/>
    <x v="0"/>
  </r>
  <r>
    <n v="721"/>
    <s v="Haskel"/>
    <s v="Male"/>
    <d v="1994-07-29T00:00:00"/>
    <x v="0"/>
    <n v="30"/>
    <x v="0"/>
    <x v="3"/>
    <x v="56"/>
    <x v="1"/>
    <x v="1"/>
    <x v="1"/>
    <x v="1"/>
    <x v="0"/>
    <x v="1"/>
    <x v="1"/>
    <x v="1"/>
    <x v="1"/>
    <d v="1899-12-30T08:38:00"/>
    <d v="1899-12-30T09:11:00"/>
    <n v="33"/>
    <x v="1"/>
    <x v="1"/>
  </r>
  <r>
    <n v="722"/>
    <s v="Paten"/>
    <s v="Male"/>
    <d v="2005-06-12T00:00:00"/>
    <x v="2"/>
    <n v="19"/>
    <x v="1"/>
    <x v="2"/>
    <x v="14"/>
    <x v="0"/>
    <x v="1"/>
    <x v="1"/>
    <x v="1"/>
    <x v="0"/>
    <x v="0"/>
    <x v="0"/>
    <x v="1"/>
    <x v="1"/>
    <d v="1899-12-30T11:29:00"/>
    <d v="1899-12-30T13:38:00"/>
    <n v="129"/>
    <x v="1"/>
    <x v="3"/>
  </r>
  <r>
    <n v="723"/>
    <s v="Otho"/>
    <s v="Male"/>
    <d v="1997-09-03T00:00:00"/>
    <x v="0"/>
    <n v="27"/>
    <x v="0"/>
    <x v="2"/>
    <x v="9"/>
    <x v="0"/>
    <x v="0"/>
    <x v="1"/>
    <x v="1"/>
    <x v="0"/>
    <x v="0"/>
    <x v="1"/>
    <x v="0"/>
    <x v="155"/>
    <d v="1899-12-30T18:22:00"/>
    <d v="1899-12-30T20:08:00"/>
    <n v="106"/>
    <x v="0"/>
    <x v="0"/>
  </r>
  <r>
    <n v="724"/>
    <s v="Riccardo"/>
    <s v="Male"/>
    <d v="1977-07-15T00:00:00"/>
    <x v="1"/>
    <n v="47"/>
    <x v="0"/>
    <x v="3"/>
    <x v="7"/>
    <x v="1"/>
    <x v="1"/>
    <x v="1"/>
    <x v="1"/>
    <x v="0"/>
    <x v="0"/>
    <x v="0"/>
    <x v="0"/>
    <x v="45"/>
    <d v="1899-12-30T19:06:00"/>
    <d v="1899-12-30T21:35:00"/>
    <n v="149"/>
    <x v="1"/>
    <x v="1"/>
  </r>
  <r>
    <n v="725"/>
    <s v="Querida"/>
    <s v="Female"/>
    <d v="1982-10-12T00:00:00"/>
    <x v="1"/>
    <n v="41"/>
    <x v="0"/>
    <x v="3"/>
    <x v="7"/>
    <x v="1"/>
    <x v="1"/>
    <x v="1"/>
    <x v="1"/>
    <x v="0"/>
    <x v="0"/>
    <x v="0"/>
    <x v="1"/>
    <x v="1"/>
    <d v="1899-12-30T19:18:00"/>
    <d v="1899-12-30T20:05:00"/>
    <n v="47"/>
    <x v="1"/>
    <x v="4"/>
  </r>
  <r>
    <n v="726"/>
    <s v="Sebastien"/>
    <s v="Male"/>
    <d v="1990-06-17T00:00:00"/>
    <x v="3"/>
    <n v="34"/>
    <x v="0"/>
    <x v="1"/>
    <x v="72"/>
    <x v="1"/>
    <x v="1"/>
    <x v="1"/>
    <x v="1"/>
    <x v="1"/>
    <x v="0"/>
    <x v="0"/>
    <x v="1"/>
    <x v="1"/>
    <d v="1899-12-30T10:54:00"/>
    <d v="1899-12-30T12:53:00"/>
    <n v="119"/>
    <x v="0"/>
    <x v="0"/>
  </r>
  <r>
    <n v="727"/>
    <s v="Zeb"/>
    <s v="Male"/>
    <d v="1985-06-06T00:00:00"/>
    <x v="3"/>
    <n v="39"/>
    <x v="0"/>
    <x v="0"/>
    <x v="113"/>
    <x v="1"/>
    <x v="1"/>
    <x v="0"/>
    <x v="1"/>
    <x v="1"/>
    <x v="1"/>
    <x v="1"/>
    <x v="0"/>
    <x v="138"/>
    <d v="1899-12-30T11:51:00"/>
    <d v="1899-12-30T14:17:00"/>
    <n v="146"/>
    <x v="0"/>
    <x v="0"/>
  </r>
  <r>
    <n v="728"/>
    <s v="Raina"/>
    <s v="Female"/>
    <d v="2001-03-17T00:00:00"/>
    <x v="0"/>
    <n v="23"/>
    <x v="0"/>
    <x v="4"/>
    <x v="85"/>
    <x v="1"/>
    <x v="0"/>
    <x v="1"/>
    <x v="0"/>
    <x v="1"/>
    <x v="1"/>
    <x v="1"/>
    <x v="0"/>
    <x v="208"/>
    <d v="1899-12-30T20:57:00"/>
    <d v="1899-12-30T23:29:00"/>
    <n v="152"/>
    <x v="0"/>
    <x v="0"/>
  </r>
  <r>
    <n v="729"/>
    <s v="Sasha"/>
    <s v="Male"/>
    <d v="1983-11-01T00:00:00"/>
    <x v="3"/>
    <n v="40"/>
    <x v="1"/>
    <x v="1"/>
    <x v="63"/>
    <x v="1"/>
    <x v="1"/>
    <x v="0"/>
    <x v="1"/>
    <x v="0"/>
    <x v="1"/>
    <x v="1"/>
    <x v="1"/>
    <x v="1"/>
    <d v="1899-12-30T19:38:00"/>
    <d v="1899-12-30T22:38:00"/>
    <n v="180"/>
    <x v="1"/>
    <x v="1"/>
  </r>
  <r>
    <n v="730"/>
    <s v="Courtnay"/>
    <s v="Male"/>
    <d v="1985-07-10T00:00:00"/>
    <x v="3"/>
    <n v="39"/>
    <x v="0"/>
    <x v="4"/>
    <x v="108"/>
    <x v="1"/>
    <x v="1"/>
    <x v="0"/>
    <x v="0"/>
    <x v="0"/>
    <x v="1"/>
    <x v="0"/>
    <x v="1"/>
    <x v="1"/>
    <d v="1899-12-30T15:28:00"/>
    <d v="1899-12-30T18:19:00"/>
    <n v="171"/>
    <x v="1"/>
    <x v="1"/>
  </r>
  <r>
    <n v="731"/>
    <s v="Caitrin"/>
    <s v="Female"/>
    <d v="2008-05-24T00:00:00"/>
    <x v="2"/>
    <n v="16"/>
    <x v="0"/>
    <x v="3"/>
    <x v="7"/>
    <x v="1"/>
    <x v="1"/>
    <x v="1"/>
    <x v="1"/>
    <x v="0"/>
    <x v="0"/>
    <x v="0"/>
    <x v="0"/>
    <x v="79"/>
    <d v="1899-12-30T09:10:00"/>
    <d v="1899-12-30T11:57:00"/>
    <n v="167"/>
    <x v="1"/>
    <x v="4"/>
  </r>
  <r>
    <n v="732"/>
    <s v="Melva"/>
    <s v="Female"/>
    <d v="1991-06-20T00:00:00"/>
    <x v="3"/>
    <n v="33"/>
    <x v="0"/>
    <x v="0"/>
    <x v="58"/>
    <x v="0"/>
    <x v="0"/>
    <x v="0"/>
    <x v="0"/>
    <x v="0"/>
    <x v="1"/>
    <x v="1"/>
    <x v="1"/>
    <x v="1"/>
    <d v="1899-12-30T13:30:00"/>
    <d v="1899-12-30T14:58:00"/>
    <n v="88"/>
    <x v="1"/>
    <x v="4"/>
  </r>
  <r>
    <n v="733"/>
    <s v="Cirilo"/>
    <s v="Male"/>
    <d v="1977-01-24T00:00:00"/>
    <x v="1"/>
    <n v="47"/>
    <x v="1"/>
    <x v="2"/>
    <x v="2"/>
    <x v="1"/>
    <x v="1"/>
    <x v="1"/>
    <x v="1"/>
    <x v="0"/>
    <x v="0"/>
    <x v="1"/>
    <x v="0"/>
    <x v="6"/>
    <d v="1899-12-30T18:15:00"/>
    <d v="1899-12-30T18:54:00"/>
    <n v="39"/>
    <x v="0"/>
    <x v="0"/>
  </r>
  <r>
    <n v="734"/>
    <s v="Konrad"/>
    <s v="Male"/>
    <d v="1999-12-08T00:00:00"/>
    <x v="0"/>
    <n v="24"/>
    <x v="0"/>
    <x v="1"/>
    <x v="42"/>
    <x v="0"/>
    <x v="0"/>
    <x v="1"/>
    <x v="0"/>
    <x v="0"/>
    <x v="0"/>
    <x v="0"/>
    <x v="1"/>
    <x v="1"/>
    <d v="1899-12-30T09:13:00"/>
    <d v="1899-12-30T09:54:00"/>
    <n v="41"/>
    <x v="0"/>
    <x v="0"/>
  </r>
  <r>
    <n v="735"/>
    <s v="Georgeta"/>
    <s v="Female"/>
    <d v="1991-02-05T00:00:00"/>
    <x v="3"/>
    <n v="33"/>
    <x v="1"/>
    <x v="3"/>
    <x v="53"/>
    <x v="0"/>
    <x v="0"/>
    <x v="0"/>
    <x v="1"/>
    <x v="0"/>
    <x v="0"/>
    <x v="1"/>
    <x v="0"/>
    <x v="209"/>
    <d v="1899-12-30T09:24:00"/>
    <d v="1899-12-30T11:18:00"/>
    <n v="114"/>
    <x v="1"/>
    <x v="3"/>
  </r>
  <r>
    <n v="736"/>
    <s v="Whitaker"/>
    <s v="Male"/>
    <d v="1982-12-16T00:00:00"/>
    <x v="1"/>
    <n v="41"/>
    <x v="0"/>
    <x v="3"/>
    <x v="47"/>
    <x v="0"/>
    <x v="0"/>
    <x v="1"/>
    <x v="0"/>
    <x v="0"/>
    <x v="0"/>
    <x v="1"/>
    <x v="0"/>
    <x v="210"/>
    <d v="1899-12-30T20:54:00"/>
    <d v="1899-12-30T22:22:00"/>
    <n v="88"/>
    <x v="1"/>
    <x v="1"/>
  </r>
  <r>
    <n v="737"/>
    <s v="Feodor"/>
    <s v="Male"/>
    <d v="1988-03-16T00:00:00"/>
    <x v="3"/>
    <n v="36"/>
    <x v="0"/>
    <x v="2"/>
    <x v="5"/>
    <x v="0"/>
    <x v="1"/>
    <x v="0"/>
    <x v="1"/>
    <x v="0"/>
    <x v="0"/>
    <x v="1"/>
    <x v="1"/>
    <x v="1"/>
    <d v="1899-12-30T08:43:00"/>
    <d v="1899-12-30T10:53:00"/>
    <n v="130"/>
    <x v="0"/>
    <x v="0"/>
  </r>
  <r>
    <n v="738"/>
    <s v="Dorian"/>
    <s v="Female"/>
    <d v="1976-09-28T00:00:00"/>
    <x v="1"/>
    <n v="48"/>
    <x v="1"/>
    <x v="4"/>
    <x v="23"/>
    <x v="0"/>
    <x v="0"/>
    <x v="1"/>
    <x v="0"/>
    <x v="1"/>
    <x v="1"/>
    <x v="0"/>
    <x v="0"/>
    <x v="39"/>
    <d v="1899-12-30T11:21:00"/>
    <d v="1899-12-30T11:59:00"/>
    <n v="38"/>
    <x v="1"/>
    <x v="3"/>
  </r>
  <r>
    <n v="739"/>
    <s v="Carmelia"/>
    <s v="Female"/>
    <d v="2003-11-09T00:00:00"/>
    <x v="0"/>
    <n v="20"/>
    <x v="0"/>
    <x v="1"/>
    <x v="29"/>
    <x v="1"/>
    <x v="0"/>
    <x v="1"/>
    <x v="1"/>
    <x v="1"/>
    <x v="0"/>
    <x v="1"/>
    <x v="1"/>
    <x v="1"/>
    <d v="1899-12-30T15:28:00"/>
    <d v="1899-12-30T16:22:00"/>
    <n v="54"/>
    <x v="0"/>
    <x v="0"/>
  </r>
  <r>
    <n v="740"/>
    <s v="Kellsie"/>
    <s v="Female"/>
    <d v="2005-06-25T00:00:00"/>
    <x v="2"/>
    <n v="19"/>
    <x v="0"/>
    <x v="0"/>
    <x v="104"/>
    <x v="1"/>
    <x v="1"/>
    <x v="0"/>
    <x v="1"/>
    <x v="1"/>
    <x v="0"/>
    <x v="0"/>
    <x v="1"/>
    <x v="1"/>
    <d v="1899-12-30T11:16:00"/>
    <d v="1899-12-30T14:15:00"/>
    <n v="179"/>
    <x v="0"/>
    <x v="0"/>
  </r>
  <r>
    <n v="741"/>
    <s v="Igor"/>
    <s v="Male"/>
    <d v="2009-04-06T00:00:00"/>
    <x v="2"/>
    <n v="15"/>
    <x v="1"/>
    <x v="3"/>
    <x v="73"/>
    <x v="1"/>
    <x v="1"/>
    <x v="1"/>
    <x v="1"/>
    <x v="1"/>
    <x v="0"/>
    <x v="1"/>
    <x v="0"/>
    <x v="9"/>
    <d v="1899-12-30T20:07:00"/>
    <d v="1899-12-30T21:56:00"/>
    <n v="109"/>
    <x v="0"/>
    <x v="0"/>
  </r>
  <r>
    <n v="742"/>
    <s v="Ambrosio"/>
    <s v="Male"/>
    <d v="1997-08-27T00:00:00"/>
    <x v="0"/>
    <n v="27"/>
    <x v="1"/>
    <x v="2"/>
    <x v="2"/>
    <x v="1"/>
    <x v="1"/>
    <x v="1"/>
    <x v="1"/>
    <x v="0"/>
    <x v="0"/>
    <x v="1"/>
    <x v="1"/>
    <x v="1"/>
    <d v="1899-12-30T18:02:00"/>
    <d v="1899-12-30T19:13:00"/>
    <n v="71"/>
    <x v="0"/>
    <x v="0"/>
  </r>
  <r>
    <n v="743"/>
    <s v="Bartie"/>
    <s v="Male"/>
    <d v="1992-12-08T00:00:00"/>
    <x v="3"/>
    <n v="31"/>
    <x v="1"/>
    <x v="3"/>
    <x v="12"/>
    <x v="1"/>
    <x v="1"/>
    <x v="1"/>
    <x v="0"/>
    <x v="0"/>
    <x v="0"/>
    <x v="1"/>
    <x v="0"/>
    <x v="20"/>
    <d v="1899-12-30T20:28:00"/>
    <d v="1899-12-30T21:04:00"/>
    <n v="36"/>
    <x v="1"/>
    <x v="2"/>
  </r>
  <r>
    <n v="744"/>
    <s v="Prince"/>
    <s v="Male"/>
    <d v="2004-10-02T00:00:00"/>
    <x v="0"/>
    <n v="20"/>
    <x v="0"/>
    <x v="1"/>
    <x v="64"/>
    <x v="0"/>
    <x v="1"/>
    <x v="0"/>
    <x v="0"/>
    <x v="0"/>
    <x v="1"/>
    <x v="1"/>
    <x v="0"/>
    <x v="211"/>
    <d v="1899-12-30T10:42:00"/>
    <d v="1899-12-30T13:30:00"/>
    <n v="168"/>
    <x v="1"/>
    <x v="2"/>
  </r>
  <r>
    <n v="745"/>
    <s v="Lonna"/>
    <s v="Female"/>
    <d v="2011-05-01T00:00:00"/>
    <x v="2"/>
    <n v="13"/>
    <x v="1"/>
    <x v="1"/>
    <x v="59"/>
    <x v="1"/>
    <x v="0"/>
    <x v="0"/>
    <x v="1"/>
    <x v="0"/>
    <x v="0"/>
    <x v="1"/>
    <x v="0"/>
    <x v="13"/>
    <d v="1899-12-30T13:37:00"/>
    <d v="1899-12-30T14:38:00"/>
    <n v="61"/>
    <x v="0"/>
    <x v="0"/>
  </r>
  <r>
    <n v="746"/>
    <s v="Dallon"/>
    <s v="Male"/>
    <d v="2007-08-01T00:00:00"/>
    <x v="2"/>
    <n v="17"/>
    <x v="0"/>
    <x v="3"/>
    <x v="12"/>
    <x v="1"/>
    <x v="1"/>
    <x v="1"/>
    <x v="0"/>
    <x v="0"/>
    <x v="0"/>
    <x v="1"/>
    <x v="0"/>
    <x v="9"/>
    <d v="1899-12-30T10:09:00"/>
    <d v="1899-12-30T11:35:00"/>
    <n v="86"/>
    <x v="0"/>
    <x v="0"/>
  </r>
  <r>
    <n v="747"/>
    <s v="Loydie"/>
    <s v="Male"/>
    <d v="1980-10-25T00:00:00"/>
    <x v="1"/>
    <n v="43"/>
    <x v="1"/>
    <x v="3"/>
    <x v="39"/>
    <x v="0"/>
    <x v="1"/>
    <x v="0"/>
    <x v="1"/>
    <x v="0"/>
    <x v="1"/>
    <x v="1"/>
    <x v="1"/>
    <x v="1"/>
    <d v="1899-12-30T13:10:00"/>
    <d v="1899-12-30T13:42:00"/>
    <n v="32"/>
    <x v="1"/>
    <x v="2"/>
  </r>
  <r>
    <n v="748"/>
    <s v="Harland"/>
    <s v="Male"/>
    <d v="1981-09-01T00:00:00"/>
    <x v="1"/>
    <n v="43"/>
    <x v="0"/>
    <x v="2"/>
    <x v="9"/>
    <x v="0"/>
    <x v="0"/>
    <x v="1"/>
    <x v="1"/>
    <x v="0"/>
    <x v="0"/>
    <x v="1"/>
    <x v="1"/>
    <x v="1"/>
    <d v="1899-12-30T19:43:00"/>
    <d v="1899-12-30T21:36:00"/>
    <n v="113"/>
    <x v="1"/>
    <x v="2"/>
  </r>
  <r>
    <n v="749"/>
    <s v="Yolande"/>
    <s v="Female"/>
    <d v="2012-07-21T00:00:00"/>
    <x v="2"/>
    <n v="12"/>
    <x v="0"/>
    <x v="3"/>
    <x v="31"/>
    <x v="0"/>
    <x v="0"/>
    <x v="1"/>
    <x v="1"/>
    <x v="0"/>
    <x v="0"/>
    <x v="0"/>
    <x v="0"/>
    <x v="195"/>
    <d v="1899-12-30T10:42:00"/>
    <d v="1899-12-30T12:58:00"/>
    <n v="136"/>
    <x v="0"/>
    <x v="0"/>
  </r>
  <r>
    <n v="750"/>
    <s v="Agnese"/>
    <s v="Female"/>
    <d v="1975-04-26T00:00:00"/>
    <x v="1"/>
    <n v="49"/>
    <x v="1"/>
    <x v="4"/>
    <x v="43"/>
    <x v="1"/>
    <x v="1"/>
    <x v="0"/>
    <x v="0"/>
    <x v="1"/>
    <x v="0"/>
    <x v="0"/>
    <x v="0"/>
    <x v="61"/>
    <d v="1899-12-30T10:28:00"/>
    <d v="1899-12-30T13:20:00"/>
    <n v="172"/>
    <x v="0"/>
    <x v="0"/>
  </r>
  <r>
    <n v="751"/>
    <s v="Nana"/>
    <s v="Female"/>
    <d v="1991-07-02T00:00:00"/>
    <x v="3"/>
    <n v="33"/>
    <x v="1"/>
    <x v="1"/>
    <x v="6"/>
    <x v="1"/>
    <x v="0"/>
    <x v="1"/>
    <x v="1"/>
    <x v="0"/>
    <x v="0"/>
    <x v="0"/>
    <x v="0"/>
    <x v="212"/>
    <d v="1899-12-30T13:11:00"/>
    <d v="1899-12-30T13:43:00"/>
    <n v="32"/>
    <x v="0"/>
    <x v="0"/>
  </r>
  <r>
    <n v="752"/>
    <s v="Daile"/>
    <s v="Female"/>
    <d v="1994-08-05T00:00:00"/>
    <x v="0"/>
    <n v="30"/>
    <x v="1"/>
    <x v="1"/>
    <x v="72"/>
    <x v="1"/>
    <x v="1"/>
    <x v="1"/>
    <x v="1"/>
    <x v="1"/>
    <x v="0"/>
    <x v="0"/>
    <x v="1"/>
    <x v="1"/>
    <d v="1899-12-30T08:05:00"/>
    <d v="1899-12-30T10:32:00"/>
    <n v="147"/>
    <x v="1"/>
    <x v="3"/>
  </r>
  <r>
    <n v="753"/>
    <s v="Jacquette"/>
    <s v="Female"/>
    <d v="1995-10-30T00:00:00"/>
    <x v="0"/>
    <n v="28"/>
    <x v="0"/>
    <x v="1"/>
    <x v="3"/>
    <x v="0"/>
    <x v="1"/>
    <x v="0"/>
    <x v="1"/>
    <x v="0"/>
    <x v="1"/>
    <x v="0"/>
    <x v="1"/>
    <x v="1"/>
    <d v="1899-12-30T10:11:00"/>
    <d v="1899-12-30T12:42:00"/>
    <n v="151"/>
    <x v="0"/>
    <x v="0"/>
  </r>
  <r>
    <n v="754"/>
    <s v="Vida"/>
    <s v="Female"/>
    <d v="1990-12-09T00:00:00"/>
    <x v="3"/>
    <n v="33"/>
    <x v="1"/>
    <x v="1"/>
    <x v="46"/>
    <x v="0"/>
    <x v="1"/>
    <x v="0"/>
    <x v="1"/>
    <x v="1"/>
    <x v="1"/>
    <x v="1"/>
    <x v="1"/>
    <x v="1"/>
    <d v="1899-12-30T15:13:00"/>
    <d v="1899-12-30T15:58:00"/>
    <n v="45"/>
    <x v="1"/>
    <x v="1"/>
  </r>
  <r>
    <n v="755"/>
    <s v="Mommy"/>
    <s v="Female"/>
    <d v="2008-05-08T00:00:00"/>
    <x v="2"/>
    <n v="16"/>
    <x v="1"/>
    <x v="1"/>
    <x v="36"/>
    <x v="0"/>
    <x v="0"/>
    <x v="1"/>
    <x v="0"/>
    <x v="1"/>
    <x v="0"/>
    <x v="1"/>
    <x v="1"/>
    <x v="1"/>
    <d v="1899-12-30T18:39:00"/>
    <d v="1899-12-30T20:33:00"/>
    <n v="114"/>
    <x v="0"/>
    <x v="0"/>
  </r>
  <r>
    <n v="756"/>
    <s v="Orv"/>
    <s v="Male"/>
    <d v="1983-05-09T00:00:00"/>
    <x v="1"/>
    <n v="41"/>
    <x v="0"/>
    <x v="2"/>
    <x v="5"/>
    <x v="0"/>
    <x v="1"/>
    <x v="0"/>
    <x v="1"/>
    <x v="0"/>
    <x v="0"/>
    <x v="1"/>
    <x v="0"/>
    <x v="213"/>
    <d v="1899-12-30T19:23:00"/>
    <d v="1899-12-30T21:42:00"/>
    <n v="139"/>
    <x v="0"/>
    <x v="0"/>
  </r>
  <r>
    <n v="757"/>
    <s v="Nikolaus"/>
    <s v="Male"/>
    <d v="2003-12-30T00:00:00"/>
    <x v="0"/>
    <n v="20"/>
    <x v="0"/>
    <x v="2"/>
    <x v="51"/>
    <x v="0"/>
    <x v="1"/>
    <x v="1"/>
    <x v="0"/>
    <x v="0"/>
    <x v="0"/>
    <x v="1"/>
    <x v="1"/>
    <x v="1"/>
    <d v="1899-12-30T11:23:00"/>
    <d v="1899-12-30T12:22:00"/>
    <n v="59"/>
    <x v="0"/>
    <x v="0"/>
  </r>
  <r>
    <n v="758"/>
    <s v="Gabbi"/>
    <s v="Female"/>
    <d v="1997-11-05T00:00:00"/>
    <x v="0"/>
    <n v="26"/>
    <x v="1"/>
    <x v="4"/>
    <x v="23"/>
    <x v="0"/>
    <x v="0"/>
    <x v="1"/>
    <x v="0"/>
    <x v="1"/>
    <x v="1"/>
    <x v="0"/>
    <x v="1"/>
    <x v="1"/>
    <d v="1899-12-30T15:16:00"/>
    <d v="1899-12-30T18:06:00"/>
    <n v="170"/>
    <x v="1"/>
    <x v="3"/>
  </r>
  <r>
    <n v="759"/>
    <s v="Ricki"/>
    <s v="Male"/>
    <d v="2005-08-10T00:00:00"/>
    <x v="2"/>
    <n v="19"/>
    <x v="1"/>
    <x v="1"/>
    <x v="59"/>
    <x v="1"/>
    <x v="0"/>
    <x v="0"/>
    <x v="1"/>
    <x v="0"/>
    <x v="0"/>
    <x v="1"/>
    <x v="0"/>
    <x v="214"/>
    <d v="1899-12-30T13:19:00"/>
    <d v="1899-12-30T14:40:00"/>
    <n v="81"/>
    <x v="0"/>
    <x v="0"/>
  </r>
  <r>
    <n v="760"/>
    <s v="Simmonds"/>
    <s v="Male"/>
    <d v="1981-05-15T00:00:00"/>
    <x v="1"/>
    <n v="43"/>
    <x v="0"/>
    <x v="4"/>
    <x v="108"/>
    <x v="1"/>
    <x v="1"/>
    <x v="0"/>
    <x v="0"/>
    <x v="0"/>
    <x v="1"/>
    <x v="0"/>
    <x v="0"/>
    <x v="215"/>
    <d v="1899-12-30T09:29:00"/>
    <d v="1899-12-30T11:01:00"/>
    <n v="92"/>
    <x v="1"/>
    <x v="1"/>
  </r>
  <r>
    <n v="761"/>
    <s v="Leonerd"/>
    <s v="Male"/>
    <d v="1983-08-20T00:00:00"/>
    <x v="1"/>
    <n v="41"/>
    <x v="1"/>
    <x v="2"/>
    <x v="9"/>
    <x v="0"/>
    <x v="0"/>
    <x v="1"/>
    <x v="1"/>
    <x v="0"/>
    <x v="0"/>
    <x v="1"/>
    <x v="0"/>
    <x v="211"/>
    <d v="1899-12-30T13:41:00"/>
    <d v="1899-12-30T14:42:00"/>
    <n v="61"/>
    <x v="1"/>
    <x v="2"/>
  </r>
  <r>
    <n v="762"/>
    <s v="Ardis"/>
    <s v="Female"/>
    <d v="2001-12-23T00:00:00"/>
    <x v="0"/>
    <n v="22"/>
    <x v="1"/>
    <x v="3"/>
    <x v="18"/>
    <x v="0"/>
    <x v="1"/>
    <x v="1"/>
    <x v="1"/>
    <x v="1"/>
    <x v="0"/>
    <x v="0"/>
    <x v="0"/>
    <x v="135"/>
    <d v="1899-12-30T12:13:00"/>
    <d v="1899-12-30T13:54:00"/>
    <n v="101"/>
    <x v="0"/>
    <x v="0"/>
  </r>
  <r>
    <n v="763"/>
    <s v="Gabbie"/>
    <s v="Female"/>
    <d v="1978-11-22T00:00:00"/>
    <x v="1"/>
    <n v="45"/>
    <x v="0"/>
    <x v="1"/>
    <x v="44"/>
    <x v="0"/>
    <x v="0"/>
    <x v="1"/>
    <x v="1"/>
    <x v="1"/>
    <x v="0"/>
    <x v="0"/>
    <x v="0"/>
    <x v="216"/>
    <d v="1899-12-30T15:39:00"/>
    <d v="1899-12-30T16:28:00"/>
    <n v="49"/>
    <x v="1"/>
    <x v="2"/>
  </r>
  <r>
    <n v="764"/>
    <s v="Lars"/>
    <s v="Male"/>
    <d v="2009-10-22T00:00:00"/>
    <x v="2"/>
    <n v="14"/>
    <x v="0"/>
    <x v="4"/>
    <x v="85"/>
    <x v="1"/>
    <x v="0"/>
    <x v="1"/>
    <x v="0"/>
    <x v="1"/>
    <x v="1"/>
    <x v="1"/>
    <x v="0"/>
    <x v="217"/>
    <d v="1899-12-30T08:10:00"/>
    <d v="1899-12-30T09:35:00"/>
    <n v="85"/>
    <x v="0"/>
    <x v="0"/>
  </r>
  <r>
    <n v="765"/>
    <s v="Godfree"/>
    <s v="Male"/>
    <d v="1997-11-09T00:00:00"/>
    <x v="0"/>
    <n v="26"/>
    <x v="1"/>
    <x v="2"/>
    <x v="51"/>
    <x v="0"/>
    <x v="1"/>
    <x v="1"/>
    <x v="0"/>
    <x v="0"/>
    <x v="0"/>
    <x v="1"/>
    <x v="1"/>
    <x v="1"/>
    <d v="1899-12-30T14:21:00"/>
    <d v="1899-12-30T15:06:00"/>
    <n v="45"/>
    <x v="0"/>
    <x v="0"/>
  </r>
  <r>
    <n v="766"/>
    <s v="Kally"/>
    <s v="Female"/>
    <d v="1978-03-17T00:00:00"/>
    <x v="1"/>
    <n v="46"/>
    <x v="0"/>
    <x v="2"/>
    <x v="9"/>
    <x v="0"/>
    <x v="0"/>
    <x v="1"/>
    <x v="1"/>
    <x v="0"/>
    <x v="0"/>
    <x v="1"/>
    <x v="0"/>
    <x v="218"/>
    <d v="1899-12-30T14:44:00"/>
    <d v="1899-12-30T17:00:00"/>
    <n v="136"/>
    <x v="1"/>
    <x v="1"/>
  </r>
  <r>
    <n v="767"/>
    <s v="Lin"/>
    <s v="Male"/>
    <d v="1989-07-13T00:00:00"/>
    <x v="3"/>
    <n v="35"/>
    <x v="0"/>
    <x v="4"/>
    <x v="90"/>
    <x v="1"/>
    <x v="0"/>
    <x v="0"/>
    <x v="0"/>
    <x v="0"/>
    <x v="0"/>
    <x v="0"/>
    <x v="1"/>
    <x v="1"/>
    <d v="1899-12-30T13:07:00"/>
    <d v="1899-12-30T15:27:00"/>
    <n v="140"/>
    <x v="1"/>
    <x v="1"/>
  </r>
  <r>
    <n v="768"/>
    <s v="Benjy"/>
    <s v="Male"/>
    <d v="2005-12-03T00:00:00"/>
    <x v="2"/>
    <n v="18"/>
    <x v="1"/>
    <x v="3"/>
    <x v="53"/>
    <x v="0"/>
    <x v="0"/>
    <x v="0"/>
    <x v="1"/>
    <x v="0"/>
    <x v="0"/>
    <x v="1"/>
    <x v="1"/>
    <x v="1"/>
    <d v="1899-12-30T14:16:00"/>
    <d v="1899-12-30T14:55:00"/>
    <n v="39"/>
    <x v="1"/>
    <x v="3"/>
  </r>
  <r>
    <n v="769"/>
    <s v="Glynda"/>
    <s v="Female"/>
    <d v="1995-07-31T00:00:00"/>
    <x v="0"/>
    <n v="29"/>
    <x v="1"/>
    <x v="0"/>
    <x v="114"/>
    <x v="0"/>
    <x v="0"/>
    <x v="0"/>
    <x v="1"/>
    <x v="1"/>
    <x v="0"/>
    <x v="0"/>
    <x v="0"/>
    <x v="45"/>
    <d v="1899-12-30T13:25:00"/>
    <d v="1899-12-30T15:14:00"/>
    <n v="109"/>
    <x v="0"/>
    <x v="0"/>
  </r>
  <r>
    <n v="770"/>
    <s v="Marcelo"/>
    <s v="Male"/>
    <d v="1997-09-01T00:00:00"/>
    <x v="0"/>
    <n v="27"/>
    <x v="0"/>
    <x v="3"/>
    <x v="31"/>
    <x v="0"/>
    <x v="0"/>
    <x v="1"/>
    <x v="1"/>
    <x v="0"/>
    <x v="0"/>
    <x v="0"/>
    <x v="1"/>
    <x v="1"/>
    <d v="1899-12-30T17:22:00"/>
    <d v="1899-12-30T18:22:00"/>
    <n v="60"/>
    <x v="1"/>
    <x v="1"/>
  </r>
  <r>
    <n v="771"/>
    <s v="Dominique"/>
    <s v="Female"/>
    <d v="1988-06-27T00:00:00"/>
    <x v="3"/>
    <n v="36"/>
    <x v="0"/>
    <x v="2"/>
    <x v="2"/>
    <x v="1"/>
    <x v="1"/>
    <x v="1"/>
    <x v="1"/>
    <x v="0"/>
    <x v="0"/>
    <x v="1"/>
    <x v="1"/>
    <x v="1"/>
    <d v="1899-12-30T20:00:00"/>
    <d v="1899-12-30T21:31:00"/>
    <n v="91"/>
    <x v="1"/>
    <x v="2"/>
  </r>
  <r>
    <n v="772"/>
    <s v="Robbi"/>
    <s v="Female"/>
    <d v="1995-01-30T00:00:00"/>
    <x v="0"/>
    <n v="29"/>
    <x v="1"/>
    <x v="3"/>
    <x v="52"/>
    <x v="0"/>
    <x v="1"/>
    <x v="1"/>
    <x v="0"/>
    <x v="1"/>
    <x v="0"/>
    <x v="1"/>
    <x v="1"/>
    <x v="1"/>
    <d v="1899-12-30T20:52:00"/>
    <d v="1899-12-30T22:32:00"/>
    <n v="100"/>
    <x v="1"/>
    <x v="1"/>
  </r>
  <r>
    <n v="773"/>
    <s v="Willis"/>
    <s v="Male"/>
    <d v="1988-06-26T00:00:00"/>
    <x v="3"/>
    <n v="36"/>
    <x v="1"/>
    <x v="1"/>
    <x v="26"/>
    <x v="0"/>
    <x v="0"/>
    <x v="1"/>
    <x v="1"/>
    <x v="1"/>
    <x v="1"/>
    <x v="1"/>
    <x v="0"/>
    <x v="219"/>
    <d v="1899-12-30T18:25:00"/>
    <d v="1899-12-30T20:27:00"/>
    <n v="122"/>
    <x v="1"/>
    <x v="1"/>
  </r>
  <r>
    <n v="774"/>
    <s v="Dario"/>
    <s v="Male"/>
    <d v="1988-04-18T00:00:00"/>
    <x v="3"/>
    <n v="36"/>
    <x v="0"/>
    <x v="0"/>
    <x v="103"/>
    <x v="0"/>
    <x v="1"/>
    <x v="0"/>
    <x v="0"/>
    <x v="0"/>
    <x v="1"/>
    <x v="0"/>
    <x v="1"/>
    <x v="1"/>
    <d v="1899-12-30T12:32:00"/>
    <d v="1899-12-30T13:03:00"/>
    <n v="31"/>
    <x v="0"/>
    <x v="0"/>
  </r>
  <r>
    <n v="775"/>
    <s v="Odella"/>
    <s v="Female"/>
    <d v="2012-03-09T00:00:00"/>
    <x v="2"/>
    <n v="12"/>
    <x v="0"/>
    <x v="4"/>
    <x v="99"/>
    <x v="1"/>
    <x v="1"/>
    <x v="1"/>
    <x v="0"/>
    <x v="1"/>
    <x v="1"/>
    <x v="0"/>
    <x v="0"/>
    <x v="20"/>
    <d v="1899-12-30T09:35:00"/>
    <d v="1899-12-30T10:48:00"/>
    <n v="73"/>
    <x v="0"/>
    <x v="0"/>
  </r>
  <r>
    <n v="776"/>
    <s v="Shannan"/>
    <s v="Male"/>
    <d v="1990-07-20T00:00:00"/>
    <x v="3"/>
    <n v="34"/>
    <x v="0"/>
    <x v="3"/>
    <x v="17"/>
    <x v="0"/>
    <x v="1"/>
    <x v="1"/>
    <x v="0"/>
    <x v="0"/>
    <x v="0"/>
    <x v="0"/>
    <x v="1"/>
    <x v="1"/>
    <d v="1899-12-30T18:44:00"/>
    <d v="1899-12-30T19:32:00"/>
    <n v="48"/>
    <x v="0"/>
    <x v="0"/>
  </r>
  <r>
    <n v="777"/>
    <s v="Harriette"/>
    <s v="Female"/>
    <d v="1980-04-18T00:00:00"/>
    <x v="1"/>
    <n v="44"/>
    <x v="0"/>
    <x v="3"/>
    <x v="57"/>
    <x v="0"/>
    <x v="0"/>
    <x v="1"/>
    <x v="1"/>
    <x v="0"/>
    <x v="1"/>
    <x v="1"/>
    <x v="1"/>
    <x v="1"/>
    <d v="1899-12-30T14:58:00"/>
    <d v="1899-12-30T16:14:00"/>
    <n v="76"/>
    <x v="1"/>
    <x v="4"/>
  </r>
  <r>
    <n v="778"/>
    <s v="Zacharias"/>
    <s v="Male"/>
    <d v="1978-05-27T00:00:00"/>
    <x v="1"/>
    <n v="46"/>
    <x v="0"/>
    <x v="1"/>
    <x v="46"/>
    <x v="0"/>
    <x v="1"/>
    <x v="0"/>
    <x v="1"/>
    <x v="1"/>
    <x v="1"/>
    <x v="1"/>
    <x v="0"/>
    <x v="145"/>
    <d v="1899-12-30T20:17:00"/>
    <d v="1899-12-30T21:15:00"/>
    <n v="58"/>
    <x v="0"/>
    <x v="0"/>
  </r>
  <r>
    <n v="779"/>
    <s v="Lorenza"/>
    <s v="Female"/>
    <d v="1987-09-14T00:00:00"/>
    <x v="3"/>
    <n v="37"/>
    <x v="1"/>
    <x v="2"/>
    <x v="14"/>
    <x v="0"/>
    <x v="1"/>
    <x v="1"/>
    <x v="1"/>
    <x v="0"/>
    <x v="0"/>
    <x v="0"/>
    <x v="0"/>
    <x v="209"/>
    <d v="1899-12-30T08:37:00"/>
    <d v="1899-12-30T10:26:00"/>
    <n v="109"/>
    <x v="1"/>
    <x v="2"/>
  </r>
  <r>
    <n v="780"/>
    <s v="Dulsea"/>
    <s v="Female"/>
    <d v="2000-01-21T00:00:00"/>
    <x v="0"/>
    <n v="24"/>
    <x v="0"/>
    <x v="1"/>
    <x v="22"/>
    <x v="0"/>
    <x v="0"/>
    <x v="0"/>
    <x v="1"/>
    <x v="1"/>
    <x v="0"/>
    <x v="1"/>
    <x v="1"/>
    <x v="1"/>
    <d v="1899-12-30T13:20:00"/>
    <d v="1899-12-30T15:46:00"/>
    <n v="146"/>
    <x v="0"/>
    <x v="0"/>
  </r>
  <r>
    <n v="781"/>
    <s v="Martyn"/>
    <s v="Male"/>
    <d v="1978-02-28T00:00:00"/>
    <x v="1"/>
    <n v="46"/>
    <x v="0"/>
    <x v="0"/>
    <x v="102"/>
    <x v="0"/>
    <x v="1"/>
    <x v="0"/>
    <x v="0"/>
    <x v="1"/>
    <x v="1"/>
    <x v="1"/>
    <x v="0"/>
    <x v="170"/>
    <d v="1899-12-30T16:32:00"/>
    <d v="1899-12-30T18:27:00"/>
    <n v="115"/>
    <x v="1"/>
    <x v="4"/>
  </r>
  <r>
    <n v="782"/>
    <s v="Elvera"/>
    <s v="Female"/>
    <d v="2004-01-12T00:00:00"/>
    <x v="0"/>
    <n v="20"/>
    <x v="0"/>
    <x v="3"/>
    <x v="33"/>
    <x v="0"/>
    <x v="1"/>
    <x v="1"/>
    <x v="0"/>
    <x v="0"/>
    <x v="1"/>
    <x v="1"/>
    <x v="1"/>
    <x v="1"/>
    <d v="1899-12-30T14:03:00"/>
    <d v="1899-12-30T16:21:00"/>
    <n v="138"/>
    <x v="1"/>
    <x v="4"/>
  </r>
  <r>
    <n v="783"/>
    <s v="Dion"/>
    <s v="Male"/>
    <d v="1991-12-16T00:00:00"/>
    <x v="3"/>
    <n v="32"/>
    <x v="1"/>
    <x v="1"/>
    <x v="97"/>
    <x v="1"/>
    <x v="1"/>
    <x v="0"/>
    <x v="1"/>
    <x v="0"/>
    <x v="0"/>
    <x v="0"/>
    <x v="0"/>
    <x v="19"/>
    <d v="1899-12-30T12:16:00"/>
    <d v="1899-12-30T13:37:00"/>
    <n v="81"/>
    <x v="1"/>
    <x v="2"/>
  </r>
  <r>
    <n v="784"/>
    <s v="Anallise"/>
    <s v="Female"/>
    <d v="1997-11-22T00:00:00"/>
    <x v="0"/>
    <n v="26"/>
    <x v="1"/>
    <x v="1"/>
    <x v="94"/>
    <x v="0"/>
    <x v="1"/>
    <x v="0"/>
    <x v="0"/>
    <x v="0"/>
    <x v="0"/>
    <x v="0"/>
    <x v="1"/>
    <x v="1"/>
    <d v="1899-12-30T09:38:00"/>
    <d v="1899-12-30T12:18:00"/>
    <n v="160"/>
    <x v="1"/>
    <x v="4"/>
  </r>
  <r>
    <n v="785"/>
    <s v="Evey"/>
    <s v="Female"/>
    <d v="1985-10-16T00:00:00"/>
    <x v="3"/>
    <n v="38"/>
    <x v="1"/>
    <x v="2"/>
    <x v="14"/>
    <x v="0"/>
    <x v="1"/>
    <x v="1"/>
    <x v="1"/>
    <x v="0"/>
    <x v="0"/>
    <x v="0"/>
    <x v="0"/>
    <x v="6"/>
    <d v="1899-12-30T18:29:00"/>
    <d v="1899-12-30T19:00:00"/>
    <n v="31"/>
    <x v="0"/>
    <x v="0"/>
  </r>
  <r>
    <n v="786"/>
    <s v="Margareta"/>
    <s v="Female"/>
    <d v="1979-09-19T00:00:00"/>
    <x v="1"/>
    <n v="45"/>
    <x v="0"/>
    <x v="0"/>
    <x v="40"/>
    <x v="1"/>
    <x v="0"/>
    <x v="1"/>
    <x v="0"/>
    <x v="0"/>
    <x v="1"/>
    <x v="1"/>
    <x v="1"/>
    <x v="1"/>
    <d v="1899-12-30T19:32:00"/>
    <d v="1899-12-30T21:32:00"/>
    <n v="120"/>
    <x v="0"/>
    <x v="0"/>
  </r>
  <r>
    <n v="787"/>
    <s v="Codi"/>
    <s v="Female"/>
    <d v="2003-11-17T00:00:00"/>
    <x v="0"/>
    <n v="20"/>
    <x v="1"/>
    <x v="2"/>
    <x v="51"/>
    <x v="0"/>
    <x v="1"/>
    <x v="1"/>
    <x v="0"/>
    <x v="0"/>
    <x v="0"/>
    <x v="1"/>
    <x v="1"/>
    <x v="1"/>
    <d v="1899-12-30T11:35:00"/>
    <d v="1899-12-30T13:53:00"/>
    <n v="138"/>
    <x v="0"/>
    <x v="0"/>
  </r>
  <r>
    <n v="788"/>
    <s v="Kane"/>
    <s v="Male"/>
    <d v="1976-04-13T00:00:00"/>
    <x v="1"/>
    <n v="48"/>
    <x v="1"/>
    <x v="1"/>
    <x v="38"/>
    <x v="1"/>
    <x v="1"/>
    <x v="1"/>
    <x v="0"/>
    <x v="0"/>
    <x v="1"/>
    <x v="1"/>
    <x v="1"/>
    <x v="1"/>
    <d v="1899-12-30T19:44:00"/>
    <d v="1899-12-30T22:18:00"/>
    <n v="154"/>
    <x v="0"/>
    <x v="0"/>
  </r>
  <r>
    <n v="789"/>
    <s v="Starlin"/>
    <s v="Female"/>
    <d v="1982-11-16T00:00:00"/>
    <x v="1"/>
    <n v="41"/>
    <x v="0"/>
    <x v="0"/>
    <x v="15"/>
    <x v="1"/>
    <x v="0"/>
    <x v="1"/>
    <x v="0"/>
    <x v="0"/>
    <x v="0"/>
    <x v="0"/>
    <x v="1"/>
    <x v="1"/>
    <d v="1899-12-30T17:08:00"/>
    <d v="1899-12-30T17:39:00"/>
    <n v="31"/>
    <x v="1"/>
    <x v="3"/>
  </r>
  <r>
    <n v="790"/>
    <s v="Derron"/>
    <s v="Male"/>
    <d v="1999-12-27T00:00:00"/>
    <x v="0"/>
    <n v="24"/>
    <x v="1"/>
    <x v="3"/>
    <x v="91"/>
    <x v="0"/>
    <x v="1"/>
    <x v="1"/>
    <x v="1"/>
    <x v="1"/>
    <x v="1"/>
    <x v="1"/>
    <x v="1"/>
    <x v="1"/>
    <d v="1899-12-30T13:22:00"/>
    <d v="1899-12-30T14:21:00"/>
    <n v="59"/>
    <x v="1"/>
    <x v="3"/>
  </r>
  <r>
    <n v="791"/>
    <s v="Fred"/>
    <s v="Female"/>
    <d v="1977-06-26T00:00:00"/>
    <x v="1"/>
    <n v="47"/>
    <x v="1"/>
    <x v="1"/>
    <x v="16"/>
    <x v="1"/>
    <x v="1"/>
    <x v="1"/>
    <x v="0"/>
    <x v="1"/>
    <x v="0"/>
    <x v="1"/>
    <x v="1"/>
    <x v="1"/>
    <d v="1899-12-30T16:49:00"/>
    <d v="1899-12-30T18:12:00"/>
    <n v="83"/>
    <x v="0"/>
    <x v="0"/>
  </r>
  <r>
    <n v="792"/>
    <s v="Celestina"/>
    <s v="Female"/>
    <d v="1982-05-14T00:00:00"/>
    <x v="1"/>
    <n v="42"/>
    <x v="0"/>
    <x v="1"/>
    <x v="78"/>
    <x v="1"/>
    <x v="1"/>
    <x v="1"/>
    <x v="0"/>
    <x v="0"/>
    <x v="0"/>
    <x v="0"/>
    <x v="0"/>
    <x v="220"/>
    <d v="1899-12-30T11:44:00"/>
    <d v="1899-12-30T13:18:00"/>
    <n v="94"/>
    <x v="1"/>
    <x v="1"/>
  </r>
  <r>
    <n v="793"/>
    <s v="Berk"/>
    <s v="Male"/>
    <d v="1990-10-16T00:00:00"/>
    <x v="3"/>
    <n v="33"/>
    <x v="1"/>
    <x v="2"/>
    <x v="5"/>
    <x v="0"/>
    <x v="1"/>
    <x v="0"/>
    <x v="1"/>
    <x v="0"/>
    <x v="0"/>
    <x v="1"/>
    <x v="0"/>
    <x v="43"/>
    <d v="1899-12-30T16:06:00"/>
    <d v="1899-12-30T18:49:00"/>
    <n v="163"/>
    <x v="0"/>
    <x v="0"/>
  </r>
  <r>
    <n v="794"/>
    <s v="Vallie"/>
    <s v="Female"/>
    <d v="2000-04-19T00:00:00"/>
    <x v="0"/>
    <n v="24"/>
    <x v="1"/>
    <x v="0"/>
    <x v="106"/>
    <x v="1"/>
    <x v="0"/>
    <x v="0"/>
    <x v="1"/>
    <x v="0"/>
    <x v="1"/>
    <x v="1"/>
    <x v="1"/>
    <x v="1"/>
    <d v="1899-12-30T17:17:00"/>
    <d v="1899-12-30T18:20:00"/>
    <n v="63"/>
    <x v="0"/>
    <x v="0"/>
  </r>
  <r>
    <n v="795"/>
    <s v="Jeremie"/>
    <s v="Male"/>
    <d v="1995-02-18T00:00:00"/>
    <x v="0"/>
    <n v="29"/>
    <x v="1"/>
    <x v="2"/>
    <x v="10"/>
    <x v="0"/>
    <x v="1"/>
    <x v="1"/>
    <x v="1"/>
    <x v="1"/>
    <x v="0"/>
    <x v="1"/>
    <x v="0"/>
    <x v="20"/>
    <d v="1899-12-30T12:59:00"/>
    <d v="1899-12-30T14:55:00"/>
    <n v="116"/>
    <x v="1"/>
    <x v="2"/>
  </r>
  <r>
    <n v="796"/>
    <s v="Marylinda"/>
    <s v="Female"/>
    <d v="1994-10-06T00:00:00"/>
    <x v="0"/>
    <n v="29"/>
    <x v="1"/>
    <x v="0"/>
    <x v="82"/>
    <x v="1"/>
    <x v="1"/>
    <x v="0"/>
    <x v="0"/>
    <x v="1"/>
    <x v="0"/>
    <x v="1"/>
    <x v="0"/>
    <x v="221"/>
    <d v="1899-12-30T09:21:00"/>
    <d v="1899-12-30T11:38:00"/>
    <n v="137"/>
    <x v="1"/>
    <x v="3"/>
  </r>
  <r>
    <n v="797"/>
    <s v="Alley"/>
    <s v="Male"/>
    <d v="1978-01-21T00:00:00"/>
    <x v="1"/>
    <n v="46"/>
    <x v="1"/>
    <x v="4"/>
    <x v="50"/>
    <x v="0"/>
    <x v="0"/>
    <x v="0"/>
    <x v="0"/>
    <x v="0"/>
    <x v="1"/>
    <x v="0"/>
    <x v="0"/>
    <x v="16"/>
    <d v="1899-12-30T09:41:00"/>
    <d v="1899-12-30T10:23:00"/>
    <n v="42"/>
    <x v="1"/>
    <x v="1"/>
  </r>
  <r>
    <n v="798"/>
    <s v="Donall"/>
    <s v="Male"/>
    <d v="1988-03-02T00:00:00"/>
    <x v="3"/>
    <n v="36"/>
    <x v="1"/>
    <x v="2"/>
    <x v="21"/>
    <x v="0"/>
    <x v="1"/>
    <x v="1"/>
    <x v="1"/>
    <x v="0"/>
    <x v="1"/>
    <x v="1"/>
    <x v="0"/>
    <x v="222"/>
    <d v="1899-12-30T20:44:00"/>
    <d v="1899-12-30T21:28:00"/>
    <n v="44"/>
    <x v="1"/>
    <x v="1"/>
  </r>
  <r>
    <n v="799"/>
    <s v="Helen-elizabeth"/>
    <s v="Female"/>
    <d v="1995-08-12T00:00:00"/>
    <x v="0"/>
    <n v="29"/>
    <x v="1"/>
    <x v="0"/>
    <x v="15"/>
    <x v="1"/>
    <x v="0"/>
    <x v="1"/>
    <x v="0"/>
    <x v="0"/>
    <x v="0"/>
    <x v="0"/>
    <x v="0"/>
    <x v="223"/>
    <d v="1899-12-30T09:11:00"/>
    <d v="1899-12-30T11:26:00"/>
    <n v="135"/>
    <x v="0"/>
    <x v="0"/>
  </r>
  <r>
    <n v="800"/>
    <s v="Roxy"/>
    <s v="Female"/>
    <d v="1990-08-27T00:00:00"/>
    <x v="3"/>
    <n v="34"/>
    <x v="0"/>
    <x v="1"/>
    <x v="62"/>
    <x v="0"/>
    <x v="1"/>
    <x v="0"/>
    <x v="0"/>
    <x v="1"/>
    <x v="0"/>
    <x v="1"/>
    <x v="1"/>
    <x v="1"/>
    <d v="1899-12-30T09:21:00"/>
    <d v="1899-12-30T11:13:00"/>
    <n v="112"/>
    <x v="0"/>
    <x v="0"/>
  </r>
  <r>
    <n v="801"/>
    <s v="Bonita"/>
    <s v="Female"/>
    <d v="1977-07-23T00:00:00"/>
    <x v="1"/>
    <n v="47"/>
    <x v="1"/>
    <x v="3"/>
    <x v="4"/>
    <x v="0"/>
    <x v="1"/>
    <x v="0"/>
    <x v="1"/>
    <x v="1"/>
    <x v="0"/>
    <x v="1"/>
    <x v="0"/>
    <x v="125"/>
    <d v="1899-12-30T19:19:00"/>
    <d v="1899-12-30T21:44:00"/>
    <n v="145"/>
    <x v="0"/>
    <x v="0"/>
  </r>
  <r>
    <n v="802"/>
    <s v="Kristan"/>
    <s v="Female"/>
    <d v="1997-11-10T00:00:00"/>
    <x v="0"/>
    <n v="26"/>
    <x v="0"/>
    <x v="3"/>
    <x v="57"/>
    <x v="0"/>
    <x v="0"/>
    <x v="1"/>
    <x v="1"/>
    <x v="0"/>
    <x v="1"/>
    <x v="1"/>
    <x v="0"/>
    <x v="21"/>
    <d v="1899-12-30T08:00:00"/>
    <d v="1899-12-30T10:24:00"/>
    <n v="144"/>
    <x v="1"/>
    <x v="4"/>
  </r>
  <r>
    <n v="803"/>
    <s v="Cecily"/>
    <s v="Female"/>
    <d v="1983-07-06T00:00:00"/>
    <x v="1"/>
    <n v="41"/>
    <x v="1"/>
    <x v="1"/>
    <x v="63"/>
    <x v="1"/>
    <x v="1"/>
    <x v="0"/>
    <x v="1"/>
    <x v="0"/>
    <x v="1"/>
    <x v="1"/>
    <x v="1"/>
    <x v="1"/>
    <d v="1899-12-30T09:26:00"/>
    <d v="1899-12-30T11:23:00"/>
    <n v="117"/>
    <x v="0"/>
    <x v="0"/>
  </r>
  <r>
    <n v="804"/>
    <s v="Ben"/>
    <s v="Male"/>
    <d v="2006-05-20T00:00:00"/>
    <x v="2"/>
    <n v="18"/>
    <x v="0"/>
    <x v="0"/>
    <x v="83"/>
    <x v="1"/>
    <x v="0"/>
    <x v="0"/>
    <x v="1"/>
    <x v="1"/>
    <x v="0"/>
    <x v="1"/>
    <x v="1"/>
    <x v="1"/>
    <d v="1899-12-30T08:59:00"/>
    <d v="1899-12-30T09:56:00"/>
    <n v="57"/>
    <x v="1"/>
    <x v="2"/>
  </r>
  <r>
    <n v="805"/>
    <s v="Salaidh"/>
    <s v="Female"/>
    <d v="1976-06-04T00:00:00"/>
    <x v="1"/>
    <n v="48"/>
    <x v="0"/>
    <x v="3"/>
    <x v="73"/>
    <x v="1"/>
    <x v="1"/>
    <x v="1"/>
    <x v="1"/>
    <x v="1"/>
    <x v="0"/>
    <x v="1"/>
    <x v="0"/>
    <x v="25"/>
    <d v="1899-12-30T08:15:00"/>
    <d v="1899-12-30T09:48:00"/>
    <n v="93"/>
    <x v="1"/>
    <x v="3"/>
  </r>
  <r>
    <n v="806"/>
    <s v="Beatriz"/>
    <s v="Female"/>
    <d v="1999-07-20T00:00:00"/>
    <x v="0"/>
    <n v="25"/>
    <x v="0"/>
    <x v="4"/>
    <x v="85"/>
    <x v="1"/>
    <x v="0"/>
    <x v="1"/>
    <x v="0"/>
    <x v="1"/>
    <x v="1"/>
    <x v="1"/>
    <x v="1"/>
    <x v="1"/>
    <d v="1899-12-30T16:13:00"/>
    <d v="1899-12-30T18:08:00"/>
    <n v="115"/>
    <x v="0"/>
    <x v="0"/>
  </r>
  <r>
    <n v="807"/>
    <s v="Ardelis"/>
    <s v="Female"/>
    <d v="1984-04-10T00:00:00"/>
    <x v="3"/>
    <n v="40"/>
    <x v="0"/>
    <x v="0"/>
    <x v="107"/>
    <x v="0"/>
    <x v="0"/>
    <x v="1"/>
    <x v="0"/>
    <x v="0"/>
    <x v="1"/>
    <x v="0"/>
    <x v="0"/>
    <x v="211"/>
    <d v="1899-12-30T19:35:00"/>
    <d v="1899-12-30T22:10:00"/>
    <n v="155"/>
    <x v="0"/>
    <x v="0"/>
  </r>
  <r>
    <n v="808"/>
    <s v="Sosanna"/>
    <s v="Female"/>
    <d v="1997-05-05T00:00:00"/>
    <x v="0"/>
    <n v="27"/>
    <x v="0"/>
    <x v="0"/>
    <x v="15"/>
    <x v="1"/>
    <x v="0"/>
    <x v="1"/>
    <x v="0"/>
    <x v="0"/>
    <x v="0"/>
    <x v="0"/>
    <x v="1"/>
    <x v="1"/>
    <d v="1899-12-30T16:32:00"/>
    <d v="1899-12-30T18:29:00"/>
    <n v="117"/>
    <x v="1"/>
    <x v="4"/>
  </r>
  <r>
    <n v="809"/>
    <s v="Rana"/>
    <s v="Female"/>
    <d v="1989-11-20T00:00:00"/>
    <x v="3"/>
    <n v="34"/>
    <x v="0"/>
    <x v="3"/>
    <x v="31"/>
    <x v="0"/>
    <x v="0"/>
    <x v="1"/>
    <x v="1"/>
    <x v="0"/>
    <x v="0"/>
    <x v="0"/>
    <x v="1"/>
    <x v="1"/>
    <d v="1899-12-30T13:25:00"/>
    <d v="1899-12-30T15:29:00"/>
    <n v="124"/>
    <x v="0"/>
    <x v="0"/>
  </r>
  <r>
    <n v="810"/>
    <s v="Neils"/>
    <s v="Male"/>
    <d v="1994-09-24T00:00:00"/>
    <x v="0"/>
    <n v="30"/>
    <x v="0"/>
    <x v="3"/>
    <x v="37"/>
    <x v="1"/>
    <x v="1"/>
    <x v="0"/>
    <x v="1"/>
    <x v="0"/>
    <x v="0"/>
    <x v="1"/>
    <x v="0"/>
    <x v="13"/>
    <d v="1899-12-30T14:19:00"/>
    <d v="1899-12-30T17:05:00"/>
    <n v="166"/>
    <x v="1"/>
    <x v="1"/>
  </r>
  <r>
    <n v="811"/>
    <s v="Chaddy"/>
    <s v="Male"/>
    <d v="1994-03-19T00:00:00"/>
    <x v="0"/>
    <n v="30"/>
    <x v="0"/>
    <x v="3"/>
    <x v="53"/>
    <x v="0"/>
    <x v="0"/>
    <x v="0"/>
    <x v="1"/>
    <x v="0"/>
    <x v="0"/>
    <x v="1"/>
    <x v="1"/>
    <x v="1"/>
    <d v="1899-12-30T11:18:00"/>
    <d v="1899-12-30T13:30:00"/>
    <n v="132"/>
    <x v="1"/>
    <x v="3"/>
  </r>
  <r>
    <n v="812"/>
    <s v="Kelly"/>
    <s v="Male"/>
    <d v="2005-06-15T00:00:00"/>
    <x v="2"/>
    <n v="19"/>
    <x v="0"/>
    <x v="2"/>
    <x v="2"/>
    <x v="1"/>
    <x v="1"/>
    <x v="1"/>
    <x v="1"/>
    <x v="0"/>
    <x v="0"/>
    <x v="1"/>
    <x v="0"/>
    <x v="135"/>
    <d v="1899-12-30T14:30:00"/>
    <d v="1899-12-30T15:58:00"/>
    <n v="88"/>
    <x v="1"/>
    <x v="4"/>
  </r>
  <r>
    <n v="813"/>
    <s v="Johnathan"/>
    <s v="Male"/>
    <d v="1975-06-22T00:00:00"/>
    <x v="1"/>
    <n v="49"/>
    <x v="1"/>
    <x v="4"/>
    <x v="25"/>
    <x v="1"/>
    <x v="0"/>
    <x v="1"/>
    <x v="0"/>
    <x v="0"/>
    <x v="1"/>
    <x v="0"/>
    <x v="1"/>
    <x v="1"/>
    <d v="1899-12-30T14:07:00"/>
    <d v="1899-12-30T14:53:00"/>
    <n v="46"/>
    <x v="0"/>
    <x v="0"/>
  </r>
  <r>
    <n v="814"/>
    <s v="Naoma"/>
    <s v="Female"/>
    <d v="1996-12-13T00:00:00"/>
    <x v="0"/>
    <n v="27"/>
    <x v="1"/>
    <x v="2"/>
    <x v="51"/>
    <x v="0"/>
    <x v="1"/>
    <x v="1"/>
    <x v="0"/>
    <x v="0"/>
    <x v="0"/>
    <x v="1"/>
    <x v="0"/>
    <x v="16"/>
    <d v="1899-12-30T15:34:00"/>
    <d v="1899-12-30T16:24:00"/>
    <n v="50"/>
    <x v="1"/>
    <x v="1"/>
  </r>
  <r>
    <n v="815"/>
    <s v="Ranee"/>
    <s v="Female"/>
    <d v="1986-08-06T00:00:00"/>
    <x v="3"/>
    <n v="38"/>
    <x v="0"/>
    <x v="2"/>
    <x v="2"/>
    <x v="1"/>
    <x v="1"/>
    <x v="1"/>
    <x v="1"/>
    <x v="0"/>
    <x v="0"/>
    <x v="1"/>
    <x v="1"/>
    <x v="1"/>
    <d v="1899-12-30T14:12:00"/>
    <d v="1899-12-30T15:34:00"/>
    <n v="82"/>
    <x v="0"/>
    <x v="0"/>
  </r>
  <r>
    <n v="816"/>
    <s v="Benoit"/>
    <s v="Male"/>
    <d v="1977-05-28T00:00:00"/>
    <x v="1"/>
    <n v="47"/>
    <x v="1"/>
    <x v="3"/>
    <x v="12"/>
    <x v="1"/>
    <x v="1"/>
    <x v="1"/>
    <x v="0"/>
    <x v="0"/>
    <x v="0"/>
    <x v="1"/>
    <x v="1"/>
    <x v="1"/>
    <d v="1899-12-30T12:18:00"/>
    <d v="1899-12-30T14:36:00"/>
    <n v="138"/>
    <x v="1"/>
    <x v="2"/>
  </r>
  <r>
    <n v="817"/>
    <s v="Ailee"/>
    <s v="Female"/>
    <d v="1985-08-31T00:00:00"/>
    <x v="3"/>
    <n v="39"/>
    <x v="1"/>
    <x v="1"/>
    <x v="13"/>
    <x v="1"/>
    <x v="0"/>
    <x v="1"/>
    <x v="0"/>
    <x v="0"/>
    <x v="0"/>
    <x v="1"/>
    <x v="1"/>
    <x v="1"/>
    <d v="1899-12-30T17:06:00"/>
    <d v="1899-12-30T19:13:00"/>
    <n v="127"/>
    <x v="1"/>
    <x v="3"/>
  </r>
  <r>
    <n v="818"/>
    <s v="Gavin"/>
    <s v="Male"/>
    <d v="2006-12-16T00:00:00"/>
    <x v="2"/>
    <n v="17"/>
    <x v="1"/>
    <x v="1"/>
    <x v="63"/>
    <x v="1"/>
    <x v="1"/>
    <x v="0"/>
    <x v="1"/>
    <x v="0"/>
    <x v="1"/>
    <x v="1"/>
    <x v="0"/>
    <x v="48"/>
    <d v="1899-12-30T11:51:00"/>
    <d v="1899-12-30T13:38:00"/>
    <n v="107"/>
    <x v="0"/>
    <x v="0"/>
  </r>
  <r>
    <n v="819"/>
    <s v="Vi"/>
    <s v="Female"/>
    <d v="2003-11-14T00:00:00"/>
    <x v="0"/>
    <n v="20"/>
    <x v="1"/>
    <x v="1"/>
    <x v="38"/>
    <x v="1"/>
    <x v="1"/>
    <x v="1"/>
    <x v="0"/>
    <x v="0"/>
    <x v="1"/>
    <x v="1"/>
    <x v="1"/>
    <x v="1"/>
    <d v="1899-12-30T08:23:00"/>
    <d v="1899-12-30T09:45:00"/>
    <n v="82"/>
    <x v="0"/>
    <x v="0"/>
  </r>
  <r>
    <n v="820"/>
    <s v="Kial"/>
    <s v="Female"/>
    <d v="2009-07-13T00:00:00"/>
    <x v="2"/>
    <n v="15"/>
    <x v="1"/>
    <x v="1"/>
    <x v="77"/>
    <x v="0"/>
    <x v="1"/>
    <x v="1"/>
    <x v="0"/>
    <x v="0"/>
    <x v="1"/>
    <x v="0"/>
    <x v="1"/>
    <x v="1"/>
    <d v="1899-12-30T14:33:00"/>
    <d v="1899-12-30T17:03:00"/>
    <n v="150"/>
    <x v="0"/>
    <x v="0"/>
  </r>
  <r>
    <n v="821"/>
    <s v="Romona"/>
    <s v="Female"/>
    <d v="1986-08-18T00:00:00"/>
    <x v="3"/>
    <n v="38"/>
    <x v="0"/>
    <x v="1"/>
    <x v="19"/>
    <x v="1"/>
    <x v="0"/>
    <x v="1"/>
    <x v="1"/>
    <x v="0"/>
    <x v="1"/>
    <x v="1"/>
    <x v="0"/>
    <x v="19"/>
    <d v="1899-12-30T13:20:00"/>
    <d v="1899-12-30T15:41:00"/>
    <n v="141"/>
    <x v="0"/>
    <x v="0"/>
  </r>
  <r>
    <n v="822"/>
    <s v="Mischa"/>
    <s v="Male"/>
    <d v="1975-10-11T00:00:00"/>
    <x v="1"/>
    <n v="48"/>
    <x v="0"/>
    <x v="1"/>
    <x v="24"/>
    <x v="0"/>
    <x v="0"/>
    <x v="1"/>
    <x v="0"/>
    <x v="0"/>
    <x v="1"/>
    <x v="1"/>
    <x v="1"/>
    <x v="1"/>
    <d v="1899-12-30T19:44:00"/>
    <d v="1899-12-30T21:54:00"/>
    <n v="130"/>
    <x v="1"/>
    <x v="1"/>
  </r>
  <r>
    <n v="823"/>
    <s v="Viola"/>
    <s v="Female"/>
    <d v="1995-10-19T00:00:00"/>
    <x v="0"/>
    <n v="28"/>
    <x v="1"/>
    <x v="0"/>
    <x v="40"/>
    <x v="1"/>
    <x v="0"/>
    <x v="1"/>
    <x v="0"/>
    <x v="0"/>
    <x v="1"/>
    <x v="1"/>
    <x v="1"/>
    <x v="1"/>
    <d v="1899-12-30T16:33:00"/>
    <d v="1899-12-30T18:24:00"/>
    <n v="111"/>
    <x v="0"/>
    <x v="0"/>
  </r>
  <r>
    <n v="824"/>
    <s v="Junie"/>
    <s v="Female"/>
    <d v="1986-07-21T00:00:00"/>
    <x v="3"/>
    <n v="38"/>
    <x v="1"/>
    <x v="4"/>
    <x v="54"/>
    <x v="1"/>
    <x v="0"/>
    <x v="0"/>
    <x v="1"/>
    <x v="0"/>
    <x v="1"/>
    <x v="0"/>
    <x v="1"/>
    <x v="1"/>
    <d v="1899-12-30T17:59:00"/>
    <d v="1899-12-30T20:09:00"/>
    <n v="130"/>
    <x v="0"/>
    <x v="0"/>
  </r>
  <r>
    <n v="825"/>
    <s v="Baily"/>
    <s v="Male"/>
    <d v="1975-07-30T00:00:00"/>
    <x v="1"/>
    <n v="49"/>
    <x v="0"/>
    <x v="1"/>
    <x v="38"/>
    <x v="1"/>
    <x v="1"/>
    <x v="1"/>
    <x v="0"/>
    <x v="0"/>
    <x v="1"/>
    <x v="1"/>
    <x v="0"/>
    <x v="224"/>
    <d v="1899-12-30T10:53:00"/>
    <d v="1899-12-30T12:49:00"/>
    <n v="116"/>
    <x v="1"/>
    <x v="2"/>
  </r>
  <r>
    <n v="826"/>
    <s v="Lizette"/>
    <s v="Female"/>
    <d v="1992-02-26T00:00:00"/>
    <x v="3"/>
    <n v="32"/>
    <x v="1"/>
    <x v="2"/>
    <x v="51"/>
    <x v="0"/>
    <x v="1"/>
    <x v="1"/>
    <x v="0"/>
    <x v="0"/>
    <x v="0"/>
    <x v="1"/>
    <x v="1"/>
    <x v="1"/>
    <d v="1899-12-30T17:58:00"/>
    <d v="1899-12-30T20:54:00"/>
    <n v="176"/>
    <x v="0"/>
    <x v="0"/>
  </r>
  <r>
    <n v="827"/>
    <s v="Whit"/>
    <s v="Male"/>
    <d v="2006-02-28T00:00:00"/>
    <x v="2"/>
    <n v="18"/>
    <x v="1"/>
    <x v="1"/>
    <x v="67"/>
    <x v="1"/>
    <x v="1"/>
    <x v="1"/>
    <x v="1"/>
    <x v="1"/>
    <x v="1"/>
    <x v="1"/>
    <x v="0"/>
    <x v="225"/>
    <d v="1899-12-30T14:33:00"/>
    <d v="1899-12-30T16:04:00"/>
    <n v="91"/>
    <x v="0"/>
    <x v="0"/>
  </r>
  <r>
    <n v="828"/>
    <s v="Margarita"/>
    <s v="Female"/>
    <d v="2006-03-31T00:00:00"/>
    <x v="2"/>
    <n v="18"/>
    <x v="0"/>
    <x v="3"/>
    <x v="33"/>
    <x v="0"/>
    <x v="1"/>
    <x v="1"/>
    <x v="0"/>
    <x v="0"/>
    <x v="1"/>
    <x v="1"/>
    <x v="0"/>
    <x v="88"/>
    <d v="1899-12-30T15:53:00"/>
    <d v="1899-12-30T16:53:00"/>
    <n v="60"/>
    <x v="1"/>
    <x v="4"/>
  </r>
  <r>
    <n v="829"/>
    <s v="Fields"/>
    <s v="Male"/>
    <d v="1984-06-21T00:00:00"/>
    <x v="3"/>
    <n v="40"/>
    <x v="0"/>
    <x v="3"/>
    <x v="53"/>
    <x v="0"/>
    <x v="0"/>
    <x v="0"/>
    <x v="1"/>
    <x v="0"/>
    <x v="0"/>
    <x v="1"/>
    <x v="0"/>
    <x v="117"/>
    <d v="1899-12-30T09:40:00"/>
    <d v="1899-12-30T10:14:00"/>
    <n v="34"/>
    <x v="1"/>
    <x v="4"/>
  </r>
  <r>
    <n v="830"/>
    <s v="Micky"/>
    <s v="Male"/>
    <d v="1982-03-30T00:00:00"/>
    <x v="1"/>
    <n v="42"/>
    <x v="0"/>
    <x v="4"/>
    <x v="70"/>
    <x v="1"/>
    <x v="0"/>
    <x v="0"/>
    <x v="1"/>
    <x v="1"/>
    <x v="1"/>
    <x v="1"/>
    <x v="0"/>
    <x v="130"/>
    <d v="1899-12-30T12:05:00"/>
    <d v="1899-12-30T14:36:00"/>
    <n v="151"/>
    <x v="1"/>
    <x v="2"/>
  </r>
  <r>
    <n v="831"/>
    <s v="Wheeler"/>
    <s v="Male"/>
    <d v="1996-09-27T00:00:00"/>
    <x v="0"/>
    <n v="28"/>
    <x v="1"/>
    <x v="0"/>
    <x v="58"/>
    <x v="0"/>
    <x v="0"/>
    <x v="0"/>
    <x v="0"/>
    <x v="0"/>
    <x v="1"/>
    <x v="1"/>
    <x v="1"/>
    <x v="1"/>
    <d v="1899-12-30T09:35:00"/>
    <d v="1899-12-30T11:59:00"/>
    <n v="144"/>
    <x v="1"/>
    <x v="2"/>
  </r>
  <r>
    <n v="832"/>
    <s v="Caralie"/>
    <s v="Female"/>
    <d v="2008-07-27T00:00:00"/>
    <x v="2"/>
    <n v="16"/>
    <x v="0"/>
    <x v="2"/>
    <x v="5"/>
    <x v="0"/>
    <x v="1"/>
    <x v="0"/>
    <x v="1"/>
    <x v="0"/>
    <x v="0"/>
    <x v="1"/>
    <x v="1"/>
    <x v="1"/>
    <d v="1899-12-30T08:41:00"/>
    <d v="1899-12-30T10:55:00"/>
    <n v="134"/>
    <x v="0"/>
    <x v="0"/>
  </r>
  <r>
    <n v="833"/>
    <s v="Susana"/>
    <s v="Female"/>
    <d v="1999-11-22T00:00:00"/>
    <x v="0"/>
    <n v="24"/>
    <x v="1"/>
    <x v="3"/>
    <x v="37"/>
    <x v="1"/>
    <x v="1"/>
    <x v="0"/>
    <x v="1"/>
    <x v="0"/>
    <x v="0"/>
    <x v="1"/>
    <x v="0"/>
    <x v="147"/>
    <d v="1899-12-30T17:44:00"/>
    <d v="1899-12-30T19:20:00"/>
    <n v="96"/>
    <x v="1"/>
    <x v="4"/>
  </r>
  <r>
    <n v="834"/>
    <s v="Avram"/>
    <s v="Male"/>
    <d v="2010-03-28T00:00:00"/>
    <x v="2"/>
    <n v="14"/>
    <x v="1"/>
    <x v="1"/>
    <x v="72"/>
    <x v="1"/>
    <x v="1"/>
    <x v="1"/>
    <x v="1"/>
    <x v="1"/>
    <x v="0"/>
    <x v="0"/>
    <x v="1"/>
    <x v="1"/>
    <d v="1899-12-30T19:16:00"/>
    <d v="1899-12-30T20:30:00"/>
    <n v="74"/>
    <x v="1"/>
    <x v="4"/>
  </r>
  <r>
    <n v="835"/>
    <s v="Mair"/>
    <s v="Female"/>
    <d v="2003-11-08T00:00:00"/>
    <x v="0"/>
    <n v="20"/>
    <x v="0"/>
    <x v="1"/>
    <x v="19"/>
    <x v="1"/>
    <x v="0"/>
    <x v="1"/>
    <x v="1"/>
    <x v="0"/>
    <x v="1"/>
    <x v="1"/>
    <x v="1"/>
    <x v="1"/>
    <d v="1899-12-30T15:37:00"/>
    <d v="1899-12-30T16:54:00"/>
    <n v="77"/>
    <x v="1"/>
    <x v="4"/>
  </r>
  <r>
    <n v="836"/>
    <s v="Marieann"/>
    <s v="Female"/>
    <d v="1983-09-20T00:00:00"/>
    <x v="1"/>
    <n v="41"/>
    <x v="1"/>
    <x v="2"/>
    <x v="5"/>
    <x v="0"/>
    <x v="1"/>
    <x v="0"/>
    <x v="1"/>
    <x v="0"/>
    <x v="0"/>
    <x v="1"/>
    <x v="0"/>
    <x v="226"/>
    <d v="1899-12-30T09:46:00"/>
    <d v="1899-12-30T11:52:00"/>
    <n v="126"/>
    <x v="1"/>
    <x v="1"/>
  </r>
  <r>
    <n v="837"/>
    <s v="Gal"/>
    <s v="Male"/>
    <d v="2000-12-24T00:00:00"/>
    <x v="0"/>
    <n v="23"/>
    <x v="0"/>
    <x v="3"/>
    <x v="27"/>
    <x v="0"/>
    <x v="1"/>
    <x v="1"/>
    <x v="1"/>
    <x v="0"/>
    <x v="1"/>
    <x v="0"/>
    <x v="1"/>
    <x v="1"/>
    <d v="1899-12-30T19:11:00"/>
    <d v="1899-12-30T21:17:00"/>
    <n v="126"/>
    <x v="1"/>
    <x v="1"/>
  </r>
  <r>
    <n v="838"/>
    <s v="Montague"/>
    <s v="Male"/>
    <d v="1975-07-29T00:00:00"/>
    <x v="1"/>
    <n v="49"/>
    <x v="1"/>
    <x v="1"/>
    <x v="46"/>
    <x v="0"/>
    <x v="1"/>
    <x v="0"/>
    <x v="1"/>
    <x v="1"/>
    <x v="1"/>
    <x v="1"/>
    <x v="0"/>
    <x v="183"/>
    <d v="1899-12-30T20:40:00"/>
    <d v="1899-12-30T23:05:00"/>
    <n v="145"/>
    <x v="1"/>
    <x v="2"/>
  </r>
  <r>
    <n v="839"/>
    <s v="Ynes"/>
    <s v="Female"/>
    <d v="1978-12-24T00:00:00"/>
    <x v="1"/>
    <n v="45"/>
    <x v="1"/>
    <x v="3"/>
    <x v="31"/>
    <x v="0"/>
    <x v="0"/>
    <x v="1"/>
    <x v="1"/>
    <x v="0"/>
    <x v="0"/>
    <x v="0"/>
    <x v="1"/>
    <x v="1"/>
    <d v="1899-12-30T08:54:00"/>
    <d v="1899-12-30T09:40:00"/>
    <n v="46"/>
    <x v="1"/>
    <x v="4"/>
  </r>
  <r>
    <n v="840"/>
    <s v="Darell"/>
    <s v="Female"/>
    <d v="1975-11-12T00:00:00"/>
    <x v="1"/>
    <n v="48"/>
    <x v="1"/>
    <x v="3"/>
    <x v="96"/>
    <x v="0"/>
    <x v="1"/>
    <x v="0"/>
    <x v="1"/>
    <x v="0"/>
    <x v="0"/>
    <x v="0"/>
    <x v="1"/>
    <x v="1"/>
    <d v="1899-12-30T20:26:00"/>
    <d v="1899-12-30T22:29:00"/>
    <n v="123"/>
    <x v="1"/>
    <x v="4"/>
  </r>
  <r>
    <n v="841"/>
    <s v="Marthena"/>
    <s v="Female"/>
    <d v="1995-09-16T00:00:00"/>
    <x v="0"/>
    <n v="29"/>
    <x v="1"/>
    <x v="1"/>
    <x v="19"/>
    <x v="1"/>
    <x v="0"/>
    <x v="1"/>
    <x v="1"/>
    <x v="0"/>
    <x v="1"/>
    <x v="1"/>
    <x v="1"/>
    <x v="1"/>
    <d v="1899-12-30T11:00:00"/>
    <d v="1899-12-30T13:06:00"/>
    <n v="126"/>
    <x v="0"/>
    <x v="0"/>
  </r>
  <r>
    <n v="842"/>
    <s v="Gale"/>
    <s v="Female"/>
    <d v="1993-04-29T00:00:00"/>
    <x v="3"/>
    <n v="31"/>
    <x v="1"/>
    <x v="4"/>
    <x v="49"/>
    <x v="1"/>
    <x v="0"/>
    <x v="1"/>
    <x v="1"/>
    <x v="1"/>
    <x v="1"/>
    <x v="0"/>
    <x v="0"/>
    <x v="9"/>
    <d v="1899-12-30T09:47:00"/>
    <d v="1899-12-30T11:42:00"/>
    <n v="115"/>
    <x v="1"/>
    <x v="1"/>
  </r>
  <r>
    <n v="843"/>
    <s v="Donnie"/>
    <s v="Female"/>
    <d v="1995-03-12T00:00:00"/>
    <x v="0"/>
    <n v="29"/>
    <x v="0"/>
    <x v="2"/>
    <x v="10"/>
    <x v="0"/>
    <x v="1"/>
    <x v="1"/>
    <x v="1"/>
    <x v="1"/>
    <x v="0"/>
    <x v="1"/>
    <x v="0"/>
    <x v="13"/>
    <d v="1899-12-30T19:10:00"/>
    <d v="1899-12-30T19:50:00"/>
    <n v="40"/>
    <x v="1"/>
    <x v="2"/>
  </r>
  <r>
    <n v="844"/>
    <s v="Ogdan"/>
    <s v="Male"/>
    <d v="1981-10-11T00:00:00"/>
    <x v="1"/>
    <n v="42"/>
    <x v="0"/>
    <x v="1"/>
    <x v="44"/>
    <x v="0"/>
    <x v="0"/>
    <x v="1"/>
    <x v="1"/>
    <x v="1"/>
    <x v="0"/>
    <x v="0"/>
    <x v="0"/>
    <x v="0"/>
    <d v="1899-12-30T13:40:00"/>
    <d v="1899-12-30T14:28:00"/>
    <n v="48"/>
    <x v="1"/>
    <x v="2"/>
  </r>
  <r>
    <n v="845"/>
    <s v="Curran"/>
    <s v="Male"/>
    <d v="1995-01-05T00:00:00"/>
    <x v="0"/>
    <n v="29"/>
    <x v="1"/>
    <x v="3"/>
    <x v="37"/>
    <x v="1"/>
    <x v="1"/>
    <x v="0"/>
    <x v="1"/>
    <x v="0"/>
    <x v="0"/>
    <x v="1"/>
    <x v="1"/>
    <x v="1"/>
    <d v="1899-12-30T17:09:00"/>
    <d v="1899-12-30T18:30:00"/>
    <n v="81"/>
    <x v="1"/>
    <x v="4"/>
  </r>
  <r>
    <n v="846"/>
    <s v="Colby"/>
    <s v="Male"/>
    <d v="1979-01-14T00:00:00"/>
    <x v="1"/>
    <n v="45"/>
    <x v="1"/>
    <x v="3"/>
    <x v="7"/>
    <x v="1"/>
    <x v="1"/>
    <x v="1"/>
    <x v="1"/>
    <x v="0"/>
    <x v="0"/>
    <x v="0"/>
    <x v="0"/>
    <x v="209"/>
    <d v="1899-12-30T15:59:00"/>
    <d v="1899-12-30T17:52:00"/>
    <n v="113"/>
    <x v="1"/>
    <x v="4"/>
  </r>
  <r>
    <n v="847"/>
    <s v="Carolus"/>
    <s v="Male"/>
    <d v="1994-11-10T00:00:00"/>
    <x v="0"/>
    <n v="29"/>
    <x v="1"/>
    <x v="2"/>
    <x v="51"/>
    <x v="0"/>
    <x v="1"/>
    <x v="1"/>
    <x v="0"/>
    <x v="0"/>
    <x v="0"/>
    <x v="1"/>
    <x v="1"/>
    <x v="1"/>
    <d v="1899-12-30T20:43:00"/>
    <d v="1899-12-30T23:01:00"/>
    <n v="138"/>
    <x v="1"/>
    <x v="2"/>
  </r>
  <r>
    <n v="848"/>
    <s v="Pietro"/>
    <s v="Male"/>
    <d v="2000-06-20T00:00:00"/>
    <x v="0"/>
    <n v="24"/>
    <x v="1"/>
    <x v="1"/>
    <x v="63"/>
    <x v="1"/>
    <x v="1"/>
    <x v="0"/>
    <x v="1"/>
    <x v="0"/>
    <x v="1"/>
    <x v="1"/>
    <x v="0"/>
    <x v="16"/>
    <d v="1899-12-30T12:00:00"/>
    <d v="1899-12-30T12:55:00"/>
    <n v="55"/>
    <x v="0"/>
    <x v="0"/>
  </r>
  <r>
    <n v="849"/>
    <s v="Carol"/>
    <s v="Female"/>
    <d v="1985-04-18T00:00:00"/>
    <x v="3"/>
    <n v="39"/>
    <x v="0"/>
    <x v="1"/>
    <x v="63"/>
    <x v="1"/>
    <x v="1"/>
    <x v="0"/>
    <x v="1"/>
    <x v="0"/>
    <x v="1"/>
    <x v="1"/>
    <x v="0"/>
    <x v="227"/>
    <d v="1899-12-30T16:37:00"/>
    <d v="1899-12-30T19:33:00"/>
    <n v="176"/>
    <x v="1"/>
    <x v="3"/>
  </r>
  <r>
    <n v="850"/>
    <s v="Reinhold"/>
    <s v="Male"/>
    <d v="1991-03-21T00:00:00"/>
    <x v="3"/>
    <n v="33"/>
    <x v="1"/>
    <x v="3"/>
    <x v="52"/>
    <x v="0"/>
    <x v="1"/>
    <x v="1"/>
    <x v="0"/>
    <x v="1"/>
    <x v="0"/>
    <x v="1"/>
    <x v="0"/>
    <x v="228"/>
    <d v="1899-12-30T14:56:00"/>
    <d v="1899-12-30T16:26:00"/>
    <n v="90"/>
    <x v="1"/>
    <x v="2"/>
  </r>
  <r>
    <n v="851"/>
    <s v="Serene"/>
    <s v="Female"/>
    <d v="2007-08-23T00:00:00"/>
    <x v="2"/>
    <n v="17"/>
    <x v="1"/>
    <x v="3"/>
    <x v="37"/>
    <x v="1"/>
    <x v="1"/>
    <x v="0"/>
    <x v="1"/>
    <x v="0"/>
    <x v="0"/>
    <x v="1"/>
    <x v="1"/>
    <x v="1"/>
    <d v="1899-12-30T08:06:00"/>
    <d v="1899-12-30T09:44:00"/>
    <n v="98"/>
    <x v="0"/>
    <x v="0"/>
  </r>
  <r>
    <n v="852"/>
    <s v="Laraine"/>
    <s v="Female"/>
    <d v="1989-08-17T00:00:00"/>
    <x v="3"/>
    <n v="35"/>
    <x v="1"/>
    <x v="0"/>
    <x v="102"/>
    <x v="0"/>
    <x v="1"/>
    <x v="0"/>
    <x v="0"/>
    <x v="1"/>
    <x v="1"/>
    <x v="1"/>
    <x v="1"/>
    <x v="1"/>
    <d v="1899-12-30T15:43:00"/>
    <d v="1899-12-30T17:32:00"/>
    <n v="109"/>
    <x v="1"/>
    <x v="4"/>
  </r>
  <r>
    <n v="853"/>
    <s v="Westbrooke"/>
    <s v="Male"/>
    <d v="1985-07-13T00:00:00"/>
    <x v="3"/>
    <n v="39"/>
    <x v="0"/>
    <x v="1"/>
    <x v="65"/>
    <x v="1"/>
    <x v="1"/>
    <x v="0"/>
    <x v="0"/>
    <x v="0"/>
    <x v="0"/>
    <x v="1"/>
    <x v="0"/>
    <x v="229"/>
    <d v="1899-12-30T12:16:00"/>
    <d v="1899-12-30T14:42:00"/>
    <n v="146"/>
    <x v="0"/>
    <x v="0"/>
  </r>
  <r>
    <n v="854"/>
    <s v="Odelia"/>
    <s v="Female"/>
    <d v="1998-10-29T00:00:00"/>
    <x v="0"/>
    <n v="25"/>
    <x v="0"/>
    <x v="3"/>
    <x v="56"/>
    <x v="1"/>
    <x v="1"/>
    <x v="1"/>
    <x v="1"/>
    <x v="0"/>
    <x v="1"/>
    <x v="1"/>
    <x v="1"/>
    <x v="1"/>
    <d v="1899-12-30T20:20:00"/>
    <d v="1899-12-30T23:16:00"/>
    <n v="176"/>
    <x v="0"/>
    <x v="0"/>
  </r>
  <r>
    <n v="855"/>
    <s v="Gordie"/>
    <s v="Male"/>
    <d v="2010-03-21T00:00:00"/>
    <x v="2"/>
    <n v="14"/>
    <x v="0"/>
    <x v="2"/>
    <x v="21"/>
    <x v="0"/>
    <x v="1"/>
    <x v="1"/>
    <x v="1"/>
    <x v="0"/>
    <x v="1"/>
    <x v="1"/>
    <x v="1"/>
    <x v="1"/>
    <d v="1899-12-30T12:10:00"/>
    <d v="1899-12-30T13:12:00"/>
    <n v="62"/>
    <x v="0"/>
    <x v="0"/>
  </r>
  <r>
    <n v="856"/>
    <s v="Ester"/>
    <s v="Female"/>
    <d v="1984-09-05T00:00:00"/>
    <x v="3"/>
    <n v="40"/>
    <x v="1"/>
    <x v="1"/>
    <x v="1"/>
    <x v="1"/>
    <x v="1"/>
    <x v="1"/>
    <x v="1"/>
    <x v="0"/>
    <x v="1"/>
    <x v="0"/>
    <x v="0"/>
    <x v="45"/>
    <d v="1899-12-30T17:05:00"/>
    <d v="1899-12-30T17:37:00"/>
    <n v="32"/>
    <x v="1"/>
    <x v="2"/>
  </r>
  <r>
    <n v="857"/>
    <s v="Danyette"/>
    <s v="Female"/>
    <d v="1999-04-06T00:00:00"/>
    <x v="0"/>
    <n v="25"/>
    <x v="0"/>
    <x v="2"/>
    <x v="9"/>
    <x v="0"/>
    <x v="0"/>
    <x v="1"/>
    <x v="1"/>
    <x v="0"/>
    <x v="0"/>
    <x v="1"/>
    <x v="1"/>
    <x v="1"/>
    <d v="1899-12-30T15:55:00"/>
    <d v="1899-12-30T16:52:00"/>
    <n v="57"/>
    <x v="0"/>
    <x v="0"/>
  </r>
  <r>
    <n v="858"/>
    <s v="Florinda"/>
    <s v="Female"/>
    <d v="1988-01-30T00:00:00"/>
    <x v="3"/>
    <n v="36"/>
    <x v="0"/>
    <x v="3"/>
    <x v="53"/>
    <x v="0"/>
    <x v="0"/>
    <x v="0"/>
    <x v="1"/>
    <x v="0"/>
    <x v="0"/>
    <x v="1"/>
    <x v="0"/>
    <x v="230"/>
    <d v="1899-12-30T10:20:00"/>
    <d v="1899-12-30T12:56:00"/>
    <n v="156"/>
    <x v="1"/>
    <x v="3"/>
  </r>
  <r>
    <n v="859"/>
    <s v="Mikey"/>
    <s v="Male"/>
    <d v="1999-01-01T00:00:00"/>
    <x v="0"/>
    <n v="25"/>
    <x v="0"/>
    <x v="1"/>
    <x v="59"/>
    <x v="1"/>
    <x v="0"/>
    <x v="0"/>
    <x v="1"/>
    <x v="0"/>
    <x v="0"/>
    <x v="1"/>
    <x v="0"/>
    <x v="45"/>
    <d v="1899-12-30T14:45:00"/>
    <d v="1899-12-30T16:44:00"/>
    <n v="119"/>
    <x v="0"/>
    <x v="0"/>
  </r>
  <r>
    <n v="860"/>
    <s v="Marcelle"/>
    <s v="Female"/>
    <d v="1999-12-16T00:00:00"/>
    <x v="0"/>
    <n v="24"/>
    <x v="0"/>
    <x v="3"/>
    <x v="4"/>
    <x v="0"/>
    <x v="1"/>
    <x v="0"/>
    <x v="1"/>
    <x v="1"/>
    <x v="0"/>
    <x v="1"/>
    <x v="0"/>
    <x v="140"/>
    <d v="1899-12-30T18:33:00"/>
    <d v="1899-12-30T21:25:00"/>
    <n v="172"/>
    <x v="0"/>
    <x v="0"/>
  </r>
  <r>
    <n v="861"/>
    <s v="Tasia"/>
    <s v="Female"/>
    <d v="1989-04-08T00:00:00"/>
    <x v="3"/>
    <n v="35"/>
    <x v="0"/>
    <x v="3"/>
    <x v="18"/>
    <x v="0"/>
    <x v="1"/>
    <x v="1"/>
    <x v="1"/>
    <x v="1"/>
    <x v="0"/>
    <x v="0"/>
    <x v="0"/>
    <x v="155"/>
    <d v="1899-12-30T14:22:00"/>
    <d v="1899-12-30T16:02:00"/>
    <n v="100"/>
    <x v="0"/>
    <x v="0"/>
  </r>
  <r>
    <n v="862"/>
    <s v="Zackariah"/>
    <s v="Male"/>
    <d v="1993-01-02T00:00:00"/>
    <x v="3"/>
    <n v="31"/>
    <x v="1"/>
    <x v="0"/>
    <x v="58"/>
    <x v="0"/>
    <x v="0"/>
    <x v="0"/>
    <x v="0"/>
    <x v="0"/>
    <x v="1"/>
    <x v="1"/>
    <x v="0"/>
    <x v="71"/>
    <d v="1899-12-30T17:19:00"/>
    <d v="1899-12-30T18:20:00"/>
    <n v="61"/>
    <x v="1"/>
    <x v="2"/>
  </r>
  <r>
    <n v="863"/>
    <s v="Wash"/>
    <s v="Male"/>
    <d v="1992-09-03T00:00:00"/>
    <x v="3"/>
    <n v="32"/>
    <x v="0"/>
    <x v="4"/>
    <x v="30"/>
    <x v="1"/>
    <x v="0"/>
    <x v="0"/>
    <x v="0"/>
    <x v="0"/>
    <x v="1"/>
    <x v="1"/>
    <x v="1"/>
    <x v="1"/>
    <d v="1899-12-30T11:08:00"/>
    <d v="1899-12-30T12:57:00"/>
    <n v="109"/>
    <x v="0"/>
    <x v="0"/>
  </r>
  <r>
    <n v="864"/>
    <s v="Malchy"/>
    <s v="Male"/>
    <d v="1976-09-24T00:00:00"/>
    <x v="1"/>
    <n v="48"/>
    <x v="0"/>
    <x v="1"/>
    <x v="61"/>
    <x v="0"/>
    <x v="0"/>
    <x v="0"/>
    <x v="1"/>
    <x v="0"/>
    <x v="1"/>
    <x v="1"/>
    <x v="0"/>
    <x v="13"/>
    <d v="1899-12-30T16:01:00"/>
    <d v="1899-12-30T16:50:00"/>
    <n v="49"/>
    <x v="1"/>
    <x v="4"/>
  </r>
  <r>
    <n v="865"/>
    <s v="Erhard"/>
    <s v="Male"/>
    <d v="1979-03-18T00:00:00"/>
    <x v="1"/>
    <n v="45"/>
    <x v="1"/>
    <x v="0"/>
    <x v="114"/>
    <x v="0"/>
    <x v="0"/>
    <x v="0"/>
    <x v="1"/>
    <x v="1"/>
    <x v="0"/>
    <x v="0"/>
    <x v="1"/>
    <x v="1"/>
    <d v="1899-12-30T11:19:00"/>
    <d v="1899-12-30T13:02:00"/>
    <n v="103"/>
    <x v="1"/>
    <x v="4"/>
  </r>
  <r>
    <n v="866"/>
    <s v="Evangelia"/>
    <s v="Female"/>
    <d v="2002-07-10T00:00:00"/>
    <x v="0"/>
    <n v="22"/>
    <x v="0"/>
    <x v="1"/>
    <x v="59"/>
    <x v="1"/>
    <x v="0"/>
    <x v="0"/>
    <x v="1"/>
    <x v="0"/>
    <x v="0"/>
    <x v="1"/>
    <x v="0"/>
    <x v="34"/>
    <d v="1899-12-30T11:46:00"/>
    <d v="1899-12-30T13:45:00"/>
    <n v="119"/>
    <x v="1"/>
    <x v="1"/>
  </r>
  <r>
    <n v="867"/>
    <s v="Anderea"/>
    <s v="Female"/>
    <d v="1984-12-08T00:00:00"/>
    <x v="3"/>
    <n v="39"/>
    <x v="1"/>
    <x v="4"/>
    <x v="80"/>
    <x v="0"/>
    <x v="0"/>
    <x v="0"/>
    <x v="1"/>
    <x v="1"/>
    <x v="1"/>
    <x v="0"/>
    <x v="0"/>
    <x v="161"/>
    <d v="1899-12-30T16:05:00"/>
    <d v="1899-12-30T16:59:00"/>
    <n v="54"/>
    <x v="1"/>
    <x v="2"/>
  </r>
  <r>
    <n v="868"/>
    <s v="Merlina"/>
    <s v="Female"/>
    <d v="1979-02-03T00:00:00"/>
    <x v="1"/>
    <n v="45"/>
    <x v="1"/>
    <x v="3"/>
    <x v="7"/>
    <x v="1"/>
    <x v="1"/>
    <x v="1"/>
    <x v="1"/>
    <x v="0"/>
    <x v="0"/>
    <x v="0"/>
    <x v="0"/>
    <x v="156"/>
    <d v="1899-12-30T18:26:00"/>
    <d v="1899-12-30T19:45:00"/>
    <n v="79"/>
    <x v="1"/>
    <x v="2"/>
  </r>
  <r>
    <n v="869"/>
    <s v="Saba"/>
    <s v="Female"/>
    <d v="2007-04-29T00:00:00"/>
    <x v="2"/>
    <n v="17"/>
    <x v="1"/>
    <x v="3"/>
    <x v="37"/>
    <x v="1"/>
    <x v="1"/>
    <x v="0"/>
    <x v="1"/>
    <x v="0"/>
    <x v="0"/>
    <x v="1"/>
    <x v="0"/>
    <x v="20"/>
    <d v="1899-12-30T12:09:00"/>
    <d v="1899-12-30T14:26:00"/>
    <n v="137"/>
    <x v="1"/>
    <x v="2"/>
  </r>
  <r>
    <n v="870"/>
    <s v="Chic"/>
    <s v="Male"/>
    <d v="1989-10-13T00:00:00"/>
    <x v="3"/>
    <n v="34"/>
    <x v="1"/>
    <x v="3"/>
    <x v="33"/>
    <x v="0"/>
    <x v="1"/>
    <x v="1"/>
    <x v="0"/>
    <x v="0"/>
    <x v="1"/>
    <x v="1"/>
    <x v="0"/>
    <x v="231"/>
    <d v="1899-12-30T12:59:00"/>
    <d v="1899-12-30T13:31:00"/>
    <n v="32"/>
    <x v="0"/>
    <x v="0"/>
  </r>
  <r>
    <n v="871"/>
    <s v="Annora"/>
    <s v="Female"/>
    <d v="1991-07-09T00:00:00"/>
    <x v="3"/>
    <n v="33"/>
    <x v="0"/>
    <x v="4"/>
    <x v="71"/>
    <x v="1"/>
    <x v="0"/>
    <x v="0"/>
    <x v="0"/>
    <x v="1"/>
    <x v="0"/>
    <x v="1"/>
    <x v="0"/>
    <x v="19"/>
    <d v="1899-12-30T12:21:00"/>
    <d v="1899-12-30T14:43:00"/>
    <n v="142"/>
    <x v="0"/>
    <x v="0"/>
  </r>
  <r>
    <n v="872"/>
    <s v="Brennen"/>
    <s v="Male"/>
    <d v="2010-07-23T00:00:00"/>
    <x v="2"/>
    <n v="14"/>
    <x v="1"/>
    <x v="3"/>
    <x v="52"/>
    <x v="0"/>
    <x v="1"/>
    <x v="1"/>
    <x v="0"/>
    <x v="1"/>
    <x v="0"/>
    <x v="1"/>
    <x v="1"/>
    <x v="1"/>
    <d v="1899-12-30T09:46:00"/>
    <d v="1899-12-30T11:32:00"/>
    <n v="106"/>
    <x v="0"/>
    <x v="0"/>
  </r>
  <r>
    <n v="873"/>
    <s v="Harwilll"/>
    <s v="Male"/>
    <d v="1984-05-26T00:00:00"/>
    <x v="3"/>
    <n v="40"/>
    <x v="1"/>
    <x v="2"/>
    <x v="14"/>
    <x v="0"/>
    <x v="1"/>
    <x v="1"/>
    <x v="1"/>
    <x v="0"/>
    <x v="0"/>
    <x v="0"/>
    <x v="1"/>
    <x v="1"/>
    <d v="1899-12-30T20:27:00"/>
    <d v="1899-12-30T22:32:00"/>
    <n v="125"/>
    <x v="0"/>
    <x v="0"/>
  </r>
  <r>
    <n v="874"/>
    <s v="Wini"/>
    <s v="Female"/>
    <d v="2001-08-21T00:00:00"/>
    <x v="0"/>
    <n v="23"/>
    <x v="0"/>
    <x v="3"/>
    <x v="73"/>
    <x v="1"/>
    <x v="1"/>
    <x v="1"/>
    <x v="1"/>
    <x v="1"/>
    <x v="0"/>
    <x v="1"/>
    <x v="0"/>
    <x v="232"/>
    <d v="1899-12-30T14:42:00"/>
    <d v="1899-12-30T16:04:00"/>
    <n v="82"/>
    <x v="1"/>
    <x v="3"/>
  </r>
  <r>
    <n v="875"/>
    <s v="Lester"/>
    <s v="Male"/>
    <d v="2010-01-16T00:00:00"/>
    <x v="2"/>
    <n v="14"/>
    <x v="0"/>
    <x v="3"/>
    <x v="73"/>
    <x v="1"/>
    <x v="1"/>
    <x v="1"/>
    <x v="1"/>
    <x v="1"/>
    <x v="0"/>
    <x v="1"/>
    <x v="0"/>
    <x v="24"/>
    <d v="1899-12-30T13:45:00"/>
    <d v="1899-12-30T14:41:00"/>
    <n v="56"/>
    <x v="0"/>
    <x v="0"/>
  </r>
  <r>
    <n v="876"/>
    <s v="Ramona"/>
    <s v="Female"/>
    <d v="2012-01-17T00:00:00"/>
    <x v="2"/>
    <n v="12"/>
    <x v="1"/>
    <x v="4"/>
    <x v="49"/>
    <x v="1"/>
    <x v="0"/>
    <x v="1"/>
    <x v="1"/>
    <x v="1"/>
    <x v="1"/>
    <x v="0"/>
    <x v="0"/>
    <x v="233"/>
    <d v="1899-12-30T18:32:00"/>
    <d v="1899-12-30T20:19:00"/>
    <n v="107"/>
    <x v="0"/>
    <x v="0"/>
  </r>
  <r>
    <n v="877"/>
    <s v="Hobart"/>
    <s v="Male"/>
    <d v="2009-05-07T00:00:00"/>
    <x v="2"/>
    <n v="15"/>
    <x v="1"/>
    <x v="3"/>
    <x v="91"/>
    <x v="0"/>
    <x v="1"/>
    <x v="1"/>
    <x v="1"/>
    <x v="1"/>
    <x v="1"/>
    <x v="1"/>
    <x v="1"/>
    <x v="1"/>
    <d v="1899-12-30T09:12:00"/>
    <d v="1899-12-30T10:54:00"/>
    <n v="102"/>
    <x v="1"/>
    <x v="4"/>
  </r>
  <r>
    <n v="878"/>
    <s v="Elisa"/>
    <s v="Female"/>
    <d v="2004-06-09T00:00:00"/>
    <x v="0"/>
    <n v="20"/>
    <x v="0"/>
    <x v="1"/>
    <x v="67"/>
    <x v="1"/>
    <x v="1"/>
    <x v="1"/>
    <x v="1"/>
    <x v="1"/>
    <x v="1"/>
    <x v="1"/>
    <x v="1"/>
    <x v="1"/>
    <d v="1899-12-30T14:04:00"/>
    <d v="1899-12-30T15:30:00"/>
    <n v="86"/>
    <x v="0"/>
    <x v="0"/>
  </r>
  <r>
    <n v="879"/>
    <s v="Lil"/>
    <s v="Female"/>
    <d v="2002-12-22T00:00:00"/>
    <x v="0"/>
    <n v="21"/>
    <x v="0"/>
    <x v="1"/>
    <x v="20"/>
    <x v="0"/>
    <x v="0"/>
    <x v="1"/>
    <x v="1"/>
    <x v="0"/>
    <x v="1"/>
    <x v="0"/>
    <x v="1"/>
    <x v="1"/>
    <d v="1899-12-30T10:39:00"/>
    <d v="1899-12-30T11:32:00"/>
    <n v="53"/>
    <x v="1"/>
    <x v="1"/>
  </r>
  <r>
    <n v="880"/>
    <s v="Ketti"/>
    <s v="Female"/>
    <d v="1995-02-05T00:00:00"/>
    <x v="0"/>
    <n v="29"/>
    <x v="0"/>
    <x v="3"/>
    <x v="56"/>
    <x v="1"/>
    <x v="1"/>
    <x v="1"/>
    <x v="1"/>
    <x v="0"/>
    <x v="1"/>
    <x v="1"/>
    <x v="1"/>
    <x v="1"/>
    <d v="1899-12-30T11:02:00"/>
    <d v="1899-12-30T13:47:00"/>
    <n v="165"/>
    <x v="1"/>
    <x v="1"/>
  </r>
  <r>
    <n v="881"/>
    <s v="Alexei"/>
    <s v="Male"/>
    <d v="2000-09-22T00:00:00"/>
    <x v="0"/>
    <n v="24"/>
    <x v="1"/>
    <x v="1"/>
    <x v="20"/>
    <x v="0"/>
    <x v="0"/>
    <x v="1"/>
    <x v="1"/>
    <x v="0"/>
    <x v="1"/>
    <x v="0"/>
    <x v="1"/>
    <x v="1"/>
    <d v="1899-12-30T10:46:00"/>
    <d v="1899-12-30T12:00:00"/>
    <n v="74"/>
    <x v="1"/>
    <x v="3"/>
  </r>
  <r>
    <n v="882"/>
    <s v="Johnna"/>
    <s v="Female"/>
    <d v="1995-04-14T00:00:00"/>
    <x v="0"/>
    <n v="29"/>
    <x v="1"/>
    <x v="3"/>
    <x v="66"/>
    <x v="0"/>
    <x v="0"/>
    <x v="1"/>
    <x v="1"/>
    <x v="1"/>
    <x v="0"/>
    <x v="1"/>
    <x v="1"/>
    <x v="1"/>
    <d v="1899-12-30T15:39:00"/>
    <d v="1899-12-30T18:08:00"/>
    <n v="149"/>
    <x v="1"/>
    <x v="4"/>
  </r>
  <r>
    <n v="883"/>
    <s v="Fan"/>
    <s v="Female"/>
    <d v="2010-10-04T00:00:00"/>
    <x v="2"/>
    <n v="13"/>
    <x v="0"/>
    <x v="1"/>
    <x v="75"/>
    <x v="0"/>
    <x v="1"/>
    <x v="0"/>
    <x v="1"/>
    <x v="1"/>
    <x v="0"/>
    <x v="0"/>
    <x v="0"/>
    <x v="219"/>
    <d v="1899-12-30T15:31:00"/>
    <d v="1899-12-30T17:52:00"/>
    <n v="141"/>
    <x v="0"/>
    <x v="0"/>
  </r>
  <r>
    <n v="884"/>
    <s v="Wayland"/>
    <s v="Male"/>
    <d v="1975-06-21T00:00:00"/>
    <x v="1"/>
    <n v="49"/>
    <x v="1"/>
    <x v="2"/>
    <x v="9"/>
    <x v="0"/>
    <x v="0"/>
    <x v="1"/>
    <x v="1"/>
    <x v="0"/>
    <x v="0"/>
    <x v="1"/>
    <x v="0"/>
    <x v="234"/>
    <d v="1899-12-30T16:18:00"/>
    <d v="1899-12-30T17:50:00"/>
    <n v="92"/>
    <x v="0"/>
    <x v="0"/>
  </r>
  <r>
    <n v="885"/>
    <s v="Biddy"/>
    <s v="Female"/>
    <d v="1987-08-04T00:00:00"/>
    <x v="3"/>
    <n v="37"/>
    <x v="1"/>
    <x v="1"/>
    <x v="41"/>
    <x v="0"/>
    <x v="1"/>
    <x v="1"/>
    <x v="0"/>
    <x v="1"/>
    <x v="1"/>
    <x v="1"/>
    <x v="1"/>
    <x v="1"/>
    <d v="1899-12-30T14:33:00"/>
    <d v="1899-12-30T16:10:00"/>
    <n v="97"/>
    <x v="0"/>
    <x v="0"/>
  </r>
  <r>
    <n v="886"/>
    <s v="Cathryn"/>
    <s v="Female"/>
    <d v="2005-03-20T00:00:00"/>
    <x v="2"/>
    <n v="19"/>
    <x v="1"/>
    <x v="0"/>
    <x v="48"/>
    <x v="1"/>
    <x v="1"/>
    <x v="0"/>
    <x v="0"/>
    <x v="0"/>
    <x v="0"/>
    <x v="0"/>
    <x v="0"/>
    <x v="235"/>
    <d v="1899-12-30T15:47:00"/>
    <d v="1899-12-30T18:15:00"/>
    <n v="148"/>
    <x v="0"/>
    <x v="0"/>
  </r>
  <r>
    <n v="887"/>
    <s v="Cord"/>
    <s v="Male"/>
    <d v="2000-10-24T00:00:00"/>
    <x v="0"/>
    <n v="23"/>
    <x v="0"/>
    <x v="3"/>
    <x v="96"/>
    <x v="0"/>
    <x v="1"/>
    <x v="0"/>
    <x v="1"/>
    <x v="0"/>
    <x v="0"/>
    <x v="0"/>
    <x v="1"/>
    <x v="1"/>
    <d v="1899-12-30T19:04:00"/>
    <d v="1899-12-30T19:56:00"/>
    <n v="52"/>
    <x v="0"/>
    <x v="0"/>
  </r>
  <r>
    <n v="888"/>
    <s v="Tiffi"/>
    <s v="Female"/>
    <d v="1990-07-19T00:00:00"/>
    <x v="3"/>
    <n v="34"/>
    <x v="0"/>
    <x v="3"/>
    <x v="53"/>
    <x v="0"/>
    <x v="0"/>
    <x v="0"/>
    <x v="1"/>
    <x v="0"/>
    <x v="0"/>
    <x v="1"/>
    <x v="1"/>
    <x v="1"/>
    <d v="1899-12-30T17:02:00"/>
    <d v="1899-12-30T18:02:00"/>
    <n v="60"/>
    <x v="1"/>
    <x v="2"/>
  </r>
  <r>
    <n v="889"/>
    <s v="Wilt"/>
    <s v="Male"/>
    <d v="2006-02-23T00:00:00"/>
    <x v="2"/>
    <n v="18"/>
    <x v="0"/>
    <x v="1"/>
    <x v="63"/>
    <x v="1"/>
    <x v="1"/>
    <x v="0"/>
    <x v="1"/>
    <x v="0"/>
    <x v="1"/>
    <x v="1"/>
    <x v="0"/>
    <x v="236"/>
    <d v="1899-12-30T11:41:00"/>
    <d v="1899-12-30T13:50:00"/>
    <n v="129"/>
    <x v="0"/>
    <x v="0"/>
  </r>
  <r>
    <n v="890"/>
    <s v="Gonzales"/>
    <s v="Male"/>
    <d v="1997-08-28T00:00:00"/>
    <x v="0"/>
    <n v="27"/>
    <x v="0"/>
    <x v="1"/>
    <x v="75"/>
    <x v="0"/>
    <x v="1"/>
    <x v="0"/>
    <x v="1"/>
    <x v="1"/>
    <x v="0"/>
    <x v="0"/>
    <x v="1"/>
    <x v="1"/>
    <d v="1899-12-30T20:18:00"/>
    <d v="1899-12-30T21:06:00"/>
    <n v="48"/>
    <x v="1"/>
    <x v="4"/>
  </r>
  <r>
    <n v="891"/>
    <s v="Hamilton"/>
    <s v="Male"/>
    <d v="1977-09-19T00:00:00"/>
    <x v="1"/>
    <n v="47"/>
    <x v="0"/>
    <x v="4"/>
    <x v="109"/>
    <x v="1"/>
    <x v="0"/>
    <x v="0"/>
    <x v="1"/>
    <x v="1"/>
    <x v="0"/>
    <x v="0"/>
    <x v="1"/>
    <x v="1"/>
    <d v="1899-12-30T11:26:00"/>
    <d v="1899-12-30T14:16:00"/>
    <n v="170"/>
    <x v="0"/>
    <x v="0"/>
  </r>
  <r>
    <n v="892"/>
    <s v="Renard"/>
    <s v="Male"/>
    <d v="1993-11-25T00:00:00"/>
    <x v="0"/>
    <n v="30"/>
    <x v="1"/>
    <x v="3"/>
    <x v="56"/>
    <x v="1"/>
    <x v="1"/>
    <x v="1"/>
    <x v="1"/>
    <x v="0"/>
    <x v="1"/>
    <x v="1"/>
    <x v="1"/>
    <x v="1"/>
    <d v="1899-12-30T12:22:00"/>
    <d v="1899-12-30T13:02:00"/>
    <n v="40"/>
    <x v="1"/>
    <x v="2"/>
  </r>
  <r>
    <n v="893"/>
    <s v="Borden"/>
    <s v="Male"/>
    <d v="1984-09-13T00:00:00"/>
    <x v="3"/>
    <n v="40"/>
    <x v="0"/>
    <x v="3"/>
    <x v="31"/>
    <x v="0"/>
    <x v="0"/>
    <x v="1"/>
    <x v="1"/>
    <x v="0"/>
    <x v="0"/>
    <x v="0"/>
    <x v="0"/>
    <x v="131"/>
    <d v="1899-12-30T20:33:00"/>
    <d v="1899-12-30T21:04:00"/>
    <n v="31"/>
    <x v="1"/>
    <x v="3"/>
  </r>
  <r>
    <n v="894"/>
    <s v="Eileen"/>
    <s v="Female"/>
    <d v="2004-03-21T00:00:00"/>
    <x v="0"/>
    <n v="20"/>
    <x v="1"/>
    <x v="2"/>
    <x v="21"/>
    <x v="0"/>
    <x v="1"/>
    <x v="1"/>
    <x v="1"/>
    <x v="0"/>
    <x v="1"/>
    <x v="1"/>
    <x v="0"/>
    <x v="19"/>
    <d v="1899-12-30T15:06:00"/>
    <d v="1899-12-30T16:11:00"/>
    <n v="65"/>
    <x v="0"/>
    <x v="0"/>
  </r>
  <r>
    <n v="895"/>
    <s v="Robinet"/>
    <s v="Male"/>
    <d v="1988-06-14T00:00:00"/>
    <x v="3"/>
    <n v="36"/>
    <x v="0"/>
    <x v="1"/>
    <x v="94"/>
    <x v="0"/>
    <x v="1"/>
    <x v="0"/>
    <x v="0"/>
    <x v="0"/>
    <x v="0"/>
    <x v="0"/>
    <x v="1"/>
    <x v="1"/>
    <d v="1899-12-30T16:53:00"/>
    <d v="1899-12-30T19:53:00"/>
    <n v="180"/>
    <x v="1"/>
    <x v="4"/>
  </r>
  <r>
    <n v="896"/>
    <s v="Franni"/>
    <s v="Female"/>
    <d v="1979-05-08T00:00:00"/>
    <x v="1"/>
    <n v="45"/>
    <x v="0"/>
    <x v="0"/>
    <x v="15"/>
    <x v="1"/>
    <x v="0"/>
    <x v="1"/>
    <x v="0"/>
    <x v="0"/>
    <x v="0"/>
    <x v="0"/>
    <x v="1"/>
    <x v="1"/>
    <d v="1899-12-30T10:05:00"/>
    <d v="1899-12-30T12:47:00"/>
    <n v="162"/>
    <x v="1"/>
    <x v="4"/>
  </r>
  <r>
    <n v="897"/>
    <s v="Andra"/>
    <s v="Female"/>
    <d v="1987-11-06T00:00:00"/>
    <x v="3"/>
    <n v="36"/>
    <x v="0"/>
    <x v="1"/>
    <x v="64"/>
    <x v="0"/>
    <x v="1"/>
    <x v="0"/>
    <x v="0"/>
    <x v="0"/>
    <x v="1"/>
    <x v="1"/>
    <x v="0"/>
    <x v="9"/>
    <d v="1899-12-30T09:39:00"/>
    <d v="1899-12-30T10:11:00"/>
    <n v="32"/>
    <x v="0"/>
    <x v="0"/>
  </r>
  <r>
    <n v="898"/>
    <s v="Brandise"/>
    <s v="Female"/>
    <d v="1987-10-27T00:00:00"/>
    <x v="3"/>
    <n v="36"/>
    <x v="0"/>
    <x v="2"/>
    <x v="10"/>
    <x v="0"/>
    <x v="1"/>
    <x v="1"/>
    <x v="1"/>
    <x v="1"/>
    <x v="0"/>
    <x v="1"/>
    <x v="1"/>
    <x v="1"/>
    <d v="1899-12-30T11:05:00"/>
    <d v="1899-12-30T12:52:00"/>
    <n v="107"/>
    <x v="0"/>
    <x v="0"/>
  </r>
  <r>
    <n v="899"/>
    <s v="Jeremie"/>
    <s v="Male"/>
    <d v="2008-03-27T00:00:00"/>
    <x v="2"/>
    <n v="16"/>
    <x v="1"/>
    <x v="2"/>
    <x v="2"/>
    <x v="1"/>
    <x v="1"/>
    <x v="1"/>
    <x v="1"/>
    <x v="0"/>
    <x v="0"/>
    <x v="1"/>
    <x v="0"/>
    <x v="215"/>
    <d v="1899-12-30T12:59:00"/>
    <d v="1899-12-30T13:59:00"/>
    <n v="60"/>
    <x v="0"/>
    <x v="0"/>
  </r>
  <r>
    <n v="900"/>
    <s v="Gretel"/>
    <s v="Female"/>
    <d v="2000-07-08T00:00:00"/>
    <x v="0"/>
    <n v="24"/>
    <x v="1"/>
    <x v="1"/>
    <x v="26"/>
    <x v="0"/>
    <x v="0"/>
    <x v="1"/>
    <x v="1"/>
    <x v="1"/>
    <x v="1"/>
    <x v="1"/>
    <x v="1"/>
    <x v="1"/>
    <d v="1899-12-30T19:13:00"/>
    <d v="1899-12-30T21:33:00"/>
    <n v="140"/>
    <x v="1"/>
    <x v="2"/>
  </r>
  <r>
    <n v="901"/>
    <s v="Avivah"/>
    <s v="Female"/>
    <d v="1988-05-27T00:00:00"/>
    <x v="3"/>
    <n v="36"/>
    <x v="0"/>
    <x v="2"/>
    <x v="9"/>
    <x v="0"/>
    <x v="0"/>
    <x v="1"/>
    <x v="1"/>
    <x v="0"/>
    <x v="0"/>
    <x v="1"/>
    <x v="1"/>
    <x v="1"/>
    <d v="1899-12-30T17:30:00"/>
    <d v="1899-12-30T19:27:00"/>
    <n v="117"/>
    <x v="0"/>
    <x v="0"/>
  </r>
  <r>
    <n v="902"/>
    <s v="Nadia"/>
    <s v="Female"/>
    <d v="1984-01-14T00:00:00"/>
    <x v="3"/>
    <n v="40"/>
    <x v="1"/>
    <x v="2"/>
    <x v="10"/>
    <x v="0"/>
    <x v="1"/>
    <x v="1"/>
    <x v="1"/>
    <x v="1"/>
    <x v="0"/>
    <x v="1"/>
    <x v="0"/>
    <x v="6"/>
    <d v="1899-12-30T16:03:00"/>
    <d v="1899-12-30T17:10:00"/>
    <n v="67"/>
    <x v="0"/>
    <x v="0"/>
  </r>
  <r>
    <n v="903"/>
    <s v="Florry"/>
    <s v="Female"/>
    <d v="1984-03-14T00:00:00"/>
    <x v="3"/>
    <n v="40"/>
    <x v="0"/>
    <x v="3"/>
    <x v="12"/>
    <x v="1"/>
    <x v="1"/>
    <x v="1"/>
    <x v="0"/>
    <x v="0"/>
    <x v="0"/>
    <x v="1"/>
    <x v="0"/>
    <x v="19"/>
    <d v="1899-12-30T19:07:00"/>
    <d v="1899-12-30T19:48:00"/>
    <n v="41"/>
    <x v="1"/>
    <x v="3"/>
  </r>
  <r>
    <n v="904"/>
    <s v="Freddi"/>
    <s v="Female"/>
    <d v="2010-01-10T00:00:00"/>
    <x v="2"/>
    <n v="14"/>
    <x v="0"/>
    <x v="3"/>
    <x v="55"/>
    <x v="1"/>
    <x v="0"/>
    <x v="1"/>
    <x v="1"/>
    <x v="0"/>
    <x v="0"/>
    <x v="1"/>
    <x v="1"/>
    <x v="1"/>
    <d v="1899-12-30T10:09:00"/>
    <d v="1899-12-30T11:22:00"/>
    <n v="73"/>
    <x v="1"/>
    <x v="1"/>
  </r>
  <r>
    <n v="905"/>
    <s v="Marika"/>
    <s v="Female"/>
    <d v="1991-08-29T00:00:00"/>
    <x v="3"/>
    <n v="33"/>
    <x v="0"/>
    <x v="2"/>
    <x v="51"/>
    <x v="0"/>
    <x v="1"/>
    <x v="1"/>
    <x v="0"/>
    <x v="0"/>
    <x v="0"/>
    <x v="1"/>
    <x v="1"/>
    <x v="1"/>
    <d v="1899-12-30T14:09:00"/>
    <d v="1899-12-30T16:47:00"/>
    <n v="158"/>
    <x v="0"/>
    <x v="0"/>
  </r>
  <r>
    <n v="906"/>
    <s v="Thorsten"/>
    <s v="Male"/>
    <d v="1981-09-22T00:00:00"/>
    <x v="1"/>
    <n v="43"/>
    <x v="1"/>
    <x v="2"/>
    <x v="14"/>
    <x v="0"/>
    <x v="1"/>
    <x v="1"/>
    <x v="1"/>
    <x v="0"/>
    <x v="0"/>
    <x v="0"/>
    <x v="1"/>
    <x v="1"/>
    <d v="1899-12-30T09:22:00"/>
    <d v="1899-12-30T12:01:00"/>
    <n v="159"/>
    <x v="1"/>
    <x v="2"/>
  </r>
  <r>
    <n v="907"/>
    <s v="Stanislaus"/>
    <s v="Male"/>
    <d v="1976-07-28T00:00:00"/>
    <x v="1"/>
    <n v="48"/>
    <x v="1"/>
    <x v="3"/>
    <x v="53"/>
    <x v="0"/>
    <x v="0"/>
    <x v="0"/>
    <x v="1"/>
    <x v="0"/>
    <x v="0"/>
    <x v="1"/>
    <x v="0"/>
    <x v="237"/>
    <d v="1899-12-30T15:12:00"/>
    <d v="1899-12-30T17:43:00"/>
    <n v="151"/>
    <x v="0"/>
    <x v="0"/>
  </r>
  <r>
    <n v="908"/>
    <s v="Grazia"/>
    <s v="Female"/>
    <d v="2012-03-22T00:00:00"/>
    <x v="2"/>
    <n v="12"/>
    <x v="1"/>
    <x v="4"/>
    <x v="28"/>
    <x v="0"/>
    <x v="1"/>
    <x v="0"/>
    <x v="0"/>
    <x v="1"/>
    <x v="1"/>
    <x v="0"/>
    <x v="1"/>
    <x v="1"/>
    <d v="1899-12-30T10:25:00"/>
    <d v="1899-12-30T12:49:00"/>
    <n v="144"/>
    <x v="0"/>
    <x v="0"/>
  </r>
  <r>
    <n v="909"/>
    <s v="Randy"/>
    <s v="Male"/>
    <d v="1985-01-23T00:00:00"/>
    <x v="3"/>
    <n v="39"/>
    <x v="0"/>
    <x v="0"/>
    <x v="115"/>
    <x v="1"/>
    <x v="1"/>
    <x v="0"/>
    <x v="0"/>
    <x v="0"/>
    <x v="1"/>
    <x v="1"/>
    <x v="0"/>
    <x v="238"/>
    <d v="1899-12-30T13:35:00"/>
    <d v="1899-12-30T15:53:00"/>
    <n v="138"/>
    <x v="1"/>
    <x v="1"/>
  </r>
  <r>
    <n v="910"/>
    <s v="Urban"/>
    <s v="Male"/>
    <d v="1994-09-05T00:00:00"/>
    <x v="0"/>
    <n v="30"/>
    <x v="0"/>
    <x v="1"/>
    <x v="45"/>
    <x v="0"/>
    <x v="1"/>
    <x v="1"/>
    <x v="1"/>
    <x v="1"/>
    <x v="1"/>
    <x v="0"/>
    <x v="0"/>
    <x v="239"/>
    <d v="1899-12-30T11:09:00"/>
    <d v="1899-12-30T11:47:00"/>
    <n v="38"/>
    <x v="0"/>
    <x v="0"/>
  </r>
  <r>
    <n v="911"/>
    <s v="Fifine"/>
    <s v="Female"/>
    <d v="2000-06-07T00:00:00"/>
    <x v="0"/>
    <n v="24"/>
    <x v="1"/>
    <x v="1"/>
    <x v="13"/>
    <x v="1"/>
    <x v="0"/>
    <x v="1"/>
    <x v="0"/>
    <x v="0"/>
    <x v="0"/>
    <x v="1"/>
    <x v="0"/>
    <x v="240"/>
    <d v="1899-12-30T20:53:00"/>
    <d v="1899-12-30T23:46:00"/>
    <n v="173"/>
    <x v="0"/>
    <x v="0"/>
  </r>
  <r>
    <n v="912"/>
    <s v="Avivah"/>
    <s v="Female"/>
    <d v="1977-08-19T00:00:00"/>
    <x v="1"/>
    <n v="47"/>
    <x v="1"/>
    <x v="2"/>
    <x v="5"/>
    <x v="0"/>
    <x v="1"/>
    <x v="0"/>
    <x v="1"/>
    <x v="0"/>
    <x v="0"/>
    <x v="1"/>
    <x v="1"/>
    <x v="1"/>
    <d v="1899-12-30T19:32:00"/>
    <d v="1899-12-30T21:51:00"/>
    <n v="139"/>
    <x v="0"/>
    <x v="0"/>
  </r>
  <r>
    <n v="913"/>
    <s v="Garv"/>
    <s v="Male"/>
    <d v="1989-11-26T00:00:00"/>
    <x v="3"/>
    <n v="34"/>
    <x v="1"/>
    <x v="2"/>
    <x v="51"/>
    <x v="0"/>
    <x v="1"/>
    <x v="1"/>
    <x v="0"/>
    <x v="0"/>
    <x v="0"/>
    <x v="1"/>
    <x v="0"/>
    <x v="54"/>
    <d v="1899-12-30T14:47:00"/>
    <d v="1899-12-30T17:18:00"/>
    <n v="151"/>
    <x v="0"/>
    <x v="0"/>
  </r>
  <r>
    <n v="914"/>
    <s v="Ker"/>
    <s v="Male"/>
    <d v="1994-06-02T00:00:00"/>
    <x v="0"/>
    <n v="30"/>
    <x v="0"/>
    <x v="2"/>
    <x v="9"/>
    <x v="0"/>
    <x v="0"/>
    <x v="1"/>
    <x v="1"/>
    <x v="0"/>
    <x v="0"/>
    <x v="1"/>
    <x v="1"/>
    <x v="1"/>
    <d v="1899-12-30T17:41:00"/>
    <d v="1899-12-30T19:27:00"/>
    <n v="106"/>
    <x v="0"/>
    <x v="0"/>
  </r>
  <r>
    <n v="915"/>
    <s v="Chelsie"/>
    <s v="Female"/>
    <d v="2001-04-12T00:00:00"/>
    <x v="0"/>
    <n v="23"/>
    <x v="1"/>
    <x v="2"/>
    <x v="5"/>
    <x v="0"/>
    <x v="1"/>
    <x v="0"/>
    <x v="1"/>
    <x v="0"/>
    <x v="0"/>
    <x v="1"/>
    <x v="0"/>
    <x v="0"/>
    <d v="1899-12-30T19:00:00"/>
    <d v="1899-12-30T20:09:00"/>
    <n v="69"/>
    <x v="0"/>
    <x v="0"/>
  </r>
  <r>
    <n v="916"/>
    <s v="Zeke"/>
    <s v="Male"/>
    <d v="2000-08-14T00:00:00"/>
    <x v="0"/>
    <n v="24"/>
    <x v="1"/>
    <x v="2"/>
    <x v="51"/>
    <x v="0"/>
    <x v="1"/>
    <x v="1"/>
    <x v="0"/>
    <x v="0"/>
    <x v="0"/>
    <x v="1"/>
    <x v="0"/>
    <x v="241"/>
    <d v="1899-12-30T15:05:00"/>
    <d v="1899-12-30T15:59:00"/>
    <n v="54"/>
    <x v="0"/>
    <x v="0"/>
  </r>
  <r>
    <n v="917"/>
    <s v="Ignaz"/>
    <s v="Male"/>
    <d v="2011-06-28T00:00:00"/>
    <x v="2"/>
    <n v="13"/>
    <x v="1"/>
    <x v="3"/>
    <x v="66"/>
    <x v="0"/>
    <x v="0"/>
    <x v="1"/>
    <x v="1"/>
    <x v="1"/>
    <x v="0"/>
    <x v="1"/>
    <x v="1"/>
    <x v="1"/>
    <d v="1899-12-30T19:29:00"/>
    <d v="1899-12-30T20:09:00"/>
    <n v="40"/>
    <x v="0"/>
    <x v="0"/>
  </r>
  <r>
    <n v="918"/>
    <s v="Fayth"/>
    <s v="Female"/>
    <d v="2006-05-28T00:00:00"/>
    <x v="2"/>
    <n v="18"/>
    <x v="1"/>
    <x v="0"/>
    <x v="116"/>
    <x v="1"/>
    <x v="0"/>
    <x v="0"/>
    <x v="1"/>
    <x v="0"/>
    <x v="0"/>
    <x v="0"/>
    <x v="1"/>
    <x v="1"/>
    <d v="1899-12-30T11:23:00"/>
    <d v="1899-12-30T13:36:00"/>
    <n v="133"/>
    <x v="0"/>
    <x v="0"/>
  </r>
  <r>
    <n v="919"/>
    <s v="Devlin"/>
    <s v="Male"/>
    <d v="1979-07-23T00:00:00"/>
    <x v="1"/>
    <n v="45"/>
    <x v="0"/>
    <x v="4"/>
    <x v="43"/>
    <x v="1"/>
    <x v="1"/>
    <x v="0"/>
    <x v="0"/>
    <x v="1"/>
    <x v="0"/>
    <x v="0"/>
    <x v="1"/>
    <x v="1"/>
    <d v="1899-12-30T19:43:00"/>
    <d v="1899-12-30T20:31:00"/>
    <n v="48"/>
    <x v="0"/>
    <x v="0"/>
  </r>
  <r>
    <n v="920"/>
    <s v="Angelique"/>
    <s v="Female"/>
    <d v="1983-02-20T00:00:00"/>
    <x v="1"/>
    <n v="41"/>
    <x v="1"/>
    <x v="2"/>
    <x v="21"/>
    <x v="0"/>
    <x v="1"/>
    <x v="1"/>
    <x v="1"/>
    <x v="0"/>
    <x v="1"/>
    <x v="1"/>
    <x v="1"/>
    <x v="1"/>
    <d v="1899-12-30T10:23:00"/>
    <d v="1899-12-30T11:45:00"/>
    <n v="82"/>
    <x v="0"/>
    <x v="0"/>
  </r>
  <r>
    <n v="921"/>
    <s v="Fredi"/>
    <s v="Female"/>
    <d v="2011-02-04T00:00:00"/>
    <x v="2"/>
    <n v="13"/>
    <x v="0"/>
    <x v="2"/>
    <x v="21"/>
    <x v="0"/>
    <x v="1"/>
    <x v="1"/>
    <x v="1"/>
    <x v="0"/>
    <x v="1"/>
    <x v="1"/>
    <x v="0"/>
    <x v="6"/>
    <d v="1899-12-30T12:39:00"/>
    <d v="1899-12-30T13:25:00"/>
    <n v="46"/>
    <x v="0"/>
    <x v="0"/>
  </r>
  <r>
    <n v="922"/>
    <s v="Vida"/>
    <s v="Female"/>
    <d v="1989-11-29T00:00:00"/>
    <x v="3"/>
    <n v="34"/>
    <x v="1"/>
    <x v="2"/>
    <x v="10"/>
    <x v="0"/>
    <x v="1"/>
    <x v="1"/>
    <x v="1"/>
    <x v="1"/>
    <x v="0"/>
    <x v="1"/>
    <x v="0"/>
    <x v="242"/>
    <d v="1899-12-30T10:28:00"/>
    <d v="1899-12-30T13:04:00"/>
    <n v="156"/>
    <x v="1"/>
    <x v="1"/>
  </r>
  <r>
    <n v="923"/>
    <s v="Devondra"/>
    <s v="Female"/>
    <d v="1981-09-05T00:00:00"/>
    <x v="1"/>
    <n v="43"/>
    <x v="1"/>
    <x v="2"/>
    <x v="51"/>
    <x v="0"/>
    <x v="1"/>
    <x v="1"/>
    <x v="0"/>
    <x v="0"/>
    <x v="0"/>
    <x v="1"/>
    <x v="1"/>
    <x v="1"/>
    <d v="1899-12-30T15:04:00"/>
    <d v="1899-12-30T15:57:00"/>
    <n v="53"/>
    <x v="1"/>
    <x v="3"/>
  </r>
  <r>
    <n v="924"/>
    <s v="Carling"/>
    <s v="Male"/>
    <d v="1985-05-11T00:00:00"/>
    <x v="3"/>
    <n v="39"/>
    <x v="0"/>
    <x v="3"/>
    <x v="96"/>
    <x v="0"/>
    <x v="1"/>
    <x v="0"/>
    <x v="1"/>
    <x v="0"/>
    <x v="0"/>
    <x v="0"/>
    <x v="1"/>
    <x v="1"/>
    <d v="1899-12-30T17:57:00"/>
    <d v="1899-12-30T20:14:00"/>
    <n v="137"/>
    <x v="1"/>
    <x v="3"/>
  </r>
  <r>
    <n v="925"/>
    <s v="Perle"/>
    <s v="Female"/>
    <d v="2011-08-16T00:00:00"/>
    <x v="2"/>
    <n v="13"/>
    <x v="0"/>
    <x v="1"/>
    <x v="77"/>
    <x v="0"/>
    <x v="1"/>
    <x v="1"/>
    <x v="0"/>
    <x v="0"/>
    <x v="1"/>
    <x v="0"/>
    <x v="0"/>
    <x v="103"/>
    <d v="1899-12-30T13:47:00"/>
    <d v="1899-12-30T16:32:00"/>
    <n v="165"/>
    <x v="0"/>
    <x v="0"/>
  </r>
  <r>
    <n v="926"/>
    <s v="Gerick"/>
    <s v="Male"/>
    <d v="2001-11-09T00:00:00"/>
    <x v="0"/>
    <n v="22"/>
    <x v="1"/>
    <x v="4"/>
    <x v="81"/>
    <x v="0"/>
    <x v="0"/>
    <x v="0"/>
    <x v="0"/>
    <x v="1"/>
    <x v="1"/>
    <x v="1"/>
    <x v="1"/>
    <x v="1"/>
    <d v="1899-12-30T09:16:00"/>
    <d v="1899-12-30T10:27:00"/>
    <n v="71"/>
    <x v="1"/>
    <x v="1"/>
  </r>
  <r>
    <n v="927"/>
    <s v="Tye"/>
    <s v="Male"/>
    <d v="2001-03-13T00:00:00"/>
    <x v="0"/>
    <n v="23"/>
    <x v="1"/>
    <x v="1"/>
    <x v="6"/>
    <x v="1"/>
    <x v="0"/>
    <x v="1"/>
    <x v="1"/>
    <x v="0"/>
    <x v="0"/>
    <x v="0"/>
    <x v="0"/>
    <x v="219"/>
    <d v="1899-12-30T10:03:00"/>
    <d v="1899-12-30T11:32:00"/>
    <n v="89"/>
    <x v="1"/>
    <x v="4"/>
  </r>
  <r>
    <n v="928"/>
    <s v="Pamela"/>
    <s v="Female"/>
    <d v="1987-09-17T00:00:00"/>
    <x v="3"/>
    <n v="37"/>
    <x v="0"/>
    <x v="1"/>
    <x v="3"/>
    <x v="0"/>
    <x v="1"/>
    <x v="0"/>
    <x v="1"/>
    <x v="0"/>
    <x v="1"/>
    <x v="0"/>
    <x v="1"/>
    <x v="1"/>
    <d v="1899-12-30T17:33:00"/>
    <d v="1899-12-30T18:46:00"/>
    <n v="73"/>
    <x v="0"/>
    <x v="0"/>
  </r>
  <r>
    <n v="929"/>
    <s v="Aldous"/>
    <s v="Male"/>
    <d v="1994-11-07T00:00:00"/>
    <x v="0"/>
    <n v="29"/>
    <x v="0"/>
    <x v="4"/>
    <x v="50"/>
    <x v="0"/>
    <x v="0"/>
    <x v="0"/>
    <x v="0"/>
    <x v="0"/>
    <x v="1"/>
    <x v="0"/>
    <x v="0"/>
    <x v="243"/>
    <d v="1899-12-30T09:38:00"/>
    <d v="1899-12-30T10:54:00"/>
    <n v="76"/>
    <x v="0"/>
    <x v="0"/>
  </r>
  <r>
    <n v="930"/>
    <s v="Vita"/>
    <s v="Female"/>
    <d v="2001-08-15T00:00:00"/>
    <x v="0"/>
    <n v="23"/>
    <x v="0"/>
    <x v="4"/>
    <x v="23"/>
    <x v="0"/>
    <x v="0"/>
    <x v="1"/>
    <x v="0"/>
    <x v="1"/>
    <x v="1"/>
    <x v="0"/>
    <x v="1"/>
    <x v="1"/>
    <d v="1899-12-30T13:57:00"/>
    <d v="1899-12-30T14:44:00"/>
    <n v="47"/>
    <x v="0"/>
    <x v="0"/>
  </r>
  <r>
    <n v="931"/>
    <s v="Dori"/>
    <s v="Female"/>
    <d v="2001-09-20T00:00:00"/>
    <x v="0"/>
    <n v="23"/>
    <x v="1"/>
    <x v="4"/>
    <x v="25"/>
    <x v="1"/>
    <x v="0"/>
    <x v="1"/>
    <x v="0"/>
    <x v="0"/>
    <x v="1"/>
    <x v="0"/>
    <x v="1"/>
    <x v="1"/>
    <d v="1899-12-30T16:33:00"/>
    <d v="1899-12-30T17:57:00"/>
    <n v="84"/>
    <x v="0"/>
    <x v="0"/>
  </r>
  <r>
    <n v="932"/>
    <s v="Francklin"/>
    <s v="Male"/>
    <d v="1997-03-28T00:00:00"/>
    <x v="0"/>
    <n v="27"/>
    <x v="0"/>
    <x v="1"/>
    <x v="42"/>
    <x v="0"/>
    <x v="0"/>
    <x v="1"/>
    <x v="0"/>
    <x v="0"/>
    <x v="0"/>
    <x v="0"/>
    <x v="0"/>
    <x v="244"/>
    <d v="1899-12-30T10:48:00"/>
    <d v="1899-12-30T12:12:00"/>
    <n v="84"/>
    <x v="0"/>
    <x v="0"/>
  </r>
  <r>
    <n v="933"/>
    <s v="Tiertza"/>
    <s v="Female"/>
    <d v="2009-07-08T00:00:00"/>
    <x v="2"/>
    <n v="15"/>
    <x v="0"/>
    <x v="2"/>
    <x v="5"/>
    <x v="0"/>
    <x v="1"/>
    <x v="0"/>
    <x v="1"/>
    <x v="0"/>
    <x v="0"/>
    <x v="1"/>
    <x v="0"/>
    <x v="245"/>
    <d v="1899-12-30T19:06:00"/>
    <d v="1899-12-30T19:37:00"/>
    <n v="31"/>
    <x v="1"/>
    <x v="2"/>
  </r>
  <r>
    <n v="934"/>
    <s v="Dionis"/>
    <s v="Female"/>
    <d v="1983-02-25T00:00:00"/>
    <x v="1"/>
    <n v="41"/>
    <x v="0"/>
    <x v="4"/>
    <x v="99"/>
    <x v="1"/>
    <x v="1"/>
    <x v="1"/>
    <x v="0"/>
    <x v="1"/>
    <x v="1"/>
    <x v="0"/>
    <x v="1"/>
    <x v="1"/>
    <d v="1899-12-30T13:53:00"/>
    <d v="1899-12-30T16:01:00"/>
    <n v="128"/>
    <x v="0"/>
    <x v="0"/>
  </r>
  <r>
    <n v="935"/>
    <s v="Mariam"/>
    <s v="Female"/>
    <d v="2009-05-29T00:00:00"/>
    <x v="2"/>
    <n v="15"/>
    <x v="1"/>
    <x v="3"/>
    <x v="96"/>
    <x v="0"/>
    <x v="1"/>
    <x v="0"/>
    <x v="1"/>
    <x v="0"/>
    <x v="0"/>
    <x v="0"/>
    <x v="1"/>
    <x v="1"/>
    <d v="1899-12-30T12:35:00"/>
    <d v="1899-12-30T14:56:00"/>
    <n v="141"/>
    <x v="0"/>
    <x v="0"/>
  </r>
  <r>
    <n v="936"/>
    <s v="Briano"/>
    <s v="Male"/>
    <d v="2010-12-06T00:00:00"/>
    <x v="2"/>
    <n v="13"/>
    <x v="0"/>
    <x v="1"/>
    <x v="65"/>
    <x v="1"/>
    <x v="1"/>
    <x v="0"/>
    <x v="0"/>
    <x v="0"/>
    <x v="0"/>
    <x v="1"/>
    <x v="0"/>
    <x v="35"/>
    <d v="1899-12-30T15:31:00"/>
    <d v="1899-12-30T18:26:00"/>
    <n v="175"/>
    <x v="0"/>
    <x v="0"/>
  </r>
  <r>
    <n v="937"/>
    <s v="Parsifal"/>
    <s v="Male"/>
    <d v="1975-08-05T00:00:00"/>
    <x v="1"/>
    <n v="49"/>
    <x v="0"/>
    <x v="1"/>
    <x v="38"/>
    <x v="1"/>
    <x v="1"/>
    <x v="1"/>
    <x v="0"/>
    <x v="0"/>
    <x v="1"/>
    <x v="1"/>
    <x v="0"/>
    <x v="82"/>
    <d v="1899-12-30T10:55:00"/>
    <d v="1899-12-30T13:53:00"/>
    <n v="178"/>
    <x v="0"/>
    <x v="0"/>
  </r>
  <r>
    <n v="938"/>
    <s v="Merle"/>
    <s v="Male"/>
    <d v="1992-10-11T00:00:00"/>
    <x v="3"/>
    <n v="31"/>
    <x v="1"/>
    <x v="1"/>
    <x v="41"/>
    <x v="0"/>
    <x v="1"/>
    <x v="1"/>
    <x v="0"/>
    <x v="1"/>
    <x v="1"/>
    <x v="1"/>
    <x v="0"/>
    <x v="39"/>
    <d v="1899-12-30T09:57:00"/>
    <d v="1899-12-30T11:18:00"/>
    <n v="81"/>
    <x v="1"/>
    <x v="2"/>
  </r>
  <r>
    <n v="939"/>
    <s v="Carlen"/>
    <s v="Female"/>
    <d v="1981-10-08T00:00:00"/>
    <x v="1"/>
    <n v="42"/>
    <x v="0"/>
    <x v="4"/>
    <x v="25"/>
    <x v="1"/>
    <x v="0"/>
    <x v="1"/>
    <x v="0"/>
    <x v="0"/>
    <x v="1"/>
    <x v="0"/>
    <x v="1"/>
    <x v="1"/>
    <d v="1899-12-30T12:50:00"/>
    <d v="1899-12-30T14:10:00"/>
    <n v="80"/>
    <x v="1"/>
    <x v="3"/>
  </r>
  <r>
    <n v="940"/>
    <s v="Beatriz"/>
    <s v="Female"/>
    <d v="1991-06-21T00:00:00"/>
    <x v="3"/>
    <n v="33"/>
    <x v="0"/>
    <x v="3"/>
    <x v="17"/>
    <x v="0"/>
    <x v="1"/>
    <x v="1"/>
    <x v="0"/>
    <x v="0"/>
    <x v="0"/>
    <x v="0"/>
    <x v="0"/>
    <x v="246"/>
    <d v="1899-12-30T20:25:00"/>
    <d v="1899-12-30T21:05:00"/>
    <n v="40"/>
    <x v="0"/>
    <x v="0"/>
  </r>
  <r>
    <n v="941"/>
    <s v="Matias"/>
    <s v="Male"/>
    <d v="1978-12-21T00:00:00"/>
    <x v="1"/>
    <n v="45"/>
    <x v="0"/>
    <x v="1"/>
    <x v="46"/>
    <x v="0"/>
    <x v="1"/>
    <x v="0"/>
    <x v="1"/>
    <x v="1"/>
    <x v="1"/>
    <x v="1"/>
    <x v="1"/>
    <x v="1"/>
    <d v="1899-12-30T10:21:00"/>
    <d v="1899-12-30T11:18:00"/>
    <n v="57"/>
    <x v="1"/>
    <x v="4"/>
  </r>
  <r>
    <n v="942"/>
    <s v="Lindon"/>
    <s v="Male"/>
    <d v="1981-03-08T00:00:00"/>
    <x v="1"/>
    <n v="43"/>
    <x v="1"/>
    <x v="1"/>
    <x v="22"/>
    <x v="0"/>
    <x v="0"/>
    <x v="0"/>
    <x v="1"/>
    <x v="1"/>
    <x v="0"/>
    <x v="1"/>
    <x v="1"/>
    <x v="1"/>
    <d v="1899-12-30T10:47:00"/>
    <d v="1899-12-30T13:10:00"/>
    <n v="143"/>
    <x v="1"/>
    <x v="2"/>
  </r>
  <r>
    <n v="943"/>
    <s v="Ransell"/>
    <s v="Male"/>
    <d v="1984-02-22T00:00:00"/>
    <x v="3"/>
    <n v="40"/>
    <x v="1"/>
    <x v="1"/>
    <x v="26"/>
    <x v="0"/>
    <x v="0"/>
    <x v="1"/>
    <x v="1"/>
    <x v="1"/>
    <x v="1"/>
    <x v="1"/>
    <x v="1"/>
    <x v="1"/>
    <d v="1899-12-30T11:58:00"/>
    <d v="1899-12-30T14:33:00"/>
    <n v="155"/>
    <x v="1"/>
    <x v="2"/>
  </r>
  <r>
    <n v="944"/>
    <s v="Marty"/>
    <s v="Female"/>
    <d v="1993-09-29T00:00:00"/>
    <x v="3"/>
    <n v="31"/>
    <x v="1"/>
    <x v="4"/>
    <x v="108"/>
    <x v="1"/>
    <x v="1"/>
    <x v="0"/>
    <x v="0"/>
    <x v="0"/>
    <x v="1"/>
    <x v="0"/>
    <x v="1"/>
    <x v="1"/>
    <d v="1899-12-30T09:41:00"/>
    <d v="1899-12-30T11:03:00"/>
    <n v="82"/>
    <x v="1"/>
    <x v="1"/>
  </r>
  <r>
    <n v="945"/>
    <s v="Doris"/>
    <s v="Female"/>
    <d v="1975-11-29T00:00:00"/>
    <x v="1"/>
    <n v="48"/>
    <x v="1"/>
    <x v="3"/>
    <x v="33"/>
    <x v="0"/>
    <x v="1"/>
    <x v="1"/>
    <x v="0"/>
    <x v="0"/>
    <x v="1"/>
    <x v="1"/>
    <x v="1"/>
    <x v="1"/>
    <d v="1899-12-30T17:14:00"/>
    <d v="1899-12-30T20:08:00"/>
    <n v="174"/>
    <x v="1"/>
    <x v="3"/>
  </r>
  <r>
    <n v="946"/>
    <s v="Fidelio"/>
    <s v="Male"/>
    <d v="2003-02-14T00:00:00"/>
    <x v="0"/>
    <n v="21"/>
    <x v="0"/>
    <x v="1"/>
    <x v="6"/>
    <x v="1"/>
    <x v="0"/>
    <x v="1"/>
    <x v="1"/>
    <x v="0"/>
    <x v="0"/>
    <x v="0"/>
    <x v="1"/>
    <x v="1"/>
    <d v="1899-12-30T13:49:00"/>
    <d v="1899-12-30T16:45:00"/>
    <n v="176"/>
    <x v="1"/>
    <x v="4"/>
  </r>
  <r>
    <n v="947"/>
    <s v="Elladine"/>
    <s v="Female"/>
    <d v="2006-07-10T00:00:00"/>
    <x v="2"/>
    <n v="18"/>
    <x v="1"/>
    <x v="0"/>
    <x v="34"/>
    <x v="0"/>
    <x v="0"/>
    <x v="0"/>
    <x v="1"/>
    <x v="1"/>
    <x v="1"/>
    <x v="1"/>
    <x v="1"/>
    <x v="1"/>
    <d v="1899-12-30T09:42:00"/>
    <d v="1899-12-30T11:42:00"/>
    <n v="120"/>
    <x v="1"/>
    <x v="2"/>
  </r>
  <r>
    <n v="948"/>
    <s v="Hanna"/>
    <s v="Female"/>
    <d v="2000-03-27T00:00:00"/>
    <x v="0"/>
    <n v="24"/>
    <x v="0"/>
    <x v="3"/>
    <x v="7"/>
    <x v="1"/>
    <x v="1"/>
    <x v="1"/>
    <x v="1"/>
    <x v="0"/>
    <x v="0"/>
    <x v="0"/>
    <x v="0"/>
    <x v="247"/>
    <d v="1899-12-30T11:39:00"/>
    <d v="1899-12-30T12:11:00"/>
    <n v="32"/>
    <x v="0"/>
    <x v="0"/>
  </r>
  <r>
    <n v="949"/>
    <s v="Nathanael"/>
    <s v="Male"/>
    <d v="1990-07-08T00:00:00"/>
    <x v="3"/>
    <n v="34"/>
    <x v="1"/>
    <x v="3"/>
    <x v="37"/>
    <x v="1"/>
    <x v="1"/>
    <x v="0"/>
    <x v="1"/>
    <x v="0"/>
    <x v="0"/>
    <x v="1"/>
    <x v="1"/>
    <x v="1"/>
    <d v="1899-12-30T17:01:00"/>
    <d v="1899-12-30T18:10:00"/>
    <n v="69"/>
    <x v="1"/>
    <x v="4"/>
  </r>
  <r>
    <n v="950"/>
    <s v="Karyn"/>
    <s v="Female"/>
    <d v="2001-10-31T00:00:00"/>
    <x v="0"/>
    <n v="22"/>
    <x v="1"/>
    <x v="4"/>
    <x v="50"/>
    <x v="0"/>
    <x v="0"/>
    <x v="0"/>
    <x v="0"/>
    <x v="0"/>
    <x v="1"/>
    <x v="0"/>
    <x v="0"/>
    <x v="43"/>
    <d v="1899-12-30T15:44:00"/>
    <d v="1899-12-30T17:40:00"/>
    <n v="116"/>
    <x v="1"/>
    <x v="1"/>
  </r>
  <r>
    <n v="951"/>
    <s v="Grayce"/>
    <s v="Female"/>
    <d v="2002-11-03T00:00:00"/>
    <x v="0"/>
    <n v="21"/>
    <x v="0"/>
    <x v="4"/>
    <x v="54"/>
    <x v="1"/>
    <x v="0"/>
    <x v="0"/>
    <x v="1"/>
    <x v="0"/>
    <x v="1"/>
    <x v="0"/>
    <x v="0"/>
    <x v="248"/>
    <d v="1899-12-30T11:36:00"/>
    <d v="1899-12-30T13:43:00"/>
    <n v="127"/>
    <x v="0"/>
    <x v="0"/>
  </r>
  <r>
    <n v="952"/>
    <s v="Ricky"/>
    <s v="Male"/>
    <d v="1982-03-09T00:00:00"/>
    <x v="1"/>
    <n v="42"/>
    <x v="1"/>
    <x v="0"/>
    <x v="15"/>
    <x v="1"/>
    <x v="0"/>
    <x v="1"/>
    <x v="0"/>
    <x v="0"/>
    <x v="0"/>
    <x v="0"/>
    <x v="0"/>
    <x v="34"/>
    <d v="1899-12-30T19:21:00"/>
    <d v="1899-12-30T20:16:00"/>
    <n v="55"/>
    <x v="1"/>
    <x v="1"/>
  </r>
  <r>
    <n v="953"/>
    <s v="Jacquenetta"/>
    <s v="Female"/>
    <d v="1977-06-25T00:00:00"/>
    <x v="1"/>
    <n v="47"/>
    <x v="1"/>
    <x v="3"/>
    <x v="96"/>
    <x v="0"/>
    <x v="1"/>
    <x v="0"/>
    <x v="1"/>
    <x v="0"/>
    <x v="0"/>
    <x v="0"/>
    <x v="0"/>
    <x v="51"/>
    <d v="1899-12-30T18:47:00"/>
    <d v="1899-12-30T20:15:00"/>
    <n v="88"/>
    <x v="0"/>
    <x v="0"/>
  </r>
  <r>
    <n v="954"/>
    <s v="Ivor"/>
    <s v="Male"/>
    <d v="1979-12-10T00:00:00"/>
    <x v="1"/>
    <n v="44"/>
    <x v="0"/>
    <x v="4"/>
    <x v="28"/>
    <x v="0"/>
    <x v="1"/>
    <x v="0"/>
    <x v="0"/>
    <x v="1"/>
    <x v="1"/>
    <x v="0"/>
    <x v="0"/>
    <x v="249"/>
    <d v="1899-12-30T15:27:00"/>
    <d v="1899-12-30T17:26:00"/>
    <n v="119"/>
    <x v="1"/>
    <x v="2"/>
  </r>
  <r>
    <n v="955"/>
    <s v="Menard"/>
    <s v="Male"/>
    <d v="1986-01-23T00:00:00"/>
    <x v="3"/>
    <n v="38"/>
    <x v="1"/>
    <x v="1"/>
    <x v="20"/>
    <x v="0"/>
    <x v="0"/>
    <x v="1"/>
    <x v="1"/>
    <x v="0"/>
    <x v="1"/>
    <x v="0"/>
    <x v="0"/>
    <x v="188"/>
    <d v="1899-12-30T12:46:00"/>
    <d v="1899-12-30T13:23:00"/>
    <n v="37"/>
    <x v="1"/>
    <x v="2"/>
  </r>
  <r>
    <n v="956"/>
    <s v="Lucia"/>
    <s v="Female"/>
    <d v="2010-08-27T00:00:00"/>
    <x v="2"/>
    <n v="14"/>
    <x v="0"/>
    <x v="3"/>
    <x v="27"/>
    <x v="0"/>
    <x v="1"/>
    <x v="1"/>
    <x v="1"/>
    <x v="0"/>
    <x v="1"/>
    <x v="0"/>
    <x v="0"/>
    <x v="250"/>
    <d v="1899-12-30T14:18:00"/>
    <d v="1899-12-30T15:35:00"/>
    <n v="77"/>
    <x v="0"/>
    <x v="0"/>
  </r>
  <r>
    <n v="957"/>
    <s v="Thomasin"/>
    <s v="Female"/>
    <d v="2005-07-14T00:00:00"/>
    <x v="2"/>
    <n v="19"/>
    <x v="0"/>
    <x v="1"/>
    <x v="64"/>
    <x v="0"/>
    <x v="1"/>
    <x v="0"/>
    <x v="0"/>
    <x v="0"/>
    <x v="1"/>
    <x v="1"/>
    <x v="1"/>
    <x v="1"/>
    <d v="1899-12-30T17:43:00"/>
    <d v="1899-12-30T19:15:00"/>
    <n v="92"/>
    <x v="1"/>
    <x v="2"/>
  </r>
  <r>
    <n v="958"/>
    <s v="Doroteya"/>
    <s v="Female"/>
    <d v="2010-03-25T00:00:00"/>
    <x v="2"/>
    <n v="14"/>
    <x v="1"/>
    <x v="1"/>
    <x v="97"/>
    <x v="1"/>
    <x v="1"/>
    <x v="0"/>
    <x v="1"/>
    <x v="0"/>
    <x v="0"/>
    <x v="0"/>
    <x v="0"/>
    <x v="189"/>
    <d v="1899-12-30T13:59:00"/>
    <d v="1899-12-30T15:43:00"/>
    <n v="104"/>
    <x v="0"/>
    <x v="0"/>
  </r>
  <r>
    <n v="959"/>
    <s v="Gunilla"/>
    <s v="Female"/>
    <d v="2003-04-12T00:00:00"/>
    <x v="0"/>
    <n v="21"/>
    <x v="0"/>
    <x v="1"/>
    <x v="75"/>
    <x v="0"/>
    <x v="1"/>
    <x v="0"/>
    <x v="1"/>
    <x v="1"/>
    <x v="0"/>
    <x v="0"/>
    <x v="1"/>
    <x v="1"/>
    <d v="1899-12-30T09:22:00"/>
    <d v="1899-12-30T12:12:00"/>
    <n v="170"/>
    <x v="1"/>
    <x v="4"/>
  </r>
  <r>
    <n v="960"/>
    <s v="Brenn"/>
    <s v="Female"/>
    <d v="1993-02-23T00:00:00"/>
    <x v="3"/>
    <n v="31"/>
    <x v="1"/>
    <x v="1"/>
    <x v="64"/>
    <x v="0"/>
    <x v="1"/>
    <x v="0"/>
    <x v="0"/>
    <x v="0"/>
    <x v="1"/>
    <x v="1"/>
    <x v="1"/>
    <x v="1"/>
    <d v="1899-12-30T10:14:00"/>
    <d v="1899-12-30T11:26:00"/>
    <n v="72"/>
    <x v="1"/>
    <x v="1"/>
  </r>
  <r>
    <n v="961"/>
    <s v="Kellen"/>
    <s v="Female"/>
    <d v="1990-12-24T00:00:00"/>
    <x v="3"/>
    <n v="33"/>
    <x v="0"/>
    <x v="0"/>
    <x v="88"/>
    <x v="0"/>
    <x v="0"/>
    <x v="0"/>
    <x v="0"/>
    <x v="1"/>
    <x v="0"/>
    <x v="1"/>
    <x v="1"/>
    <x v="1"/>
    <d v="1899-12-30T10:24:00"/>
    <d v="1899-12-30T12:36:00"/>
    <n v="132"/>
    <x v="0"/>
    <x v="0"/>
  </r>
  <r>
    <n v="962"/>
    <s v="Wenona"/>
    <s v="Female"/>
    <d v="1995-12-21T00:00:00"/>
    <x v="0"/>
    <n v="28"/>
    <x v="1"/>
    <x v="1"/>
    <x v="13"/>
    <x v="1"/>
    <x v="0"/>
    <x v="1"/>
    <x v="0"/>
    <x v="0"/>
    <x v="0"/>
    <x v="1"/>
    <x v="1"/>
    <x v="1"/>
    <d v="1899-12-30T13:28:00"/>
    <d v="1899-12-30T15:12:00"/>
    <n v="104"/>
    <x v="1"/>
    <x v="3"/>
  </r>
  <r>
    <n v="963"/>
    <s v="Bone"/>
    <s v="Male"/>
    <d v="2011-03-17T00:00:00"/>
    <x v="2"/>
    <n v="13"/>
    <x v="0"/>
    <x v="3"/>
    <x v="52"/>
    <x v="0"/>
    <x v="1"/>
    <x v="1"/>
    <x v="0"/>
    <x v="1"/>
    <x v="0"/>
    <x v="1"/>
    <x v="0"/>
    <x v="19"/>
    <d v="1899-12-30T09:23:00"/>
    <d v="1899-12-30T11:01:00"/>
    <n v="98"/>
    <x v="0"/>
    <x v="0"/>
  </r>
  <r>
    <n v="964"/>
    <s v="Domenico"/>
    <s v="Male"/>
    <d v="1981-04-27T00:00:00"/>
    <x v="1"/>
    <n v="43"/>
    <x v="1"/>
    <x v="1"/>
    <x v="78"/>
    <x v="1"/>
    <x v="1"/>
    <x v="1"/>
    <x v="0"/>
    <x v="0"/>
    <x v="0"/>
    <x v="0"/>
    <x v="1"/>
    <x v="1"/>
    <d v="1899-12-30T18:37:00"/>
    <d v="1899-12-30T20:24:00"/>
    <n v="107"/>
    <x v="1"/>
    <x v="2"/>
  </r>
  <r>
    <n v="965"/>
    <s v="Francesco"/>
    <s v="Male"/>
    <d v="2009-11-01T00:00:00"/>
    <x v="2"/>
    <n v="14"/>
    <x v="1"/>
    <x v="2"/>
    <x v="9"/>
    <x v="0"/>
    <x v="0"/>
    <x v="1"/>
    <x v="1"/>
    <x v="0"/>
    <x v="0"/>
    <x v="1"/>
    <x v="0"/>
    <x v="251"/>
    <d v="1899-12-30T11:56:00"/>
    <d v="1899-12-30T12:34:00"/>
    <n v="38"/>
    <x v="0"/>
    <x v="0"/>
  </r>
  <r>
    <n v="966"/>
    <s v="Aldous"/>
    <s v="Male"/>
    <d v="1988-02-23T00:00:00"/>
    <x v="3"/>
    <n v="36"/>
    <x v="0"/>
    <x v="3"/>
    <x v="73"/>
    <x v="1"/>
    <x v="1"/>
    <x v="1"/>
    <x v="1"/>
    <x v="1"/>
    <x v="0"/>
    <x v="1"/>
    <x v="1"/>
    <x v="1"/>
    <d v="1899-12-30T16:49:00"/>
    <d v="1899-12-30T17:38:00"/>
    <n v="49"/>
    <x v="1"/>
    <x v="4"/>
  </r>
  <r>
    <n v="967"/>
    <s v="Jacynth"/>
    <s v="Female"/>
    <d v="1998-03-25T00:00:00"/>
    <x v="0"/>
    <n v="26"/>
    <x v="1"/>
    <x v="2"/>
    <x v="2"/>
    <x v="1"/>
    <x v="1"/>
    <x v="1"/>
    <x v="1"/>
    <x v="0"/>
    <x v="0"/>
    <x v="1"/>
    <x v="0"/>
    <x v="19"/>
    <d v="1899-12-30T11:42:00"/>
    <d v="1899-12-30T12:52:00"/>
    <n v="70"/>
    <x v="1"/>
    <x v="3"/>
  </r>
  <r>
    <n v="968"/>
    <s v="Emalee"/>
    <s v="Female"/>
    <d v="2011-05-25T00:00:00"/>
    <x v="2"/>
    <n v="13"/>
    <x v="1"/>
    <x v="1"/>
    <x v="61"/>
    <x v="0"/>
    <x v="0"/>
    <x v="0"/>
    <x v="1"/>
    <x v="0"/>
    <x v="1"/>
    <x v="1"/>
    <x v="1"/>
    <x v="1"/>
    <d v="1899-12-30T13:36:00"/>
    <d v="1899-12-30T14:19:00"/>
    <n v="43"/>
    <x v="1"/>
    <x v="2"/>
  </r>
  <r>
    <n v="969"/>
    <s v="Nikolai"/>
    <s v="Male"/>
    <d v="1998-11-12T00:00:00"/>
    <x v="0"/>
    <n v="25"/>
    <x v="1"/>
    <x v="2"/>
    <x v="14"/>
    <x v="0"/>
    <x v="1"/>
    <x v="1"/>
    <x v="1"/>
    <x v="0"/>
    <x v="0"/>
    <x v="0"/>
    <x v="1"/>
    <x v="1"/>
    <d v="1899-12-30T15:33:00"/>
    <d v="1899-12-30T16:32:00"/>
    <n v="59"/>
    <x v="1"/>
    <x v="2"/>
  </r>
  <r>
    <n v="970"/>
    <s v="Beale"/>
    <s v="Male"/>
    <d v="1978-05-19T00:00:00"/>
    <x v="1"/>
    <n v="46"/>
    <x v="0"/>
    <x v="3"/>
    <x v="17"/>
    <x v="0"/>
    <x v="1"/>
    <x v="1"/>
    <x v="0"/>
    <x v="0"/>
    <x v="0"/>
    <x v="0"/>
    <x v="1"/>
    <x v="1"/>
    <d v="1899-12-30T08:22:00"/>
    <d v="1899-12-30T11:16:00"/>
    <n v="174"/>
    <x v="1"/>
    <x v="2"/>
  </r>
  <r>
    <n v="971"/>
    <s v="Emma"/>
    <s v="Female"/>
    <d v="2002-01-24T00:00:00"/>
    <x v="0"/>
    <n v="22"/>
    <x v="0"/>
    <x v="1"/>
    <x v="97"/>
    <x v="1"/>
    <x v="1"/>
    <x v="0"/>
    <x v="1"/>
    <x v="0"/>
    <x v="0"/>
    <x v="0"/>
    <x v="0"/>
    <x v="252"/>
    <d v="1899-12-30T16:37:00"/>
    <d v="1899-12-30T18:29:00"/>
    <n v="112"/>
    <x v="0"/>
    <x v="0"/>
  </r>
  <r>
    <n v="972"/>
    <s v="Kit"/>
    <s v="Male"/>
    <d v="1993-11-21T00:00:00"/>
    <x v="0"/>
    <n v="30"/>
    <x v="0"/>
    <x v="1"/>
    <x v="3"/>
    <x v="0"/>
    <x v="1"/>
    <x v="0"/>
    <x v="1"/>
    <x v="0"/>
    <x v="1"/>
    <x v="0"/>
    <x v="0"/>
    <x v="253"/>
    <d v="1899-12-30T14:44:00"/>
    <d v="1899-12-30T17:10:00"/>
    <n v="146"/>
    <x v="1"/>
    <x v="4"/>
  </r>
  <r>
    <n v="973"/>
    <s v="Nikos"/>
    <s v="Male"/>
    <d v="1991-03-18T00:00:00"/>
    <x v="3"/>
    <n v="33"/>
    <x v="1"/>
    <x v="2"/>
    <x v="21"/>
    <x v="0"/>
    <x v="1"/>
    <x v="1"/>
    <x v="1"/>
    <x v="0"/>
    <x v="1"/>
    <x v="1"/>
    <x v="0"/>
    <x v="103"/>
    <d v="1899-12-30T16:41:00"/>
    <d v="1899-12-30T17:47:00"/>
    <n v="66"/>
    <x v="0"/>
    <x v="0"/>
  </r>
  <r>
    <n v="974"/>
    <s v="Samaria"/>
    <s v="Female"/>
    <d v="1995-11-13T00:00:00"/>
    <x v="0"/>
    <n v="28"/>
    <x v="0"/>
    <x v="0"/>
    <x v="115"/>
    <x v="1"/>
    <x v="1"/>
    <x v="0"/>
    <x v="0"/>
    <x v="0"/>
    <x v="1"/>
    <x v="1"/>
    <x v="0"/>
    <x v="16"/>
    <d v="1899-12-30T11:10:00"/>
    <d v="1899-12-30T12:09:00"/>
    <n v="59"/>
    <x v="1"/>
    <x v="2"/>
  </r>
  <r>
    <n v="975"/>
    <s v="Clemmy"/>
    <s v="Male"/>
    <d v="1976-10-08T00:00:00"/>
    <x v="1"/>
    <n v="47"/>
    <x v="1"/>
    <x v="1"/>
    <x v="77"/>
    <x v="0"/>
    <x v="1"/>
    <x v="1"/>
    <x v="0"/>
    <x v="0"/>
    <x v="1"/>
    <x v="0"/>
    <x v="1"/>
    <x v="1"/>
    <d v="1899-12-30T11:07:00"/>
    <d v="1899-12-30T12:16:00"/>
    <n v="69"/>
    <x v="1"/>
    <x v="4"/>
  </r>
  <r>
    <n v="976"/>
    <s v="Veda"/>
    <s v="Female"/>
    <d v="2008-10-13T00:00:00"/>
    <x v="2"/>
    <n v="15"/>
    <x v="0"/>
    <x v="4"/>
    <x v="85"/>
    <x v="1"/>
    <x v="0"/>
    <x v="1"/>
    <x v="0"/>
    <x v="1"/>
    <x v="1"/>
    <x v="1"/>
    <x v="1"/>
    <x v="1"/>
    <d v="1899-12-30T16:39:00"/>
    <d v="1899-12-30T17:42:00"/>
    <n v="63"/>
    <x v="0"/>
    <x v="0"/>
  </r>
  <r>
    <n v="977"/>
    <s v="Zacherie"/>
    <s v="Male"/>
    <d v="1988-11-28T00:00:00"/>
    <x v="3"/>
    <n v="35"/>
    <x v="1"/>
    <x v="1"/>
    <x v="59"/>
    <x v="1"/>
    <x v="0"/>
    <x v="0"/>
    <x v="1"/>
    <x v="0"/>
    <x v="0"/>
    <x v="1"/>
    <x v="0"/>
    <x v="6"/>
    <d v="1899-12-30T10:36:00"/>
    <d v="1899-12-30T12:50:00"/>
    <n v="134"/>
    <x v="1"/>
    <x v="2"/>
  </r>
  <r>
    <n v="978"/>
    <s v="Tremaine"/>
    <s v="Male"/>
    <d v="2000-10-06T00:00:00"/>
    <x v="0"/>
    <n v="23"/>
    <x v="1"/>
    <x v="1"/>
    <x v="42"/>
    <x v="0"/>
    <x v="0"/>
    <x v="1"/>
    <x v="0"/>
    <x v="0"/>
    <x v="0"/>
    <x v="0"/>
    <x v="1"/>
    <x v="1"/>
    <d v="1899-12-30T19:00:00"/>
    <d v="1899-12-30T19:40:00"/>
    <n v="40"/>
    <x v="0"/>
    <x v="0"/>
  </r>
  <r>
    <n v="979"/>
    <s v="Adair"/>
    <s v="Male"/>
    <d v="2008-05-02T00:00:00"/>
    <x v="2"/>
    <n v="16"/>
    <x v="0"/>
    <x v="1"/>
    <x v="13"/>
    <x v="1"/>
    <x v="0"/>
    <x v="1"/>
    <x v="0"/>
    <x v="0"/>
    <x v="0"/>
    <x v="1"/>
    <x v="0"/>
    <x v="160"/>
    <d v="1899-12-30T13:30:00"/>
    <d v="1899-12-30T14:54:00"/>
    <n v="84"/>
    <x v="0"/>
    <x v="0"/>
  </r>
  <r>
    <n v="980"/>
    <s v="Quillan"/>
    <s v="Male"/>
    <d v="1992-05-18T00:00:00"/>
    <x v="3"/>
    <n v="32"/>
    <x v="1"/>
    <x v="1"/>
    <x v="97"/>
    <x v="1"/>
    <x v="1"/>
    <x v="0"/>
    <x v="1"/>
    <x v="0"/>
    <x v="0"/>
    <x v="0"/>
    <x v="0"/>
    <x v="0"/>
    <d v="1899-12-30T17:47:00"/>
    <d v="1899-12-30T19:18:00"/>
    <n v="91"/>
    <x v="0"/>
    <x v="0"/>
  </r>
  <r>
    <n v="981"/>
    <s v="Georgie"/>
    <s v="Female"/>
    <d v="1992-01-22T00:00:00"/>
    <x v="3"/>
    <n v="32"/>
    <x v="1"/>
    <x v="1"/>
    <x v="29"/>
    <x v="1"/>
    <x v="0"/>
    <x v="1"/>
    <x v="1"/>
    <x v="1"/>
    <x v="0"/>
    <x v="1"/>
    <x v="0"/>
    <x v="254"/>
    <d v="1899-12-30T14:52:00"/>
    <d v="1899-12-30T16:17:00"/>
    <n v="85"/>
    <x v="0"/>
    <x v="0"/>
  </r>
  <r>
    <n v="982"/>
    <s v="Agna"/>
    <s v="Female"/>
    <d v="2003-08-21T00:00:00"/>
    <x v="0"/>
    <n v="21"/>
    <x v="1"/>
    <x v="3"/>
    <x v="66"/>
    <x v="0"/>
    <x v="0"/>
    <x v="1"/>
    <x v="1"/>
    <x v="1"/>
    <x v="0"/>
    <x v="1"/>
    <x v="0"/>
    <x v="16"/>
    <d v="1899-12-30T19:59:00"/>
    <d v="1899-12-30T20:45:00"/>
    <n v="46"/>
    <x v="1"/>
    <x v="2"/>
  </r>
  <r>
    <n v="983"/>
    <s v="Benyamin"/>
    <s v="Male"/>
    <d v="1988-03-02T00:00:00"/>
    <x v="3"/>
    <n v="36"/>
    <x v="0"/>
    <x v="0"/>
    <x v="114"/>
    <x v="0"/>
    <x v="0"/>
    <x v="0"/>
    <x v="1"/>
    <x v="1"/>
    <x v="0"/>
    <x v="0"/>
    <x v="0"/>
    <x v="255"/>
    <d v="1899-12-30T19:22:00"/>
    <d v="1899-12-30T21:08:00"/>
    <n v="106"/>
    <x v="1"/>
    <x v="2"/>
  </r>
  <r>
    <n v="984"/>
    <s v="Jamal"/>
    <s v="Male"/>
    <d v="1987-10-03T00:00:00"/>
    <x v="3"/>
    <n v="37"/>
    <x v="1"/>
    <x v="2"/>
    <x v="14"/>
    <x v="0"/>
    <x v="1"/>
    <x v="1"/>
    <x v="1"/>
    <x v="0"/>
    <x v="0"/>
    <x v="0"/>
    <x v="0"/>
    <x v="256"/>
    <d v="1899-12-30T16:04:00"/>
    <d v="1899-12-30T16:55:00"/>
    <n v="51"/>
    <x v="1"/>
    <x v="2"/>
  </r>
  <r>
    <n v="985"/>
    <s v="Josie"/>
    <s v="Female"/>
    <d v="1975-10-12T00:00:00"/>
    <x v="1"/>
    <n v="48"/>
    <x v="0"/>
    <x v="2"/>
    <x v="9"/>
    <x v="0"/>
    <x v="0"/>
    <x v="1"/>
    <x v="1"/>
    <x v="0"/>
    <x v="0"/>
    <x v="1"/>
    <x v="0"/>
    <x v="257"/>
    <d v="1899-12-30T15:17:00"/>
    <d v="1899-12-30T15:47:00"/>
    <n v="30"/>
    <x v="0"/>
    <x v="0"/>
  </r>
  <r>
    <n v="986"/>
    <s v="Jules"/>
    <s v="Male"/>
    <d v="1981-12-16T00:00:00"/>
    <x v="1"/>
    <n v="42"/>
    <x v="1"/>
    <x v="2"/>
    <x v="21"/>
    <x v="0"/>
    <x v="1"/>
    <x v="1"/>
    <x v="1"/>
    <x v="0"/>
    <x v="1"/>
    <x v="1"/>
    <x v="0"/>
    <x v="45"/>
    <d v="1899-12-30T14:05:00"/>
    <d v="1899-12-30T16:00:00"/>
    <n v="115"/>
    <x v="1"/>
    <x v="4"/>
  </r>
  <r>
    <n v="987"/>
    <s v="Hadria"/>
    <s v="Female"/>
    <d v="1979-03-14T00:00:00"/>
    <x v="1"/>
    <n v="45"/>
    <x v="0"/>
    <x v="4"/>
    <x v="71"/>
    <x v="1"/>
    <x v="0"/>
    <x v="0"/>
    <x v="0"/>
    <x v="1"/>
    <x v="0"/>
    <x v="1"/>
    <x v="1"/>
    <x v="1"/>
    <d v="1899-12-30T19:04:00"/>
    <d v="1899-12-30T21:32:00"/>
    <n v="148"/>
    <x v="1"/>
    <x v="1"/>
  </r>
  <r>
    <n v="988"/>
    <s v="Rad"/>
    <s v="Male"/>
    <d v="1977-07-29T00:00:00"/>
    <x v="1"/>
    <n v="47"/>
    <x v="0"/>
    <x v="1"/>
    <x v="19"/>
    <x v="1"/>
    <x v="0"/>
    <x v="1"/>
    <x v="1"/>
    <x v="0"/>
    <x v="1"/>
    <x v="1"/>
    <x v="1"/>
    <x v="1"/>
    <d v="1899-12-30T10:48:00"/>
    <d v="1899-12-30T12:17:00"/>
    <n v="89"/>
    <x v="0"/>
    <x v="0"/>
  </r>
  <r>
    <n v="989"/>
    <s v="Magdalen"/>
    <s v="Female"/>
    <d v="1990-01-29T00:00:00"/>
    <x v="3"/>
    <n v="34"/>
    <x v="1"/>
    <x v="2"/>
    <x v="51"/>
    <x v="0"/>
    <x v="1"/>
    <x v="1"/>
    <x v="0"/>
    <x v="0"/>
    <x v="0"/>
    <x v="1"/>
    <x v="0"/>
    <x v="258"/>
    <d v="1899-12-30T09:14:00"/>
    <d v="1899-12-30T10:38:00"/>
    <n v="84"/>
    <x v="1"/>
    <x v="1"/>
  </r>
  <r>
    <n v="990"/>
    <s v="Clywd"/>
    <s v="Male"/>
    <d v="1997-10-07T00:00:00"/>
    <x v="0"/>
    <n v="26"/>
    <x v="0"/>
    <x v="1"/>
    <x v="45"/>
    <x v="0"/>
    <x v="1"/>
    <x v="1"/>
    <x v="1"/>
    <x v="1"/>
    <x v="1"/>
    <x v="0"/>
    <x v="1"/>
    <x v="1"/>
    <d v="1899-12-30T11:50:00"/>
    <d v="1899-12-30T13:57:00"/>
    <n v="127"/>
    <x v="0"/>
    <x v="0"/>
  </r>
  <r>
    <n v="991"/>
    <s v="Oliy"/>
    <s v="Female"/>
    <d v="1981-04-01T00:00:00"/>
    <x v="1"/>
    <n v="43"/>
    <x v="1"/>
    <x v="1"/>
    <x v="8"/>
    <x v="0"/>
    <x v="0"/>
    <x v="0"/>
    <x v="0"/>
    <x v="0"/>
    <x v="0"/>
    <x v="1"/>
    <x v="1"/>
    <x v="1"/>
    <d v="1899-12-30T08:22:00"/>
    <d v="1899-12-30T09:09:00"/>
    <n v="47"/>
    <x v="1"/>
    <x v="1"/>
  </r>
  <r>
    <n v="992"/>
    <s v="Isidor"/>
    <s v="Male"/>
    <d v="1991-08-12T00:00:00"/>
    <x v="3"/>
    <n v="33"/>
    <x v="0"/>
    <x v="1"/>
    <x v="78"/>
    <x v="1"/>
    <x v="1"/>
    <x v="1"/>
    <x v="0"/>
    <x v="0"/>
    <x v="0"/>
    <x v="0"/>
    <x v="0"/>
    <x v="126"/>
    <d v="1899-12-30T10:24:00"/>
    <d v="1899-12-30T12:05:00"/>
    <n v="101"/>
    <x v="1"/>
    <x v="1"/>
  </r>
  <r>
    <n v="993"/>
    <s v="Melantha"/>
    <s v="Female"/>
    <d v="1985-10-02T00:00:00"/>
    <x v="3"/>
    <n v="39"/>
    <x v="1"/>
    <x v="4"/>
    <x v="109"/>
    <x v="1"/>
    <x v="0"/>
    <x v="0"/>
    <x v="1"/>
    <x v="1"/>
    <x v="0"/>
    <x v="0"/>
    <x v="0"/>
    <x v="43"/>
    <d v="1899-12-30T09:42:00"/>
    <d v="1899-12-30T11:43:00"/>
    <n v="121"/>
    <x v="1"/>
    <x v="1"/>
  </r>
  <r>
    <n v="994"/>
    <s v="Averill"/>
    <s v="Male"/>
    <d v="2007-01-29T00:00:00"/>
    <x v="2"/>
    <n v="17"/>
    <x v="1"/>
    <x v="0"/>
    <x v="101"/>
    <x v="1"/>
    <x v="1"/>
    <x v="1"/>
    <x v="0"/>
    <x v="1"/>
    <x v="0"/>
    <x v="0"/>
    <x v="0"/>
    <x v="135"/>
    <d v="1899-12-30T19:50:00"/>
    <d v="1899-12-30T22:02:00"/>
    <n v="132"/>
    <x v="1"/>
    <x v="4"/>
  </r>
  <r>
    <n v="995"/>
    <s v="Cora"/>
    <s v="Female"/>
    <d v="1988-03-23T00:00:00"/>
    <x v="3"/>
    <n v="36"/>
    <x v="1"/>
    <x v="3"/>
    <x v="27"/>
    <x v="0"/>
    <x v="1"/>
    <x v="1"/>
    <x v="1"/>
    <x v="0"/>
    <x v="1"/>
    <x v="0"/>
    <x v="1"/>
    <x v="1"/>
    <d v="1899-12-30T10:16:00"/>
    <d v="1899-12-30T10:50:00"/>
    <n v="34"/>
    <x v="0"/>
    <x v="0"/>
  </r>
  <r>
    <n v="996"/>
    <s v="Karlen"/>
    <s v="Female"/>
    <d v="1984-09-22T00:00:00"/>
    <x v="3"/>
    <n v="40"/>
    <x v="1"/>
    <x v="1"/>
    <x v="13"/>
    <x v="1"/>
    <x v="0"/>
    <x v="1"/>
    <x v="0"/>
    <x v="0"/>
    <x v="0"/>
    <x v="1"/>
    <x v="1"/>
    <x v="1"/>
    <d v="1899-12-30T20:56:00"/>
    <d v="1899-12-30T23:32:00"/>
    <n v="156"/>
    <x v="0"/>
    <x v="0"/>
  </r>
  <r>
    <n v="997"/>
    <s v="Elaina"/>
    <s v="Female"/>
    <d v="2008-11-19T00:00:00"/>
    <x v="2"/>
    <n v="15"/>
    <x v="1"/>
    <x v="1"/>
    <x v="46"/>
    <x v="0"/>
    <x v="1"/>
    <x v="0"/>
    <x v="1"/>
    <x v="1"/>
    <x v="1"/>
    <x v="1"/>
    <x v="0"/>
    <x v="37"/>
    <d v="1899-12-30T09:14:00"/>
    <d v="1899-12-30T09:53:00"/>
    <n v="39"/>
    <x v="0"/>
    <x v="0"/>
  </r>
  <r>
    <n v="998"/>
    <s v="Humfried"/>
    <s v="Male"/>
    <d v="1984-10-05T00:00:00"/>
    <x v="3"/>
    <n v="39"/>
    <x v="1"/>
    <x v="3"/>
    <x v="57"/>
    <x v="0"/>
    <x v="0"/>
    <x v="1"/>
    <x v="1"/>
    <x v="0"/>
    <x v="1"/>
    <x v="1"/>
    <x v="1"/>
    <x v="1"/>
    <d v="1899-12-30T17:21:00"/>
    <d v="1899-12-30T19:04:00"/>
    <n v="103"/>
    <x v="1"/>
    <x v="3"/>
  </r>
  <r>
    <n v="999"/>
    <s v="Brigg"/>
    <s v="Male"/>
    <d v="2001-02-22T00:00:00"/>
    <x v="0"/>
    <n v="23"/>
    <x v="1"/>
    <x v="0"/>
    <x v="79"/>
    <x v="0"/>
    <x v="0"/>
    <x v="0"/>
    <x v="1"/>
    <x v="0"/>
    <x v="1"/>
    <x v="0"/>
    <x v="0"/>
    <x v="231"/>
    <d v="1899-12-30T10:23:00"/>
    <d v="1899-12-30T13:15:00"/>
    <n v="172"/>
    <x v="1"/>
    <x v="3"/>
  </r>
  <r>
    <n v="1000"/>
    <s v="Norrie"/>
    <s v="Female"/>
    <d v="2006-05-07T00:00:00"/>
    <x v="2"/>
    <n v="18"/>
    <x v="0"/>
    <x v="3"/>
    <x v="37"/>
    <x v="1"/>
    <x v="1"/>
    <x v="0"/>
    <x v="1"/>
    <x v="0"/>
    <x v="0"/>
    <x v="1"/>
    <x v="1"/>
    <x v="1"/>
    <d v="1899-12-30T16:41:00"/>
    <d v="1899-12-30T19:13:00"/>
    <n v="152"/>
    <x v="0"/>
    <x v="0"/>
  </r>
  <r>
    <m/>
    <m/>
    <m/>
    <m/>
    <x v="4"/>
    <m/>
    <x v="2"/>
    <x v="5"/>
    <x v="117"/>
    <x v="2"/>
    <x v="2"/>
    <x v="2"/>
    <x v="2"/>
    <x v="2"/>
    <x v="2"/>
    <x v="2"/>
    <x v="2"/>
    <x v="1"/>
    <m/>
    <m/>
    <m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0" cacheId="1" dataOnRows="1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 chartFormat="4">
  <location ref="A76:B83" firstHeaderRow="1" firstDataRow="1" firstDataCol="1"/>
  <pivotFields count="23">
    <pivotField showAll="0"/>
    <pivotField showAll="0"/>
    <pivotField showAll="0"/>
    <pivotField showAll="0"/>
    <pivotField showAll="0">
      <items count="6">
        <item x="0"/>
        <item x="3"/>
        <item x="1"/>
        <item x="2"/>
        <item h="1" x="4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7">
        <item x="2"/>
        <item h="1" x="3"/>
        <item h="1" x="1"/>
        <item h="1" x="0"/>
        <item h="1" x="4"/>
        <item h="1" x="5"/>
        <item t="default"/>
      </items>
    </pivotField>
    <pivotField showAll="0">
      <items count="119">
        <item h="1" x="2"/>
        <item h="1" x="9"/>
        <item h="1" x="5"/>
        <item h="1" x="51"/>
        <item x="10"/>
        <item h="1" x="21"/>
        <item h="1" x="14"/>
        <item h="1" x="57"/>
        <item h="1" x="20"/>
        <item h="1" x="86"/>
        <item h="1" x="49"/>
        <item h="1" x="54"/>
        <item h="1" x="25"/>
        <item h="1" x="95"/>
        <item h="1" x="80"/>
        <item h="1" x="23"/>
        <item h="1" x="79"/>
        <item h="1" x="50"/>
        <item h="1" x="107"/>
        <item h="1" x="19"/>
        <item h="1" x="87"/>
        <item h="1" x="70"/>
        <item h="1" x="85"/>
        <item h="1" x="106"/>
        <item h="1" x="30"/>
        <item h="1" x="40"/>
        <item h="1" x="26"/>
        <item h="1" x="34"/>
        <item h="1" x="81"/>
        <item h="1" x="98"/>
        <item h="1" x="61"/>
        <item h="1" x="58"/>
        <item h="1" x="24"/>
        <item h="1" x="27"/>
        <item h="1" x="1"/>
        <item h="1" x="112"/>
        <item h="1" x="84"/>
        <item h="1" x="99"/>
        <item h="1" x="110"/>
        <item h="1" x="108"/>
        <item h="1" x="45"/>
        <item h="1" x="74"/>
        <item h="1" x="28"/>
        <item h="1" x="105"/>
        <item h="1" x="3"/>
        <item h="1" x="103"/>
        <item h="1" x="77"/>
        <item h="1" x="56"/>
        <item h="1" x="67"/>
        <item h="1" x="113"/>
        <item h="1" x="35"/>
        <item h="1" x="92"/>
        <item h="1" x="63"/>
        <item h="1" x="115"/>
        <item h="1" x="38"/>
        <item h="1" x="91"/>
        <item h="1" x="46"/>
        <item h="1" x="102"/>
        <item h="1" x="41"/>
        <item h="1" x="39"/>
        <item h="1" x="64"/>
        <item h="1" x="33"/>
        <item h="1" x="31"/>
        <item h="1" x="6"/>
        <item h="1" x="109"/>
        <item h="1" x="69"/>
        <item h="1" x="116"/>
        <item h="1" x="90"/>
        <item h="1" x="15"/>
        <item h="1" x="44"/>
        <item h="1" x="114"/>
        <item h="1" x="89"/>
        <item h="1" x="60"/>
        <item h="1" x="11"/>
        <item h="1" x="0"/>
        <item h="1" x="42"/>
        <item h="1" x="55"/>
        <item h="1" x="29"/>
        <item h="1" x="83"/>
        <item h="1" x="71"/>
        <item h="1" x="111"/>
        <item h="1" x="59"/>
        <item h="1" x="93"/>
        <item h="1" x="13"/>
        <item h="1" x="66"/>
        <item h="1" x="22"/>
        <item h="1" x="88"/>
        <item h="1" x="36"/>
        <item h="1" x="53"/>
        <item h="1" x="8"/>
        <item h="1" x="47"/>
        <item h="1" x="7"/>
        <item h="1" x="72"/>
        <item h="1" x="104"/>
        <item h="1" x="43"/>
        <item h="1" x="101"/>
        <item h="1" x="97"/>
        <item h="1" x="48"/>
        <item h="1" x="78"/>
        <item h="1" x="18"/>
        <item h="1" x="75"/>
        <item h="1" x="100"/>
        <item h="1" x="32"/>
        <item h="1" x="96"/>
        <item h="1" x="94"/>
        <item h="1" x="17"/>
        <item h="1" x="73"/>
        <item h="1" x="76"/>
        <item h="1" x="82"/>
        <item h="1" x="16"/>
        <item h="1" x="37"/>
        <item h="1" x="65"/>
        <item h="1" x="12"/>
        <item h="1" x="4"/>
        <item h="1" x="62"/>
        <item h="1" x="52"/>
        <item h="1" x="68"/>
        <item h="1" x="117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4">
        <item x="1"/>
        <item x="0"/>
        <item x="2"/>
        <item t="default"/>
      </items>
    </pivotField>
    <pivotField dataField="1" showAll="0">
      <items count="4">
        <item x="1"/>
        <item x="0"/>
        <item x="2"/>
        <item t="default"/>
      </items>
    </pivotField>
    <pivotField dataField="1" showAll="0">
      <items count="4">
        <item x="1"/>
        <item x="0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4">
        <item x="1"/>
        <item x="0"/>
        <item h="1"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Sum of Sun" fld="9" baseField="9" baseItem="0"/>
    <dataField name="Sum of Mon" fld="10" baseField="9" baseItem="0"/>
    <dataField name="Sum of Tue" fld="11" baseField="9" baseItem="0"/>
    <dataField name="Sum of Wed" fld="12" baseField="9" baseItem="0"/>
    <dataField name="Sum of Thu" fld="13" baseField="9" baseItem="0"/>
    <dataField name="Sum of Fri" fld="14" baseField="0" baseItem="0"/>
    <dataField name="Sum of Sat" fld="15" baseField="9" baseItem="0"/>
  </dataFields>
  <formats count="3">
    <format dxfId="0">
      <pivotArea field="-2" type="button" dataOnly="0" labelOnly="1" outline="0" fieldPosition="0"/>
    </format>
    <format dxfId="1">
      <pivotArea type="all" dataOnly="0" outline="0" fieldPosition="0"/>
    </format>
    <format dxfId="2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6:B31" firstHeaderRow="1" firstDataRow="1" firstDataCol="1"/>
  <pivotFields count="23">
    <pivotField compact="0" showAll="0"/>
    <pivotField compact="0" showAll="0"/>
    <pivotField compact="0" showAll="0"/>
    <pivotField compact="0" showAll="0"/>
    <pivotField axis="axisRow" compact="0" multipleItemSelectionAllowed="1" showAll="0">
      <items count="6">
        <item x="0"/>
        <item x="3"/>
        <item x="1"/>
        <item x="2"/>
        <item h="1" x="4"/>
        <item t="default"/>
      </items>
    </pivotField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7">
        <item x="2"/>
        <item x="3"/>
        <item x="1"/>
        <item x="0"/>
        <item x="4"/>
        <item x="5"/>
        <item t="default"/>
      </items>
    </pivotField>
    <pivotField compact="0" showAll="0">
      <items count="119">
        <item h="1" x="2"/>
        <item h="1" x="9"/>
        <item h="1" x="5"/>
        <item h="1" x="51"/>
        <item x="10"/>
        <item h="1" x="21"/>
        <item h="1" x="14"/>
        <item h="1" x="57"/>
        <item h="1" x="20"/>
        <item h="1" x="86"/>
        <item h="1" x="49"/>
        <item h="1" x="54"/>
        <item h="1" x="25"/>
        <item h="1" x="95"/>
        <item h="1" x="80"/>
        <item h="1" x="23"/>
        <item h="1" x="79"/>
        <item h="1" x="50"/>
        <item h="1" x="107"/>
        <item h="1" x="19"/>
        <item h="1" x="87"/>
        <item h="1" x="70"/>
        <item h="1" x="85"/>
        <item h="1" x="106"/>
        <item h="1" x="30"/>
        <item h="1" x="40"/>
        <item h="1" x="26"/>
        <item h="1" x="34"/>
        <item h="1" x="81"/>
        <item h="1" x="98"/>
        <item h="1" x="61"/>
        <item h="1" x="58"/>
        <item h="1" x="24"/>
        <item h="1" x="27"/>
        <item h="1" x="1"/>
        <item h="1" x="112"/>
        <item h="1" x="84"/>
        <item h="1" x="99"/>
        <item h="1" x="110"/>
        <item h="1" x="108"/>
        <item h="1" x="45"/>
        <item h="1" x="74"/>
        <item h="1" x="28"/>
        <item h="1" x="105"/>
        <item h="1" x="3"/>
        <item h="1" x="103"/>
        <item h="1" x="77"/>
        <item h="1" x="56"/>
        <item h="1" x="67"/>
        <item h="1" x="113"/>
        <item h="1" x="35"/>
        <item h="1" x="92"/>
        <item h="1" x="63"/>
        <item h="1" x="115"/>
        <item h="1" x="38"/>
        <item h="1" x="91"/>
        <item h="1" x="46"/>
        <item h="1" x="102"/>
        <item h="1" x="41"/>
        <item h="1" x="39"/>
        <item h="1" x="64"/>
        <item h="1" x="33"/>
        <item h="1" x="31"/>
        <item h="1" x="6"/>
        <item h="1" x="109"/>
        <item h="1" x="69"/>
        <item h="1" x="116"/>
        <item h="1" x="90"/>
        <item h="1" x="15"/>
        <item h="1" x="44"/>
        <item h="1" x="114"/>
        <item h="1" x="89"/>
        <item h="1" x="60"/>
        <item h="1" x="11"/>
        <item h="1" x="0"/>
        <item h="1" x="42"/>
        <item h="1" x="55"/>
        <item h="1" x="29"/>
        <item h="1" x="83"/>
        <item h="1" x="71"/>
        <item h="1" x="111"/>
        <item h="1" x="59"/>
        <item h="1" x="93"/>
        <item h="1" x="13"/>
        <item h="1" x="66"/>
        <item h="1" x="22"/>
        <item h="1" x="88"/>
        <item h="1" x="36"/>
        <item h="1" x="53"/>
        <item h="1" x="8"/>
        <item h="1" x="47"/>
        <item h="1" x="7"/>
        <item h="1" x="72"/>
        <item h="1" x="104"/>
        <item h="1" x="43"/>
        <item h="1" x="101"/>
        <item h="1" x="97"/>
        <item h="1" x="48"/>
        <item h="1" x="78"/>
        <item h="1" x="18"/>
        <item h="1" x="75"/>
        <item h="1" x="100"/>
        <item h="1" x="32"/>
        <item h="1" x="96"/>
        <item h="1" x="94"/>
        <item h="1" x="17"/>
        <item h="1" x="73"/>
        <item h="1" x="76"/>
        <item h="1" x="82"/>
        <item h="1" x="16"/>
        <item h="1" x="37"/>
        <item h="1" x="65"/>
        <item h="1" x="12"/>
        <item h="1" x="4"/>
        <item h="1" x="62"/>
        <item h="1" x="52"/>
        <item h="1" x="68"/>
        <item h="1" x="117"/>
        <item t="default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1"/>
        <item x="0"/>
        <item x="2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showAll="0"/>
    <pivotField compact="0" showAll="0"/>
    <pivotField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ge" fld="5" subtotal="count" baseField="0" baseItem="0"/>
  </dataFields>
  <formats count="1">
    <format dxfId="3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6" firstHeaderRow="1" firstDataRow="1" firstDataCol="1"/>
  <pivotFields count="23">
    <pivotField compact="0" showAll="0"/>
    <pivotField compact="0" showAll="0"/>
    <pivotField compact="0" showAll="0">
      <items count="4">
        <item x="0"/>
        <item x="1"/>
        <item m="1" x="2"/>
        <item t="default"/>
      </items>
    </pivotField>
    <pivotField compact="0" showAll="0"/>
    <pivotField compact="0" defaultSubtotal="0" showAll="0"/>
    <pivotField compact="0" showAll="0"/>
    <pivotField axis="axisRow" dataField="1" compact="0" multipleItemSelectionAllowed="1" showAll="0">
      <items count="4">
        <item x="0"/>
        <item x="1"/>
        <item m="1" x="2"/>
        <item t="default"/>
      </items>
    </pivotField>
    <pivotField compact="0" showAll="0"/>
    <pivotField compact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abonoment_type" fld="6" subtotal="count" baseField="0" baseItem="0"/>
  </dataFields>
  <formats count="3">
    <format dxfId="4">
      <pivotArea type="all" dataOnly="0" outline="0" fieldPosition="0"/>
    </format>
    <format dxfId="5">
      <pivotArea type="all" dataOnly="0" outline="0" fieldPosition="0"/>
    </format>
    <format dxfId="6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4:B37" firstHeaderRow="1" firstDataRow="1" firstDataCol="1"/>
  <pivotFields count="23">
    <pivotField compact="0" showAll="0"/>
    <pivotField compact="0" showAll="0"/>
    <pivotField compact="0" showAll="0"/>
    <pivotField compact="0" showAll="0"/>
    <pivotField compact="0" showAll="0">
      <items count="6">
        <item x="0"/>
        <item x="3"/>
        <item x="1"/>
        <item x="2"/>
        <item h="1" x="4"/>
        <item t="default"/>
      </items>
    </pivotField>
    <pivotField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7">
        <item x="2"/>
        <item x="3"/>
        <item x="1"/>
        <item x="0"/>
        <item x="4"/>
        <item x="5"/>
        <item t="default"/>
      </items>
    </pivotField>
    <pivotField compact="0" showAll="0">
      <items count="119">
        <item h="1" x="2"/>
        <item h="1" x="9"/>
        <item h="1" x="5"/>
        <item h="1" x="51"/>
        <item x="10"/>
        <item h="1" x="21"/>
        <item h="1" x="14"/>
        <item h="1" x="57"/>
        <item h="1" x="20"/>
        <item h="1" x="86"/>
        <item h="1" x="49"/>
        <item h="1" x="54"/>
        <item h="1" x="25"/>
        <item h="1" x="95"/>
        <item h="1" x="80"/>
        <item h="1" x="23"/>
        <item h="1" x="79"/>
        <item h="1" x="50"/>
        <item h="1" x="107"/>
        <item h="1" x="19"/>
        <item h="1" x="87"/>
        <item h="1" x="70"/>
        <item h="1" x="85"/>
        <item h="1" x="106"/>
        <item h="1" x="30"/>
        <item h="1" x="40"/>
        <item h="1" x="26"/>
        <item h="1" x="34"/>
        <item h="1" x="81"/>
        <item h="1" x="98"/>
        <item h="1" x="61"/>
        <item h="1" x="58"/>
        <item h="1" x="24"/>
        <item h="1" x="27"/>
        <item h="1" x="1"/>
        <item h="1" x="112"/>
        <item h="1" x="84"/>
        <item h="1" x="99"/>
        <item h="1" x="110"/>
        <item h="1" x="108"/>
        <item h="1" x="45"/>
        <item h="1" x="74"/>
        <item h="1" x="28"/>
        <item h="1" x="105"/>
        <item h="1" x="3"/>
        <item h="1" x="103"/>
        <item h="1" x="77"/>
        <item h="1" x="56"/>
        <item h="1" x="67"/>
        <item h="1" x="113"/>
        <item h="1" x="35"/>
        <item h="1" x="92"/>
        <item h="1" x="63"/>
        <item h="1" x="115"/>
        <item h="1" x="38"/>
        <item h="1" x="91"/>
        <item h="1" x="46"/>
        <item h="1" x="102"/>
        <item h="1" x="41"/>
        <item h="1" x="39"/>
        <item h="1" x="64"/>
        <item h="1" x="33"/>
        <item h="1" x="31"/>
        <item h="1" x="6"/>
        <item h="1" x="109"/>
        <item h="1" x="69"/>
        <item h="1" x="116"/>
        <item h="1" x="90"/>
        <item h="1" x="15"/>
        <item h="1" x="44"/>
        <item h="1" x="114"/>
        <item h="1" x="89"/>
        <item h="1" x="60"/>
        <item h="1" x="11"/>
        <item h="1" x="0"/>
        <item h="1" x="42"/>
        <item h="1" x="55"/>
        <item h="1" x="29"/>
        <item h="1" x="83"/>
        <item h="1" x="71"/>
        <item h="1" x="111"/>
        <item h="1" x="59"/>
        <item h="1" x="93"/>
        <item h="1" x="13"/>
        <item h="1" x="66"/>
        <item h="1" x="22"/>
        <item h="1" x="88"/>
        <item h="1" x="36"/>
        <item h="1" x="53"/>
        <item h="1" x="8"/>
        <item h="1" x="47"/>
        <item h="1" x="7"/>
        <item h="1" x="72"/>
        <item h="1" x="104"/>
        <item h="1" x="43"/>
        <item h="1" x="101"/>
        <item h="1" x="97"/>
        <item h="1" x="48"/>
        <item h="1" x="78"/>
        <item h="1" x="18"/>
        <item h="1" x="75"/>
        <item h="1" x="100"/>
        <item h="1" x="32"/>
        <item h="1" x="96"/>
        <item h="1" x="94"/>
        <item h="1" x="17"/>
        <item h="1" x="73"/>
        <item h="1" x="76"/>
        <item h="1" x="82"/>
        <item h="1" x="16"/>
        <item h="1" x="37"/>
        <item h="1" x="65"/>
        <item h="1" x="12"/>
        <item h="1" x="4"/>
        <item h="1" x="62"/>
        <item h="1" x="52"/>
        <item h="1" x="68"/>
        <item h="1" x="117"/>
        <item t="default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1"/>
        <item x="0"/>
        <item x="2"/>
      </items>
    </pivotField>
    <pivotField axis="axisRow" dataField="1" compact="0" multipleItemSelectionAllowed="1" showAll="0">
      <items count="4">
        <item x="1"/>
        <item x="0"/>
        <item h="1" x="2"/>
        <item t="default"/>
      </items>
    </pivotField>
    <pivotField compact="0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showAll="0"/>
    <pivotField compact="0" showAll="0"/>
    <pivotField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attend_group_lesson" fld="16" subtotal="count" baseField="0" baseItem="0"/>
  </dataFields>
  <formats count="1">
    <format dxfId="7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92:B195" firstHeaderRow="1" firstDataRow="1" firstDataCol="1"/>
  <pivotFields count="23">
    <pivotField compact="0" showAll="0"/>
    <pivotField compact="0" showAll="0"/>
    <pivotField compact="0" showAll="0"/>
    <pivotField compact="0" showAll="0"/>
    <pivotField compact="0" showAll="0">
      <items count="6">
        <item x="0"/>
        <item x="3"/>
        <item x="1"/>
        <item x="2"/>
        <item h="1" x="4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  <pivotField compact="0" showAll="0">
      <items count="7">
        <item x="2"/>
        <item x="3"/>
        <item x="1"/>
        <item x="0"/>
        <item x="4"/>
        <item x="5"/>
        <item t="default"/>
      </items>
    </pivotField>
    <pivotField compact="0" showAll="0">
      <items count="119">
        <item h="1" x="2"/>
        <item h="1" x="9"/>
        <item h="1" x="5"/>
        <item h="1" x="51"/>
        <item x="10"/>
        <item h="1" x="21"/>
        <item h="1" x="14"/>
        <item h="1" x="57"/>
        <item h="1" x="20"/>
        <item h="1" x="86"/>
        <item h="1" x="49"/>
        <item h="1" x="54"/>
        <item h="1" x="25"/>
        <item h="1" x="95"/>
        <item h="1" x="80"/>
        <item h="1" x="23"/>
        <item h="1" x="79"/>
        <item h="1" x="50"/>
        <item h="1" x="107"/>
        <item h="1" x="19"/>
        <item h="1" x="87"/>
        <item h="1" x="70"/>
        <item h="1" x="85"/>
        <item h="1" x="106"/>
        <item h="1" x="30"/>
        <item h="1" x="40"/>
        <item h="1" x="26"/>
        <item h="1" x="34"/>
        <item h="1" x="81"/>
        <item h="1" x="98"/>
        <item h="1" x="61"/>
        <item h="1" x="58"/>
        <item h="1" x="24"/>
        <item h="1" x="27"/>
        <item h="1" x="1"/>
        <item h="1" x="112"/>
        <item h="1" x="84"/>
        <item h="1" x="99"/>
        <item h="1" x="110"/>
        <item h="1" x="108"/>
        <item h="1" x="45"/>
        <item h="1" x="74"/>
        <item h="1" x="28"/>
        <item h="1" x="105"/>
        <item h="1" x="3"/>
        <item h="1" x="103"/>
        <item h="1" x="77"/>
        <item h="1" x="56"/>
        <item h="1" x="67"/>
        <item h="1" x="113"/>
        <item h="1" x="35"/>
        <item h="1" x="92"/>
        <item h="1" x="63"/>
        <item h="1" x="115"/>
        <item h="1" x="38"/>
        <item h="1" x="91"/>
        <item h="1" x="46"/>
        <item h="1" x="102"/>
        <item h="1" x="41"/>
        <item h="1" x="39"/>
        <item h="1" x="64"/>
        <item h="1" x="33"/>
        <item h="1" x="31"/>
        <item h="1" x="6"/>
        <item h="1" x="109"/>
        <item h="1" x="69"/>
        <item h="1" x="116"/>
        <item h="1" x="90"/>
        <item h="1" x="15"/>
        <item h="1" x="44"/>
        <item h="1" x="114"/>
        <item h="1" x="89"/>
        <item h="1" x="60"/>
        <item h="1" x="11"/>
        <item h="1" x="0"/>
        <item h="1" x="42"/>
        <item h="1" x="55"/>
        <item h="1" x="29"/>
        <item h="1" x="83"/>
        <item h="1" x="71"/>
        <item h="1" x="111"/>
        <item h="1" x="59"/>
        <item h="1" x="93"/>
        <item h="1" x="13"/>
        <item h="1" x="66"/>
        <item h="1" x="22"/>
        <item h="1" x="88"/>
        <item h="1" x="36"/>
        <item h="1" x="53"/>
        <item h="1" x="8"/>
        <item h="1" x="47"/>
        <item h="1" x="7"/>
        <item h="1" x="72"/>
        <item h="1" x="104"/>
        <item h="1" x="43"/>
        <item h="1" x="101"/>
        <item h="1" x="97"/>
        <item h="1" x="48"/>
        <item h="1" x="78"/>
        <item h="1" x="18"/>
        <item h="1" x="75"/>
        <item h="1" x="100"/>
        <item h="1" x="32"/>
        <item h="1" x="96"/>
        <item h="1" x="94"/>
        <item h="1" x="17"/>
        <item h="1" x="73"/>
        <item h="1" x="76"/>
        <item h="1" x="82"/>
        <item h="1" x="16"/>
        <item h="1" x="37"/>
        <item h="1" x="65"/>
        <item h="1" x="12"/>
        <item h="1" x="4"/>
        <item h="1" x="62"/>
        <item h="1" x="52"/>
        <item h="1" x="68"/>
        <item h="1" x="117"/>
        <item t="default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1"/>
        <item x="0"/>
        <item x="2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showAll="0"/>
    <pivotField compact="0" showAll="0"/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avg_time_in_gym" fld="20" subtotal="average" baseField="0" baseItem="0"/>
  </dataFields>
  <formats count="1">
    <format dxfId="8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41:B50" firstHeaderRow="1" firstDataRow="1" firstDataCol="1"/>
  <pivotFields count="23">
    <pivotField dataField="1" compact="0" showAll="0"/>
    <pivotField compact="0" showAll="0"/>
    <pivotField compact="0" showAll="0"/>
    <pivotField compact="0" showAll="0"/>
    <pivotField compact="0" showAll="0">
      <items count="6">
        <item x="0"/>
        <item x="3"/>
        <item x="1"/>
        <item x="2"/>
        <item h="1" x="4"/>
        <item t="default"/>
      </items>
    </pivotField>
    <pivotField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7">
        <item x="2"/>
        <item x="3"/>
        <item x="1"/>
        <item x="0"/>
        <item x="4"/>
        <item x="5"/>
        <item t="default"/>
      </items>
    </pivotField>
    <pivotField compact="0" showAll="0">
      <items count="119">
        <item h="1" x="2"/>
        <item h="1" x="9"/>
        <item h="1" x="5"/>
        <item h="1" x="51"/>
        <item x="10"/>
        <item h="1" x="21"/>
        <item h="1" x="14"/>
        <item h="1" x="57"/>
        <item h="1" x="20"/>
        <item h="1" x="86"/>
        <item h="1" x="49"/>
        <item h="1" x="54"/>
        <item h="1" x="25"/>
        <item h="1" x="95"/>
        <item h="1" x="80"/>
        <item h="1" x="23"/>
        <item h="1" x="79"/>
        <item h="1" x="50"/>
        <item h="1" x="107"/>
        <item h="1" x="19"/>
        <item h="1" x="87"/>
        <item h="1" x="70"/>
        <item h="1" x="85"/>
        <item h="1" x="106"/>
        <item h="1" x="30"/>
        <item h="1" x="40"/>
        <item h="1" x="26"/>
        <item h="1" x="34"/>
        <item h="1" x="81"/>
        <item h="1" x="98"/>
        <item h="1" x="61"/>
        <item h="1" x="58"/>
        <item h="1" x="24"/>
        <item h="1" x="27"/>
        <item h="1" x="1"/>
        <item h="1" x="112"/>
        <item h="1" x="84"/>
        <item h="1" x="99"/>
        <item h="1" x="110"/>
        <item h="1" x="108"/>
        <item h="1" x="45"/>
        <item h="1" x="74"/>
        <item h="1" x="28"/>
        <item h="1" x="105"/>
        <item h="1" x="3"/>
        <item h="1" x="103"/>
        <item h="1" x="77"/>
        <item h="1" x="56"/>
        <item h="1" x="67"/>
        <item h="1" x="113"/>
        <item h="1" x="35"/>
        <item h="1" x="92"/>
        <item h="1" x="63"/>
        <item h="1" x="115"/>
        <item h="1" x="38"/>
        <item h="1" x="91"/>
        <item h="1" x="46"/>
        <item h="1" x="102"/>
        <item h="1" x="41"/>
        <item h="1" x="39"/>
        <item h="1" x="64"/>
        <item h="1" x="33"/>
        <item h="1" x="31"/>
        <item h="1" x="6"/>
        <item h="1" x="109"/>
        <item h="1" x="69"/>
        <item h="1" x="116"/>
        <item h="1" x="90"/>
        <item h="1" x="15"/>
        <item h="1" x="44"/>
        <item h="1" x="114"/>
        <item h="1" x="89"/>
        <item h="1" x="60"/>
        <item h="1" x="11"/>
        <item h="1" x="0"/>
        <item h="1" x="42"/>
        <item h="1" x="55"/>
        <item h="1" x="29"/>
        <item h="1" x="83"/>
        <item h="1" x="71"/>
        <item h="1" x="111"/>
        <item h="1" x="59"/>
        <item h="1" x="93"/>
        <item h="1" x="13"/>
        <item h="1" x="66"/>
        <item h="1" x="22"/>
        <item h="1" x="88"/>
        <item h="1" x="36"/>
        <item h="1" x="53"/>
        <item h="1" x="8"/>
        <item h="1" x="47"/>
        <item h="1" x="7"/>
        <item h="1" x="72"/>
        <item h="1" x="104"/>
        <item h="1" x="43"/>
        <item h="1" x="101"/>
        <item h="1" x="97"/>
        <item h="1" x="48"/>
        <item h="1" x="78"/>
        <item h="1" x="18"/>
        <item h="1" x="75"/>
        <item h="1" x="100"/>
        <item h="1" x="32"/>
        <item h="1" x="96"/>
        <item h="1" x="94"/>
        <item h="1" x="17"/>
        <item h="1" x="73"/>
        <item h="1" x="76"/>
        <item h="1" x="82"/>
        <item h="1" x="16"/>
        <item h="1" x="37"/>
        <item h="1" x="65"/>
        <item h="1" x="12"/>
        <item h="1" x="4"/>
        <item h="1" x="62"/>
        <item h="1" x="52"/>
        <item h="1" x="68"/>
        <item h="1" x="117"/>
        <item t="default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1"/>
        <item x="0"/>
        <item x="2"/>
      </items>
    </pivotField>
    <pivotField compact="0" showAll="0">
      <items count="4">
        <item x="1"/>
        <item x="0"/>
        <item x="2"/>
        <item t="default"/>
      </items>
    </pivotField>
    <pivotField axis="axisRow" measureFilter="1" compact="0" multipleItemSelectionAllowed="1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showAll="0"/>
    <pivotField compact="0" showAll="0"/>
    <pivotField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</pivotFields>
  <rowFields count="1">
    <field x="17"/>
  </rowFields>
  <rowItems count="9">
    <i>
      <x/>
    </i>
    <i>
      <x v="18"/>
    </i>
    <i>
      <x v="24"/>
    </i>
    <i>
      <x v="103"/>
    </i>
    <i>
      <x v="121"/>
    </i>
    <i>
      <x v="124"/>
    </i>
    <i>
      <x v="232"/>
    </i>
    <i>
      <x v="258"/>
    </i>
    <i t="grand">
      <x/>
    </i>
  </rowItems>
  <colItems count="1">
    <i/>
  </colItems>
  <dataFields count="1">
    <dataField name="Count of id" fld="0" subtotal="count" baseField="17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1">
    <format dxfId="9">
      <pivotArea type="all" dataOnly="0" outline="0" fieldPosition="0"/>
    </format>
  </formats>
  <pivotTableStyleInfo name="PivotStyleLight16" showRowHeaders="1" showColHeaders="1" showLastColumn="1"/>
  <filters count="1">
    <filter evalOrder="-1" fld="17" iMeasureFld="0" id="2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0:B13" firstHeaderRow="1" firstDataRow="1" firstDataCol="1"/>
  <pivotFields count="23">
    <pivotField compact="0" showAll="0"/>
    <pivotField compact="0" showAll="0"/>
    <pivotField axis="axisRow" dataField="1" compact="0" multipleItemSelectionAllowed="1" showAll="0">
      <items count="4">
        <item x="0"/>
        <item x="1"/>
        <item m="1" x="2"/>
        <item t="default"/>
      </items>
    </pivotField>
    <pivotField compact="0" showAll="0"/>
    <pivotField compact="0" defaultSubtotal="0" showAll="0"/>
    <pivotField compact="0" showAll="0"/>
    <pivotField compact="0" showAll="0">
      <items count="4">
        <item x="0"/>
        <item x="1"/>
        <item m="1" x="2"/>
        <item t="default"/>
      </items>
    </pivotField>
    <pivotField compact="0" showAll="0"/>
    <pivotField compact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gender" fld="2" subtotal="count" baseField="0" baseItem="0"/>
  </dataFields>
  <formats count="1">
    <format dxfId="10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56:B59" firstHeaderRow="1" firstDataRow="1" firstDataCol="1"/>
  <pivotFields count="23">
    <pivotField dataField="1" compact="0" showAll="0"/>
    <pivotField compact="0" showAll="0"/>
    <pivotField compact="0" showAll="0"/>
    <pivotField compact="0" showAll="0"/>
    <pivotField compact="0" showAll="0">
      <items count="6">
        <item x="0"/>
        <item x="3"/>
        <item x="1"/>
        <item x="2"/>
        <item h="1" x="4"/>
        <item t="default"/>
      </items>
    </pivotField>
    <pivotField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7">
        <item x="2"/>
        <item x="3"/>
        <item x="1"/>
        <item x="0"/>
        <item x="4"/>
        <item x="5"/>
        <item t="default"/>
      </items>
    </pivotField>
    <pivotField compact="0" showAll="0">
      <items count="119">
        <item h="1" x="2"/>
        <item h="1" x="9"/>
        <item h="1" x="5"/>
        <item h="1" x="51"/>
        <item x="10"/>
        <item h="1" x="21"/>
        <item h="1" x="14"/>
        <item h="1" x="57"/>
        <item h="1" x="20"/>
        <item h="1" x="86"/>
        <item h="1" x="49"/>
        <item h="1" x="54"/>
        <item h="1" x="25"/>
        <item h="1" x="95"/>
        <item h="1" x="80"/>
        <item h="1" x="23"/>
        <item h="1" x="79"/>
        <item h="1" x="50"/>
        <item h="1" x="107"/>
        <item h="1" x="19"/>
        <item h="1" x="87"/>
        <item h="1" x="70"/>
        <item h="1" x="85"/>
        <item h="1" x="106"/>
        <item h="1" x="30"/>
        <item h="1" x="40"/>
        <item h="1" x="26"/>
        <item h="1" x="34"/>
        <item h="1" x="81"/>
        <item h="1" x="98"/>
        <item h="1" x="61"/>
        <item h="1" x="58"/>
        <item h="1" x="24"/>
        <item h="1" x="27"/>
        <item h="1" x="1"/>
        <item h="1" x="112"/>
        <item h="1" x="84"/>
        <item h="1" x="99"/>
        <item h="1" x="110"/>
        <item h="1" x="108"/>
        <item h="1" x="45"/>
        <item h="1" x="74"/>
        <item h="1" x="28"/>
        <item h="1" x="105"/>
        <item h="1" x="3"/>
        <item h="1" x="103"/>
        <item h="1" x="77"/>
        <item h="1" x="56"/>
        <item h="1" x="67"/>
        <item h="1" x="113"/>
        <item h="1" x="35"/>
        <item h="1" x="92"/>
        <item h="1" x="63"/>
        <item h="1" x="115"/>
        <item h="1" x="38"/>
        <item h="1" x="91"/>
        <item h="1" x="46"/>
        <item h="1" x="102"/>
        <item h="1" x="41"/>
        <item h="1" x="39"/>
        <item h="1" x="64"/>
        <item h="1" x="33"/>
        <item h="1" x="31"/>
        <item h="1" x="6"/>
        <item h="1" x="109"/>
        <item h="1" x="69"/>
        <item h="1" x="116"/>
        <item h="1" x="90"/>
        <item h="1" x="15"/>
        <item h="1" x="44"/>
        <item h="1" x="114"/>
        <item h="1" x="89"/>
        <item h="1" x="60"/>
        <item h="1" x="11"/>
        <item h="1" x="0"/>
        <item h="1" x="42"/>
        <item h="1" x="55"/>
        <item h="1" x="29"/>
        <item h="1" x="83"/>
        <item h="1" x="71"/>
        <item h="1" x="111"/>
        <item h="1" x="59"/>
        <item h="1" x="93"/>
        <item h="1" x="13"/>
        <item h="1" x="66"/>
        <item h="1" x="22"/>
        <item h="1" x="88"/>
        <item h="1" x="36"/>
        <item h="1" x="53"/>
        <item h="1" x="8"/>
        <item h="1" x="47"/>
        <item h="1" x="7"/>
        <item h="1" x="72"/>
        <item h="1" x="104"/>
        <item h="1" x="43"/>
        <item h="1" x="101"/>
        <item h="1" x="97"/>
        <item h="1" x="48"/>
        <item h="1" x="78"/>
        <item h="1" x="18"/>
        <item h="1" x="75"/>
        <item h="1" x="100"/>
        <item h="1" x="32"/>
        <item h="1" x="96"/>
        <item h="1" x="94"/>
        <item h="1" x="17"/>
        <item h="1" x="73"/>
        <item h="1" x="76"/>
        <item h="1" x="82"/>
        <item h="1" x="16"/>
        <item h="1" x="37"/>
        <item h="1" x="65"/>
        <item h="1" x="12"/>
        <item h="1" x="4"/>
        <item h="1" x="62"/>
        <item h="1" x="52"/>
        <item h="1" x="68"/>
        <item h="1" x="117"/>
        <item t="default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1"/>
        <item x="0"/>
        <item x="2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showAll="0"/>
    <pivotField compact="0" showAll="0"/>
    <pivotField compact="0" showAll="0"/>
    <pivotField axis="axisRow" compact="0" multipleItemSelectionAllowed="1" showAll="0">
      <items count="4">
        <item x="0"/>
        <item x="1"/>
        <item x="2"/>
        <item t="default"/>
      </items>
    </pivotField>
    <pivotField compact="0" multipleItemSelectionAllowed="1" showAll="0">
      <items count="6">
        <item x="1"/>
        <item x="4"/>
        <item x="3"/>
        <item x="2"/>
        <item x="0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0" baseItem="0"/>
  </dataFields>
  <formats count="1">
    <format dxfId="11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8:B21" firstHeaderRow="1" firstDataRow="1" firstDataCol="1"/>
  <pivotFields count="23">
    <pivotField compact="0" showAll="0"/>
    <pivotField compact="0" showAll="0"/>
    <pivotField compact="0" showAll="0">
      <items count="4">
        <item x="0"/>
        <item x="1"/>
        <item m="1" x="2"/>
        <item t="default"/>
      </items>
    </pivotField>
    <pivotField compact="0" showAll="0"/>
    <pivotField compact="0" defaultSubtotal="0" showAll="0"/>
    <pivotField compact="0" showAll="0"/>
    <pivotField axis="axisRow" compact="0" multipleItemSelectionAllowed="1" showAll="0">
      <items count="4">
        <item x="0"/>
        <item x="1"/>
        <item m="1" x="2"/>
        <item t="default"/>
      </items>
    </pivotField>
    <pivotField dataField="1" compact="0" showAll="0"/>
    <pivotField compact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visit_per_week" fld="7" subtotal="average" baseField="0" baseItem="0"/>
  </dataFields>
  <formats count="1">
    <format dxfId="12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62:B67" firstHeaderRow="1" firstDataRow="1" firstDataCol="1"/>
  <pivotFields count="23">
    <pivotField dataField="1" compact="0" showAll="0"/>
    <pivotField compact="0" showAll="0"/>
    <pivotField compact="0" showAll="0"/>
    <pivotField compact="0" showAll="0"/>
    <pivotField compact="0" showAll="0">
      <items count="6">
        <item x="0"/>
        <item x="3"/>
        <item x="1"/>
        <item x="2"/>
        <item h="1" x="4"/>
        <item t="default"/>
      </items>
    </pivotField>
    <pivotField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7">
        <item x="2"/>
        <item x="3"/>
        <item x="1"/>
        <item x="0"/>
        <item x="4"/>
        <item x="5"/>
        <item t="default"/>
      </items>
    </pivotField>
    <pivotField compact="0" showAll="0">
      <items count="119">
        <item h="1" x="2"/>
        <item h="1" x="9"/>
        <item h="1" x="5"/>
        <item h="1" x="51"/>
        <item x="10"/>
        <item h="1" x="21"/>
        <item h="1" x="14"/>
        <item h="1" x="57"/>
        <item h="1" x="20"/>
        <item h="1" x="86"/>
        <item h="1" x="49"/>
        <item h="1" x="54"/>
        <item h="1" x="25"/>
        <item h="1" x="95"/>
        <item h="1" x="80"/>
        <item h="1" x="23"/>
        <item h="1" x="79"/>
        <item h="1" x="50"/>
        <item h="1" x="107"/>
        <item h="1" x="19"/>
        <item h="1" x="87"/>
        <item h="1" x="70"/>
        <item h="1" x="85"/>
        <item h="1" x="106"/>
        <item h="1" x="30"/>
        <item h="1" x="40"/>
        <item h="1" x="26"/>
        <item h="1" x="34"/>
        <item h="1" x="81"/>
        <item h="1" x="98"/>
        <item h="1" x="61"/>
        <item h="1" x="58"/>
        <item h="1" x="24"/>
        <item h="1" x="27"/>
        <item h="1" x="1"/>
        <item h="1" x="112"/>
        <item h="1" x="84"/>
        <item h="1" x="99"/>
        <item h="1" x="110"/>
        <item h="1" x="108"/>
        <item h="1" x="45"/>
        <item h="1" x="74"/>
        <item h="1" x="28"/>
        <item h="1" x="105"/>
        <item h="1" x="3"/>
        <item h="1" x="103"/>
        <item h="1" x="77"/>
        <item h="1" x="56"/>
        <item h="1" x="67"/>
        <item h="1" x="113"/>
        <item h="1" x="35"/>
        <item h="1" x="92"/>
        <item h="1" x="63"/>
        <item h="1" x="115"/>
        <item h="1" x="38"/>
        <item h="1" x="91"/>
        <item h="1" x="46"/>
        <item h="1" x="102"/>
        <item h="1" x="41"/>
        <item h="1" x="39"/>
        <item h="1" x="64"/>
        <item h="1" x="33"/>
        <item h="1" x="31"/>
        <item h="1" x="6"/>
        <item h="1" x="109"/>
        <item h="1" x="69"/>
        <item h="1" x="116"/>
        <item h="1" x="90"/>
        <item h="1" x="15"/>
        <item h="1" x="44"/>
        <item h="1" x="114"/>
        <item h="1" x="89"/>
        <item h="1" x="60"/>
        <item h="1" x="11"/>
        <item h="1" x="0"/>
        <item h="1" x="42"/>
        <item h="1" x="55"/>
        <item h="1" x="29"/>
        <item h="1" x="83"/>
        <item h="1" x="71"/>
        <item h="1" x="111"/>
        <item h="1" x="59"/>
        <item h="1" x="93"/>
        <item h="1" x="13"/>
        <item h="1" x="66"/>
        <item h="1" x="22"/>
        <item h="1" x="88"/>
        <item h="1" x="36"/>
        <item h="1" x="53"/>
        <item h="1" x="8"/>
        <item h="1" x="47"/>
        <item h="1" x="7"/>
        <item h="1" x="72"/>
        <item h="1" x="104"/>
        <item h="1" x="43"/>
        <item h="1" x="101"/>
        <item h="1" x="97"/>
        <item h="1" x="48"/>
        <item h="1" x="78"/>
        <item h="1" x="18"/>
        <item h="1" x="75"/>
        <item h="1" x="100"/>
        <item h="1" x="32"/>
        <item h="1" x="96"/>
        <item h="1" x="94"/>
        <item h="1" x="17"/>
        <item h="1" x="73"/>
        <item h="1" x="76"/>
        <item h="1" x="82"/>
        <item h="1" x="16"/>
        <item h="1" x="37"/>
        <item h="1" x="65"/>
        <item h="1" x="12"/>
        <item h="1" x="4"/>
        <item h="1" x="62"/>
        <item h="1" x="52"/>
        <item h="1" x="68"/>
        <item h="1" x="117"/>
        <item t="default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1"/>
        <item x="0"/>
        <item x="2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showAll="0"/>
    <pivotField compact="0" showAll="0"/>
    <pivotField compact="0" showAll="0"/>
    <pivotField compact="0" showAll="0">
      <items count="4">
        <item x="0"/>
        <item x="1"/>
        <item x="2"/>
        <item t="default"/>
      </items>
    </pivotField>
    <pivotField axis="axisRow" compact="0" multipleItemSelectionAllowed="1" showAll="0">
      <items count="6">
        <item x="1"/>
        <item x="4"/>
        <item x="3"/>
        <item x="2"/>
        <item h="1" x="0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0" baseItem="0"/>
  </dataFields>
  <formats count="1">
    <format dxfId="13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70:B73" firstHeaderRow="1" firstDataRow="1" firstDataCol="1"/>
  <pivotFields count="23">
    <pivotField compact="0" showAll="0"/>
    <pivotField compact="0" showAll="0"/>
    <pivotField compact="0" showAll="0"/>
    <pivotField compact="0" showAll="0"/>
    <pivotField compact="0" showAll="0">
      <items count="6">
        <item x="0"/>
        <item x="3"/>
        <item x="1"/>
        <item x="2"/>
        <item h="1" x="4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  <pivotField compact="0" showAll="0">
      <items count="7">
        <item x="2"/>
        <item x="3"/>
        <item x="1"/>
        <item x="0"/>
        <item x="4"/>
        <item x="5"/>
        <item t="default"/>
      </items>
    </pivotField>
    <pivotField compact="0" multipleItemSelectionAllowed="1" showAll="0">
      <items count="119">
        <item h="1" x="2"/>
        <item h="1" x="9"/>
        <item h="1" x="5"/>
        <item h="1" x="51"/>
        <item x="10"/>
        <item h="1" x="21"/>
        <item h="1" x="14"/>
        <item h="1" x="57"/>
        <item h="1" x="20"/>
        <item h="1" x="86"/>
        <item h="1" x="49"/>
        <item h="1" x="54"/>
        <item h="1" x="25"/>
        <item h="1" x="95"/>
        <item h="1" x="80"/>
        <item h="1" x="23"/>
        <item h="1" x="79"/>
        <item h="1" x="50"/>
        <item h="1" x="107"/>
        <item h="1" x="19"/>
        <item h="1" x="87"/>
        <item h="1" x="70"/>
        <item h="1" x="85"/>
        <item h="1" x="106"/>
        <item h="1" x="30"/>
        <item h="1" x="40"/>
        <item h="1" x="26"/>
        <item h="1" x="34"/>
        <item h="1" x="81"/>
        <item h="1" x="98"/>
        <item h="1" x="61"/>
        <item h="1" x="58"/>
        <item h="1" x="24"/>
        <item h="1" x="27"/>
        <item h="1" x="1"/>
        <item h="1" x="112"/>
        <item h="1" x="84"/>
        <item h="1" x="99"/>
        <item h="1" x="110"/>
        <item h="1" x="108"/>
        <item h="1" x="45"/>
        <item h="1" x="74"/>
        <item h="1" x="28"/>
        <item h="1" x="105"/>
        <item h="1" x="3"/>
        <item h="1" x="103"/>
        <item h="1" x="77"/>
        <item h="1" x="56"/>
        <item h="1" x="67"/>
        <item h="1" x="113"/>
        <item h="1" x="35"/>
        <item h="1" x="92"/>
        <item h="1" x="63"/>
        <item h="1" x="115"/>
        <item h="1" x="38"/>
        <item h="1" x="91"/>
        <item h="1" x="46"/>
        <item h="1" x="102"/>
        <item h="1" x="41"/>
        <item h="1" x="39"/>
        <item h="1" x="64"/>
        <item h="1" x="33"/>
        <item h="1" x="31"/>
        <item h="1" x="6"/>
        <item h="1" x="109"/>
        <item h="1" x="69"/>
        <item h="1" x="116"/>
        <item h="1" x="90"/>
        <item h="1" x="15"/>
        <item h="1" x="44"/>
        <item h="1" x="114"/>
        <item h="1" x="89"/>
        <item h="1" x="60"/>
        <item h="1" x="11"/>
        <item h="1" x="0"/>
        <item h="1" x="42"/>
        <item h="1" x="55"/>
        <item h="1" x="29"/>
        <item h="1" x="83"/>
        <item h="1" x="71"/>
        <item h="1" x="111"/>
        <item h="1" x="59"/>
        <item h="1" x="93"/>
        <item h="1" x="13"/>
        <item h="1" x="66"/>
        <item h="1" x="22"/>
        <item h="1" x="88"/>
        <item h="1" x="36"/>
        <item h="1" x="53"/>
        <item h="1" x="8"/>
        <item h="1" x="47"/>
        <item h="1" x="7"/>
        <item h="1" x="72"/>
        <item h="1" x="104"/>
        <item h="1" x="43"/>
        <item h="1" x="101"/>
        <item h="1" x="97"/>
        <item h="1" x="48"/>
        <item h="1" x="78"/>
        <item h="1" x="18"/>
        <item h="1" x="75"/>
        <item h="1" x="100"/>
        <item h="1" x="32"/>
        <item h="1" x="96"/>
        <item h="1" x="94"/>
        <item h="1" x="17"/>
        <item h="1" x="73"/>
        <item h="1" x="76"/>
        <item h="1" x="82"/>
        <item h="1" x="16"/>
        <item h="1" x="37"/>
        <item h="1" x="65"/>
        <item h="1" x="12"/>
        <item h="1" x="4"/>
        <item h="1" x="62"/>
        <item h="1" x="52"/>
        <item h="1" x="68"/>
        <item h="1" x="117"/>
        <item t="default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1"/>
        <item x="0"/>
        <item x="2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0"/>
        <item x="1"/>
        <item x="2"/>
      </items>
    </pivotField>
    <pivotField compact="0" defaultSubtotal="0" showAll="0">
      <items count="3">
        <item x="1"/>
        <item x="0"/>
        <item x="2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showAll="0"/>
    <pivotField compact="0" showAll="0"/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avg_time_in_gym" fld="20" subtotal="average" baseField="0" baseItem="0"/>
  </dataFields>
  <formats count="5">
    <format dxfId="14">
      <pivotArea type="all" dataOnly="0" outline="0" fieldPosition="0"/>
    </format>
    <format dxfId="15">
      <pivotArea type="all" dataOnly="0" outline="0" fieldPosition="0"/>
    </format>
    <format dxfId="16">
      <pivotArea type="all" dataOnly="0" outline="0" fieldPosition="0"/>
    </format>
    <format dxfId="17">
      <pivotArea type="all" dataOnly="0" outline="0" fieldPosition="0"/>
    </format>
    <format dxfId="18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ys_per_week" sourceName="days_per_week">
  <pivotTables>
    <pivotTable tabId="4" name="PivotTable10"/>
    <pivotTable tabId="4" name="PivotTable5"/>
    <pivotTable tabId="4" name="PivotTable11"/>
    <pivotTable tabId="4" name="PivotTable6"/>
    <pivotTable tabId="4" name="PivotTable7"/>
    <pivotTable tabId="4" name="PivotTable8"/>
    <pivotTable tabId="4" name="PivotTable9"/>
    <pivotTable tabId="4" name="PivotTable4"/>
  </pivotTables>
  <data>
    <tabular pivotCacheId="2">
      <items count="118">
        <i x="2" s="0"/>
        <i x="9" s="0"/>
        <i x="5" s="0"/>
        <i x="51" s="0"/>
        <i x="10" s="1"/>
        <i x="21" s="0"/>
        <i x="14" s="0"/>
        <i x="57" s="0"/>
        <i x="20" s="0"/>
        <i x="86" s="0"/>
        <i x="49" s="0"/>
        <i x="54" s="0"/>
        <i x="25" s="0"/>
        <i x="95" s="0"/>
        <i x="80" s="0"/>
        <i x="23" s="0"/>
        <i x="79" s="0"/>
        <i x="50" s="0"/>
        <i x="107" s="0"/>
        <i x="19" s="0"/>
        <i x="87" s="0"/>
        <i x="70" s="0"/>
        <i x="85" s="0"/>
        <i x="106" s="0"/>
        <i x="30" s="0"/>
        <i x="40" s="0"/>
        <i x="26" s="0"/>
        <i x="34" s="0"/>
        <i x="81" s="0"/>
        <i x="98" s="0"/>
        <i x="61" s="0"/>
        <i x="58" s="0"/>
        <i x="24" s="0"/>
        <i x="27" s="0"/>
        <i x="1" s="0"/>
        <i x="112" s="0"/>
        <i x="84" s="0"/>
        <i x="99" s="0"/>
        <i x="110" s="0"/>
        <i x="108" s="0"/>
        <i x="45" s="0"/>
        <i x="74" s="0"/>
        <i x="28" s="0"/>
        <i x="105" s="0"/>
        <i x="3" s="0"/>
        <i x="103" s="0"/>
        <i x="77" s="0"/>
        <i x="56" s="0"/>
        <i x="67" s="0"/>
        <i x="113" s="0"/>
        <i x="35" s="0"/>
        <i x="92" s="0"/>
        <i x="63" s="0"/>
        <i x="115" s="0"/>
        <i x="38" s="0"/>
        <i x="91" s="0"/>
        <i x="46" s="0"/>
        <i x="102" s="0"/>
        <i x="41" s="0"/>
        <i x="39" s="0"/>
        <i x="64" s="0"/>
        <i x="33" s="0"/>
        <i x="31" s="0"/>
        <i x="6" s="0"/>
        <i x="109" s="0"/>
        <i x="69" s="0"/>
        <i x="116" s="0"/>
        <i x="90" s="0"/>
        <i x="15" s="0"/>
        <i x="44" s="0"/>
        <i x="114" s="0"/>
        <i x="89" s="0"/>
        <i x="60" s="0"/>
        <i x="11" s="0"/>
        <i x="0" s="0"/>
        <i x="42" s="0"/>
        <i x="55" s="0"/>
        <i x="29" s="0"/>
        <i x="83" s="0"/>
        <i x="71" s="0"/>
        <i x="111" s="0"/>
        <i x="59" s="0"/>
        <i x="93" s="0"/>
        <i x="13" s="0"/>
        <i x="66" s="0"/>
        <i x="22" s="0"/>
        <i x="88" s="0"/>
        <i x="36" s="0"/>
        <i x="53" s="0"/>
        <i x="8" s="0"/>
        <i x="47" s="0"/>
        <i x="7" s="0"/>
        <i x="72" s="0"/>
        <i x="104" s="0"/>
        <i x="43" s="0"/>
        <i x="101" s="0"/>
        <i x="97" s="0"/>
        <i x="48" s="0"/>
        <i x="78" s="0"/>
        <i x="18" s="0"/>
        <i x="75" s="0"/>
        <i x="100" s="0"/>
        <i x="32" s="0"/>
        <i x="96" s="0"/>
        <i x="94" s="0"/>
        <i x="17" s="0"/>
        <i x="73" s="0"/>
        <i x="76" s="0"/>
        <i x="82" s="0"/>
        <i x="16" s="0"/>
        <i x="37" s="0"/>
        <i x="65" s="0"/>
        <i x="12" s="0"/>
        <i x="4" s="0"/>
        <i x="62" s="0"/>
        <i x="52" s="0"/>
        <i x="68" s="0"/>
        <i x="117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bonoment_type" sourceName="abonoment_type">
  <pivotTables>
    <pivotTable tabId="4" name="PivotTable1"/>
    <pivotTable tabId="4" name="PivotTable2"/>
    <pivotTable tabId="4" name="PivotTable3"/>
  </pivotTables>
  <data>
    <tabular pivotCacheId="1">
      <items count="3">
        <i x="0" s="1"/>
        <i x="1" s="1"/>
        <i x="2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_group" sourceName="age group">
  <pivotTables>
    <pivotTable tabId="4" name="PivotTable4"/>
    <pivotTable tabId="4" name="PivotTable10"/>
    <pivotTable tabId="4" name="PivotTable5"/>
    <pivotTable tabId="4" name="PivotTable11"/>
    <pivotTable tabId="4" name="PivotTable6"/>
    <pivotTable tabId="4" name="PivotTable7"/>
    <pivotTable tabId="4" name="PivotTable8"/>
    <pivotTable tabId="4" name="PivotTable9"/>
  </pivotTables>
  <data>
    <tabular pivotCacheId="2">
      <items count="5">
        <i x="0" s="1"/>
        <i x="3" s="1"/>
        <i x="1" s="1"/>
        <i x="2" s="1"/>
        <i x="4" s="0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4" name="PivotTable2"/>
    <pivotTable tabId="4" name="PivotTable1"/>
    <pivotTable tabId="4" name="PivotTable3"/>
  </pivotTables>
  <data>
    <tabular pivotCacheId="1">
      <items count="3">
        <i x="0" s="1"/>
        <i x="1" s="1"/>
        <i x="2" s="1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ersonal_training" sourceName="personal_training">
  <pivotTables>
    <pivotTable tabId="4" name="PivotTable5"/>
    <pivotTable tabId="4" name="PivotTable10"/>
    <pivotTable tabId="4" name="PivotTable4"/>
    <pivotTable tabId="4" name="PivotTable11"/>
    <pivotTable tabId="4" name="PivotTable6"/>
    <pivotTable tabId="4" name="PivotTable7"/>
    <pivotTable tabId="4" name="PivotTable8"/>
    <pivotTable tabId="4" name="PivotTable9"/>
  </pivotTables>
  <data>
    <tabular pivotCacheId="2">
      <items count="3">
        <i x="0" s="1"/>
        <i x="1" s="1"/>
        <i x="2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bonoment_type" cache="Slicer_abonoment_type" caption="abonoment_type" rowHeight="225425"/>
  <slicer name="age group" cache="Slicer_age_group" caption="age group" rowHeight="225425"/>
  <slicer name="gender" cache="Slicer_gender" caption="gender" rowHeight="225425"/>
  <slicer name="personal_training" cache="Slicer_personal_training" caption="personal_training" rowHeight="225425"/>
  <slicer name="days_per_week" cache="Slicer_days_per_week" caption="days_per_week" rowHeight="225425"/>
</slicers>
</file>

<file path=xl/tables/table1.xml><?xml version="1.0" encoding="utf-8"?>
<table xmlns="http://schemas.openxmlformats.org/spreadsheetml/2006/main" id="2" name="Table2" displayName="Table2" ref="A1:X1001" totalsRowShown="0">
  <autoFilter xmlns:etc="http://www.wps.cn/officeDocument/2017/etCustomData" ref="A1:X1001" etc:filterBottomFollowUsedRange="0"/>
  <tableColumns count="24">
    <tableColumn id="1" name="id"/>
    <tableColumn id="2" name="first_name"/>
    <tableColumn id="3" name="gender"/>
    <tableColumn id="4" name="birthday"/>
    <tableColumn id="16" name="age group" dataDxfId="19">
      <calculatedColumnFormula>IF(F2&lt;20,"below 20",IF(F2&lt;=30,"20-30",IF(F2&lt;=40,"31-41",IF(F2&lt;=50,"41-50","above 50"))))</calculatedColumnFormula>
    </tableColumn>
    <tableColumn id="5" name="Age"/>
    <tableColumn id="6" name="abonoment_type"/>
    <tableColumn id="7" name="visit_per_week"/>
    <tableColumn id="8" name="days_per_week"/>
    <tableColumn id="24" name="Day visit"/>
    <tableColumn id="17" name="Sun">
      <calculatedColumnFormula>--ISNUMBER(SEARCH("Sun",I2))</calculatedColumnFormula>
    </tableColumn>
    <tableColumn id="18" name="Mon">
      <calculatedColumnFormula>--ISNUMBER(SEARCH("Mon",I2))</calculatedColumnFormula>
    </tableColumn>
    <tableColumn id="19" name="Tue">
      <calculatedColumnFormula>--ISNUMBER(SEARCH("Tue",I2))</calculatedColumnFormula>
    </tableColumn>
    <tableColumn id="20" name="Wed">
      <calculatedColumnFormula>--ISNUMBER(SEARCH("Wed",I2))</calculatedColumnFormula>
    </tableColumn>
    <tableColumn id="21" name="Thu">
      <calculatedColumnFormula>--ISNUMBER(SEARCH("Thu",I2))</calculatedColumnFormula>
    </tableColumn>
    <tableColumn id="22" name="Fri">
      <calculatedColumnFormula>--ISNUMBER(SEARCH("Fri",I2))</calculatedColumnFormula>
    </tableColumn>
    <tableColumn id="23" name="Sat">
      <calculatedColumnFormula>--ISNUMBER(SEARCH("Sat",I2))</calculatedColumnFormula>
    </tableColumn>
    <tableColumn id="9" name="attend_group_lesson"/>
    <tableColumn id="10" name="fav_group_lesson"/>
    <tableColumn id="11" name="avg_time_check_in"/>
    <tableColumn id="12" name="avg_time_check_out"/>
    <tableColumn id="13" name="avg_time_in_gym"/>
    <tableColumn id="14" name="personal_training"/>
    <tableColumn id="15" name="name_personal_trainer"/>
  </tableColumns>
  <tableStyleInfo name="TableStylePreset4_Accen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2" Type="http://schemas.openxmlformats.org/officeDocument/2006/relationships/drawing" Target="../drawings/drawing1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1"/>
  <sheetViews>
    <sheetView workbookViewId="0">
      <selection activeCell="H16" sqref="H16"/>
    </sheetView>
  </sheetViews>
  <sheetFormatPr defaultColWidth="9" defaultRowHeight="15"/>
  <cols>
    <col min="1" max="1" width="11.1428571428571" customWidth="1"/>
    <col min="2" max="2" width="16.5714285714286" customWidth="1"/>
    <col min="3" max="3" width="12.4285714285714" customWidth="1"/>
    <col min="4" max="4" width="13.2857142857143" customWidth="1"/>
    <col min="5" max="5" width="8.71428571428571" customWidth="1"/>
    <col min="6" max="6" width="17.7142857142857" customWidth="1"/>
    <col min="7" max="7" width="15.7142857142857" customWidth="1"/>
    <col min="8" max="8" width="25.2857142857143" customWidth="1"/>
    <col min="9" max="9" width="21.5714285714286" customWidth="1"/>
    <col min="10" max="10" width="34.8571428571429" customWidth="1"/>
    <col min="11" max="11" width="19.4285714285714" customWidth="1"/>
    <col min="12" max="12" width="20.8571428571429" customWidth="1"/>
    <col min="13" max="14" width="18" customWidth="1"/>
    <col min="15" max="15" width="23.857142857142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s="9">
        <v>35538</v>
      </c>
      <c r="E2">
        <v>27</v>
      </c>
      <c r="F2" t="s">
        <v>17</v>
      </c>
      <c r="G2">
        <v>4</v>
      </c>
      <c r="H2" t="s">
        <v>18</v>
      </c>
      <c r="I2" t="b">
        <v>1</v>
      </c>
      <c r="J2" t="s">
        <v>19</v>
      </c>
      <c r="K2" s="10">
        <v>0.813194444444444</v>
      </c>
      <c r="L2" s="10">
        <v>0.904166666666667</v>
      </c>
      <c r="M2">
        <v>131</v>
      </c>
      <c r="N2" t="b">
        <v>0</v>
      </c>
    </row>
    <row r="3" spans="1:15">
      <c r="A3">
        <v>2</v>
      </c>
      <c r="B3" t="s">
        <v>20</v>
      </c>
      <c r="C3" t="s">
        <v>16</v>
      </c>
      <c r="D3" s="9">
        <v>28386</v>
      </c>
      <c r="E3">
        <v>47</v>
      </c>
      <c r="F3" t="s">
        <v>21</v>
      </c>
      <c r="G3">
        <v>3</v>
      </c>
      <c r="H3" t="s">
        <v>22</v>
      </c>
      <c r="I3" t="b">
        <v>0</v>
      </c>
      <c r="K3" s="10">
        <v>0.813194444444444</v>
      </c>
      <c r="L3" s="10">
        <v>0.904861111111111</v>
      </c>
      <c r="M3">
        <v>132</v>
      </c>
      <c r="N3" t="b">
        <v>1</v>
      </c>
      <c r="O3" t="s">
        <v>23</v>
      </c>
    </row>
    <row r="4" spans="1:15">
      <c r="A4">
        <v>3</v>
      </c>
      <c r="B4" t="s">
        <v>24</v>
      </c>
      <c r="C4" t="s">
        <v>25</v>
      </c>
      <c r="D4" s="9">
        <v>30405</v>
      </c>
      <c r="E4">
        <v>41</v>
      </c>
      <c r="F4" t="s">
        <v>17</v>
      </c>
      <c r="G4">
        <v>1</v>
      </c>
      <c r="H4" t="s">
        <v>26</v>
      </c>
      <c r="I4" t="b">
        <v>1</v>
      </c>
      <c r="J4" t="s">
        <v>27</v>
      </c>
      <c r="K4" s="10">
        <v>0.353472222222222</v>
      </c>
      <c r="L4" s="10">
        <v>0.413194444444444</v>
      </c>
      <c r="M4">
        <v>86</v>
      </c>
      <c r="N4" t="b">
        <v>1</v>
      </c>
      <c r="O4" t="s">
        <v>28</v>
      </c>
    </row>
    <row r="5" spans="1:15">
      <c r="A5">
        <v>4</v>
      </c>
      <c r="B5" t="s">
        <v>29</v>
      </c>
      <c r="C5" t="s">
        <v>25</v>
      </c>
      <c r="D5" s="9">
        <v>29323</v>
      </c>
      <c r="E5">
        <v>44</v>
      </c>
      <c r="F5" t="s">
        <v>17</v>
      </c>
      <c r="G5">
        <v>3</v>
      </c>
      <c r="H5" t="s">
        <v>30</v>
      </c>
      <c r="I5" t="b">
        <v>0</v>
      </c>
      <c r="K5" s="10">
        <v>0.4125</v>
      </c>
      <c r="L5" s="10">
        <v>0.510416666666667</v>
      </c>
      <c r="M5">
        <v>141</v>
      </c>
      <c r="N5" t="b">
        <v>1</v>
      </c>
      <c r="O5" t="s">
        <v>28</v>
      </c>
    </row>
    <row r="6" spans="1:15">
      <c r="A6">
        <v>5</v>
      </c>
      <c r="B6" t="s">
        <v>31</v>
      </c>
      <c r="C6" t="s">
        <v>25</v>
      </c>
      <c r="D6" s="9">
        <v>29474</v>
      </c>
      <c r="E6">
        <v>44</v>
      </c>
      <c r="F6" t="s">
        <v>21</v>
      </c>
      <c r="G6">
        <v>2</v>
      </c>
      <c r="H6" t="s">
        <v>32</v>
      </c>
      <c r="I6" t="b">
        <v>1</v>
      </c>
      <c r="J6" t="s">
        <v>33</v>
      </c>
      <c r="K6" s="10">
        <v>0.353472222222222</v>
      </c>
      <c r="L6" s="10">
        <v>0.44375</v>
      </c>
      <c r="M6">
        <v>130</v>
      </c>
      <c r="N6" t="b">
        <v>1</v>
      </c>
      <c r="O6" t="s">
        <v>28</v>
      </c>
    </row>
    <row r="7" spans="1:15">
      <c r="A7">
        <v>6</v>
      </c>
      <c r="B7" t="s">
        <v>34</v>
      </c>
      <c r="C7" t="s">
        <v>16</v>
      </c>
      <c r="D7" s="9">
        <v>39993</v>
      </c>
      <c r="E7">
        <v>15</v>
      </c>
      <c r="F7" t="s">
        <v>21</v>
      </c>
      <c r="G7">
        <v>1</v>
      </c>
      <c r="H7" t="s">
        <v>35</v>
      </c>
      <c r="I7" t="b">
        <v>0</v>
      </c>
      <c r="K7" s="10">
        <v>0.721527777777778</v>
      </c>
      <c r="L7" s="10">
        <v>0.763194444444444</v>
      </c>
      <c r="M7">
        <v>60</v>
      </c>
      <c r="N7" t="b">
        <v>0</v>
      </c>
    </row>
    <row r="8" spans="1:15">
      <c r="A8">
        <v>7</v>
      </c>
      <c r="B8" t="s">
        <v>36</v>
      </c>
      <c r="C8" t="s">
        <v>25</v>
      </c>
      <c r="D8" s="9">
        <v>34553</v>
      </c>
      <c r="E8">
        <v>30</v>
      </c>
      <c r="F8" t="s">
        <v>17</v>
      </c>
      <c r="G8">
        <v>3</v>
      </c>
      <c r="H8" t="s">
        <v>37</v>
      </c>
      <c r="I8" t="b">
        <v>1</v>
      </c>
      <c r="J8" t="s">
        <v>38</v>
      </c>
      <c r="K8" s="10">
        <v>0.823611111111111</v>
      </c>
      <c r="L8" s="10">
        <v>0.945138888888889</v>
      </c>
      <c r="M8">
        <v>175</v>
      </c>
      <c r="N8" t="b">
        <v>0</v>
      </c>
    </row>
    <row r="9" spans="1:15">
      <c r="A9">
        <v>8</v>
      </c>
      <c r="B9" t="s">
        <v>39</v>
      </c>
      <c r="C9" t="s">
        <v>25</v>
      </c>
      <c r="D9" s="9">
        <v>37938</v>
      </c>
      <c r="E9">
        <v>20</v>
      </c>
      <c r="F9" t="s">
        <v>21</v>
      </c>
      <c r="G9">
        <v>2</v>
      </c>
      <c r="H9" t="s">
        <v>40</v>
      </c>
      <c r="I9" t="b">
        <v>1</v>
      </c>
      <c r="J9" t="s">
        <v>41</v>
      </c>
      <c r="K9" s="10">
        <v>0.739583333333333</v>
      </c>
      <c r="L9" s="10">
        <v>0.786805555555556</v>
      </c>
      <c r="M9">
        <v>68</v>
      </c>
      <c r="N9" t="b">
        <v>0</v>
      </c>
    </row>
    <row r="10" spans="1:15">
      <c r="A10">
        <v>9</v>
      </c>
      <c r="B10" t="s">
        <v>42</v>
      </c>
      <c r="C10" t="s">
        <v>25</v>
      </c>
      <c r="D10" s="9">
        <v>28699</v>
      </c>
      <c r="E10">
        <v>46</v>
      </c>
      <c r="F10" t="s">
        <v>17</v>
      </c>
      <c r="G10">
        <v>3</v>
      </c>
      <c r="H10" t="s">
        <v>43</v>
      </c>
      <c r="I10" t="b">
        <v>1</v>
      </c>
      <c r="J10" t="s">
        <v>44</v>
      </c>
      <c r="K10" s="10">
        <v>0.40625</v>
      </c>
      <c r="L10" s="10">
        <v>0.522916666666667</v>
      </c>
      <c r="M10">
        <v>168</v>
      </c>
      <c r="N10" t="b">
        <v>1</v>
      </c>
      <c r="O10" t="s">
        <v>28</v>
      </c>
    </row>
    <row r="11" spans="1:15">
      <c r="A11">
        <v>10</v>
      </c>
      <c r="B11" t="s">
        <v>45</v>
      </c>
      <c r="C11" t="s">
        <v>16</v>
      </c>
      <c r="D11" s="9">
        <v>36652</v>
      </c>
      <c r="E11">
        <v>24</v>
      </c>
      <c r="F11" t="s">
        <v>17</v>
      </c>
      <c r="G11">
        <v>1</v>
      </c>
      <c r="H11" t="s">
        <v>46</v>
      </c>
      <c r="I11" t="b">
        <v>0</v>
      </c>
      <c r="K11" s="10">
        <v>0.545138888888889</v>
      </c>
      <c r="L11" s="10">
        <v>0.577083333333333</v>
      </c>
      <c r="M11">
        <v>46</v>
      </c>
      <c r="N11" t="b">
        <v>1</v>
      </c>
      <c r="O11" t="s">
        <v>47</v>
      </c>
    </row>
    <row r="12" spans="1:15">
      <c r="A12">
        <v>11</v>
      </c>
      <c r="B12" t="s">
        <v>48</v>
      </c>
      <c r="C12" t="s">
        <v>25</v>
      </c>
      <c r="D12" s="9">
        <v>30508</v>
      </c>
      <c r="E12">
        <v>41</v>
      </c>
      <c r="F12" t="s">
        <v>21</v>
      </c>
      <c r="G12">
        <v>1</v>
      </c>
      <c r="H12" t="s">
        <v>49</v>
      </c>
      <c r="I12" t="b">
        <v>0</v>
      </c>
      <c r="K12" s="10">
        <v>0.576388888888889</v>
      </c>
      <c r="L12" s="10">
        <v>0.697916666666667</v>
      </c>
      <c r="M12">
        <v>175</v>
      </c>
      <c r="N12" t="b">
        <v>1</v>
      </c>
      <c r="O12" t="s">
        <v>50</v>
      </c>
    </row>
    <row r="13" spans="1:15">
      <c r="A13">
        <v>12</v>
      </c>
      <c r="B13" t="s">
        <v>51</v>
      </c>
      <c r="C13" t="s">
        <v>25</v>
      </c>
      <c r="D13" s="9">
        <v>35692</v>
      </c>
      <c r="E13">
        <v>27</v>
      </c>
      <c r="F13" t="s">
        <v>17</v>
      </c>
      <c r="G13">
        <v>3</v>
      </c>
      <c r="H13" t="s">
        <v>52</v>
      </c>
      <c r="I13" t="b">
        <v>1</v>
      </c>
      <c r="J13" t="s">
        <v>53</v>
      </c>
      <c r="K13" s="10">
        <v>0.425</v>
      </c>
      <c r="L13" s="10">
        <v>0.488194444444444</v>
      </c>
      <c r="M13">
        <v>91</v>
      </c>
      <c r="N13" t="b">
        <v>1</v>
      </c>
      <c r="O13" t="s">
        <v>28</v>
      </c>
    </row>
    <row r="14" spans="1:15">
      <c r="A14">
        <v>13</v>
      </c>
      <c r="B14" t="s">
        <v>54</v>
      </c>
      <c r="C14" t="s">
        <v>16</v>
      </c>
      <c r="D14" s="9">
        <v>34446</v>
      </c>
      <c r="E14">
        <v>30</v>
      </c>
      <c r="F14" t="s">
        <v>21</v>
      </c>
      <c r="G14">
        <v>2</v>
      </c>
      <c r="H14" t="s">
        <v>55</v>
      </c>
      <c r="I14" t="b">
        <v>1</v>
      </c>
      <c r="J14" t="s">
        <v>27</v>
      </c>
      <c r="K14" s="10">
        <v>0.711111111111111</v>
      </c>
      <c r="L14" s="10">
        <v>0.783333333333333</v>
      </c>
      <c r="M14">
        <v>104</v>
      </c>
      <c r="N14" t="b">
        <v>0</v>
      </c>
    </row>
    <row r="15" spans="1:15">
      <c r="A15">
        <v>14</v>
      </c>
      <c r="B15" t="s">
        <v>56</v>
      </c>
      <c r="C15" t="s">
        <v>16</v>
      </c>
      <c r="D15" s="9">
        <v>32588</v>
      </c>
      <c r="E15">
        <v>35</v>
      </c>
      <c r="F15" t="s">
        <v>17</v>
      </c>
      <c r="G15">
        <v>3</v>
      </c>
      <c r="H15" t="s">
        <v>57</v>
      </c>
      <c r="I15" t="b">
        <v>0</v>
      </c>
      <c r="K15" s="10">
        <v>0.826388888888889</v>
      </c>
      <c r="L15" s="10">
        <v>0.909722222222222</v>
      </c>
      <c r="M15">
        <v>120</v>
      </c>
      <c r="N15" t="b">
        <v>0</v>
      </c>
    </row>
    <row r="16" spans="1:15">
      <c r="A16">
        <v>15</v>
      </c>
      <c r="B16" t="s">
        <v>58</v>
      </c>
      <c r="C16" t="s">
        <v>16</v>
      </c>
      <c r="D16" s="9">
        <v>32782</v>
      </c>
      <c r="E16">
        <v>35</v>
      </c>
      <c r="F16" t="s">
        <v>17</v>
      </c>
      <c r="G16">
        <v>1</v>
      </c>
      <c r="H16" t="s">
        <v>59</v>
      </c>
      <c r="I16" t="b">
        <v>0</v>
      </c>
      <c r="K16" s="10">
        <v>0.841666666666667</v>
      </c>
      <c r="L16" s="10">
        <v>0.904166666666667</v>
      </c>
      <c r="M16">
        <v>90</v>
      </c>
      <c r="N16" t="b">
        <v>1</v>
      </c>
      <c r="O16" t="s">
        <v>28</v>
      </c>
    </row>
    <row r="17" spans="1:15">
      <c r="A17">
        <v>16</v>
      </c>
      <c r="B17" t="s">
        <v>60</v>
      </c>
      <c r="C17" t="s">
        <v>16</v>
      </c>
      <c r="D17" s="9">
        <v>32131</v>
      </c>
      <c r="E17">
        <v>36</v>
      </c>
      <c r="F17" t="s">
        <v>21</v>
      </c>
      <c r="G17">
        <v>4</v>
      </c>
      <c r="H17" t="s">
        <v>61</v>
      </c>
      <c r="I17" t="b">
        <v>1</v>
      </c>
      <c r="J17" t="s">
        <v>62</v>
      </c>
      <c r="K17" s="10">
        <v>0.727777777777778</v>
      </c>
      <c r="L17" s="10">
        <v>0.825694444444444</v>
      </c>
      <c r="M17">
        <v>141</v>
      </c>
      <c r="N17" t="b">
        <v>0</v>
      </c>
    </row>
    <row r="18" spans="1:15">
      <c r="A18">
        <v>17</v>
      </c>
      <c r="B18" t="s">
        <v>63</v>
      </c>
      <c r="C18" t="s">
        <v>25</v>
      </c>
      <c r="D18" s="9">
        <v>31763</v>
      </c>
      <c r="E18">
        <v>37</v>
      </c>
      <c r="F18" t="s">
        <v>17</v>
      </c>
      <c r="G18">
        <v>3</v>
      </c>
      <c r="H18" t="s">
        <v>37</v>
      </c>
      <c r="I18" t="b">
        <v>0</v>
      </c>
      <c r="K18" s="10">
        <v>0.392361111111111</v>
      </c>
      <c r="L18" s="10">
        <v>0.448611111111111</v>
      </c>
      <c r="M18">
        <v>81</v>
      </c>
      <c r="N18" t="b">
        <v>1</v>
      </c>
      <c r="O18" t="s">
        <v>47</v>
      </c>
    </row>
    <row r="19" spans="1:15">
      <c r="A19">
        <v>18</v>
      </c>
      <c r="B19" t="s">
        <v>64</v>
      </c>
      <c r="C19" t="s">
        <v>16</v>
      </c>
      <c r="D19" s="9">
        <v>40663</v>
      </c>
      <c r="E19">
        <v>13</v>
      </c>
      <c r="F19" t="s">
        <v>21</v>
      </c>
      <c r="G19">
        <v>3</v>
      </c>
      <c r="H19" t="s">
        <v>65</v>
      </c>
      <c r="I19" t="b">
        <v>0</v>
      </c>
      <c r="K19" s="10">
        <v>0.704166666666667</v>
      </c>
      <c r="L19" s="10">
        <v>0.791666666666667</v>
      </c>
      <c r="M19">
        <v>126</v>
      </c>
      <c r="N19" t="b">
        <v>1</v>
      </c>
      <c r="O19" t="s">
        <v>28</v>
      </c>
    </row>
    <row r="20" spans="1:15">
      <c r="A20">
        <v>19</v>
      </c>
      <c r="B20" t="s">
        <v>66</v>
      </c>
      <c r="C20" t="s">
        <v>16</v>
      </c>
      <c r="D20" s="9">
        <v>31561</v>
      </c>
      <c r="E20">
        <v>38</v>
      </c>
      <c r="F20" t="s">
        <v>21</v>
      </c>
      <c r="G20">
        <v>1</v>
      </c>
      <c r="H20" t="s">
        <v>35</v>
      </c>
      <c r="I20" t="b">
        <v>1</v>
      </c>
      <c r="J20" t="s">
        <v>67</v>
      </c>
      <c r="K20" s="10">
        <v>0.417361111111111</v>
      </c>
      <c r="L20" s="10">
        <v>0.482638888888889</v>
      </c>
      <c r="M20">
        <v>94</v>
      </c>
      <c r="N20" t="b">
        <v>1</v>
      </c>
      <c r="O20" t="s">
        <v>50</v>
      </c>
    </row>
    <row r="21" spans="1:15">
      <c r="A21">
        <v>20</v>
      </c>
      <c r="B21" t="s">
        <v>68</v>
      </c>
      <c r="C21" t="s">
        <v>25</v>
      </c>
      <c r="D21" s="9">
        <v>33494</v>
      </c>
      <c r="E21">
        <v>33</v>
      </c>
      <c r="F21" t="s">
        <v>17</v>
      </c>
      <c r="G21">
        <v>2</v>
      </c>
      <c r="H21" t="s">
        <v>69</v>
      </c>
      <c r="I21" t="b">
        <v>1</v>
      </c>
      <c r="J21" t="s">
        <v>70</v>
      </c>
      <c r="K21" s="10">
        <v>0.579861111111111</v>
      </c>
      <c r="L21" s="10">
        <v>0.672916666666667</v>
      </c>
      <c r="M21">
        <v>134</v>
      </c>
      <c r="N21" t="b">
        <v>0</v>
      </c>
    </row>
    <row r="22" spans="1:15">
      <c r="A22">
        <v>21</v>
      </c>
      <c r="B22" t="s">
        <v>71</v>
      </c>
      <c r="C22" t="s">
        <v>16</v>
      </c>
      <c r="D22" s="9">
        <v>35795</v>
      </c>
      <c r="E22">
        <v>26</v>
      </c>
      <c r="F22" t="s">
        <v>17</v>
      </c>
      <c r="G22">
        <v>2</v>
      </c>
      <c r="H22" t="s">
        <v>72</v>
      </c>
      <c r="I22" t="b">
        <v>0</v>
      </c>
      <c r="K22" s="10">
        <v>0.346527777777778</v>
      </c>
      <c r="L22" s="10">
        <v>0.375694444444444</v>
      </c>
      <c r="M22">
        <v>42</v>
      </c>
      <c r="N22" t="b">
        <v>1</v>
      </c>
      <c r="O22" t="s">
        <v>50</v>
      </c>
    </row>
    <row r="23" spans="1:15">
      <c r="A23">
        <v>22</v>
      </c>
      <c r="B23" t="s">
        <v>73</v>
      </c>
      <c r="C23" t="s">
        <v>25</v>
      </c>
      <c r="D23" s="9">
        <v>35732</v>
      </c>
      <c r="E23">
        <v>26</v>
      </c>
      <c r="F23" t="s">
        <v>17</v>
      </c>
      <c r="G23">
        <v>3</v>
      </c>
      <c r="H23" t="s">
        <v>74</v>
      </c>
      <c r="I23" t="b">
        <v>1</v>
      </c>
      <c r="J23" t="s">
        <v>75</v>
      </c>
      <c r="K23" s="10">
        <v>0.629166666666667</v>
      </c>
      <c r="L23" s="10">
        <v>0.701388888888889</v>
      </c>
      <c r="M23">
        <v>104</v>
      </c>
      <c r="N23" t="b">
        <v>0</v>
      </c>
    </row>
    <row r="24" spans="1:15">
      <c r="A24">
        <v>23</v>
      </c>
      <c r="B24" t="s">
        <v>76</v>
      </c>
      <c r="C24" t="s">
        <v>16</v>
      </c>
      <c r="D24" s="9">
        <v>40473</v>
      </c>
      <c r="E24">
        <v>13</v>
      </c>
      <c r="F24" t="s">
        <v>21</v>
      </c>
      <c r="G24">
        <v>2</v>
      </c>
      <c r="H24" t="s">
        <v>32</v>
      </c>
      <c r="I24" t="b">
        <v>1</v>
      </c>
      <c r="J24" t="s">
        <v>77</v>
      </c>
      <c r="K24" s="10">
        <v>0.872222222222222</v>
      </c>
      <c r="L24" s="10">
        <v>0.948611111111111</v>
      </c>
      <c r="M24">
        <v>110</v>
      </c>
      <c r="N24" t="b">
        <v>1</v>
      </c>
      <c r="O24" t="s">
        <v>28</v>
      </c>
    </row>
    <row r="25" spans="1:15">
      <c r="A25">
        <v>24</v>
      </c>
      <c r="B25" t="s">
        <v>78</v>
      </c>
      <c r="C25" t="s">
        <v>25</v>
      </c>
      <c r="D25" s="9">
        <v>40202</v>
      </c>
      <c r="E25">
        <v>14</v>
      </c>
      <c r="F25" t="s">
        <v>17</v>
      </c>
      <c r="G25">
        <v>3</v>
      </c>
      <c r="H25" t="s">
        <v>79</v>
      </c>
      <c r="I25" t="b">
        <v>0</v>
      </c>
      <c r="K25" s="10">
        <v>0.606944444444444</v>
      </c>
      <c r="L25" s="10">
        <v>0.663194444444444</v>
      </c>
      <c r="M25">
        <v>81</v>
      </c>
      <c r="N25" t="b">
        <v>1</v>
      </c>
      <c r="O25" t="s">
        <v>47</v>
      </c>
    </row>
    <row r="26" spans="1:15">
      <c r="A26">
        <v>25</v>
      </c>
      <c r="B26" t="s">
        <v>80</v>
      </c>
      <c r="C26" t="s">
        <v>16</v>
      </c>
      <c r="D26" s="9">
        <v>39725</v>
      </c>
      <c r="E26">
        <v>15</v>
      </c>
      <c r="F26" t="s">
        <v>17</v>
      </c>
      <c r="G26">
        <v>1</v>
      </c>
      <c r="H26" t="s">
        <v>81</v>
      </c>
      <c r="I26" t="b">
        <v>0</v>
      </c>
      <c r="K26" s="10">
        <v>0.3625</v>
      </c>
      <c r="L26" s="10">
        <v>0.4625</v>
      </c>
      <c r="M26">
        <v>144</v>
      </c>
      <c r="N26" t="b">
        <v>0</v>
      </c>
    </row>
    <row r="27" spans="1:15">
      <c r="A27">
        <v>26</v>
      </c>
      <c r="B27" t="s">
        <v>82</v>
      </c>
      <c r="C27" t="s">
        <v>25</v>
      </c>
      <c r="D27" s="9">
        <v>32676</v>
      </c>
      <c r="E27">
        <v>35</v>
      </c>
      <c r="F27" t="s">
        <v>21</v>
      </c>
      <c r="G27">
        <v>1</v>
      </c>
      <c r="H27" t="s">
        <v>81</v>
      </c>
      <c r="I27" t="b">
        <v>1</v>
      </c>
      <c r="J27" t="s">
        <v>83</v>
      </c>
      <c r="K27" s="10">
        <v>0.55</v>
      </c>
      <c r="L27" s="10">
        <v>0.634027777777778</v>
      </c>
      <c r="M27">
        <v>121</v>
      </c>
      <c r="N27" t="b">
        <v>1</v>
      </c>
      <c r="O27" t="s">
        <v>23</v>
      </c>
    </row>
    <row r="28" spans="1:15">
      <c r="A28">
        <v>27</v>
      </c>
      <c r="B28" t="s">
        <v>84</v>
      </c>
      <c r="C28" t="s">
        <v>25</v>
      </c>
      <c r="D28" s="9">
        <v>38442</v>
      </c>
      <c r="E28">
        <v>19</v>
      </c>
      <c r="F28" t="s">
        <v>17</v>
      </c>
      <c r="G28">
        <v>3</v>
      </c>
      <c r="H28" t="s">
        <v>85</v>
      </c>
      <c r="I28" t="b">
        <v>1</v>
      </c>
      <c r="J28" t="s">
        <v>86</v>
      </c>
      <c r="K28" s="10">
        <v>0.625694444444444</v>
      </c>
      <c r="L28" s="10">
        <v>0.6625</v>
      </c>
      <c r="M28">
        <v>53</v>
      </c>
      <c r="N28" t="b">
        <v>0</v>
      </c>
    </row>
    <row r="29" spans="1:15">
      <c r="A29">
        <v>28</v>
      </c>
      <c r="B29" t="s">
        <v>87</v>
      </c>
      <c r="C29" t="s">
        <v>25</v>
      </c>
      <c r="D29" s="9">
        <v>33704</v>
      </c>
      <c r="E29">
        <v>32</v>
      </c>
      <c r="F29" t="s">
        <v>21</v>
      </c>
      <c r="G29">
        <v>5</v>
      </c>
      <c r="H29" t="s">
        <v>88</v>
      </c>
      <c r="I29" t="b">
        <v>1</v>
      </c>
      <c r="J29" t="s">
        <v>89</v>
      </c>
      <c r="K29" s="10">
        <v>0.820138888888889</v>
      </c>
      <c r="L29" s="10">
        <v>0.906944444444444</v>
      </c>
      <c r="M29">
        <v>125</v>
      </c>
      <c r="N29" t="b">
        <v>1</v>
      </c>
      <c r="O29" t="s">
        <v>23</v>
      </c>
    </row>
    <row r="30" spans="1:15">
      <c r="A30">
        <v>29</v>
      </c>
      <c r="B30" t="s">
        <v>90</v>
      </c>
      <c r="C30" t="s">
        <v>16</v>
      </c>
      <c r="D30" s="9">
        <v>35451</v>
      </c>
      <c r="E30">
        <v>27</v>
      </c>
      <c r="F30" t="s">
        <v>17</v>
      </c>
      <c r="G30">
        <v>1</v>
      </c>
      <c r="H30" t="s">
        <v>35</v>
      </c>
      <c r="I30" t="b">
        <v>0</v>
      </c>
      <c r="K30" s="10">
        <v>0.475694444444444</v>
      </c>
      <c r="L30" s="10">
        <v>0.519444444444444</v>
      </c>
      <c r="M30">
        <v>63</v>
      </c>
      <c r="N30" t="b">
        <v>0</v>
      </c>
    </row>
    <row r="31" spans="1:15">
      <c r="A31">
        <v>30</v>
      </c>
      <c r="B31" t="s">
        <v>91</v>
      </c>
      <c r="C31" t="s">
        <v>16</v>
      </c>
      <c r="D31" s="9">
        <v>37564</v>
      </c>
      <c r="E31">
        <v>21</v>
      </c>
      <c r="F31" t="s">
        <v>17</v>
      </c>
      <c r="G31">
        <v>3</v>
      </c>
      <c r="H31" t="s">
        <v>92</v>
      </c>
      <c r="I31" t="b">
        <v>1</v>
      </c>
      <c r="J31" t="s">
        <v>93</v>
      </c>
      <c r="K31" s="10">
        <v>0.84375</v>
      </c>
      <c r="L31" s="10">
        <v>0.865972222222222</v>
      </c>
      <c r="M31">
        <v>32</v>
      </c>
      <c r="N31" t="b">
        <v>0</v>
      </c>
    </row>
    <row r="32" spans="1:15">
      <c r="A32">
        <v>31</v>
      </c>
      <c r="B32" t="s">
        <v>94</v>
      </c>
      <c r="C32" t="s">
        <v>25</v>
      </c>
      <c r="D32" s="9">
        <v>32206</v>
      </c>
      <c r="E32">
        <v>36</v>
      </c>
      <c r="F32" t="s">
        <v>17</v>
      </c>
      <c r="G32">
        <v>3</v>
      </c>
      <c r="H32" t="s">
        <v>22</v>
      </c>
      <c r="I32" t="b">
        <v>0</v>
      </c>
      <c r="K32" s="10">
        <v>0.417361111111111</v>
      </c>
      <c r="L32" s="10">
        <v>0.470833333333333</v>
      </c>
      <c r="M32">
        <v>77</v>
      </c>
      <c r="N32" t="b">
        <v>1</v>
      </c>
      <c r="O32" t="s">
        <v>47</v>
      </c>
    </row>
    <row r="33" spans="1:15">
      <c r="A33">
        <v>32</v>
      </c>
      <c r="B33" t="s">
        <v>95</v>
      </c>
      <c r="C33" t="s">
        <v>25</v>
      </c>
      <c r="D33" s="9">
        <v>36587</v>
      </c>
      <c r="E33">
        <v>24</v>
      </c>
      <c r="F33" t="s">
        <v>21</v>
      </c>
      <c r="G33">
        <v>5</v>
      </c>
      <c r="H33" t="s">
        <v>96</v>
      </c>
      <c r="I33" t="b">
        <v>0</v>
      </c>
      <c r="K33" s="10">
        <v>0.870138888888889</v>
      </c>
      <c r="L33" s="10">
        <v>0.951388888888889</v>
      </c>
      <c r="M33">
        <v>117</v>
      </c>
      <c r="N33" t="b">
        <v>0</v>
      </c>
    </row>
    <row r="34" spans="1:15">
      <c r="A34">
        <v>33</v>
      </c>
      <c r="B34" t="s">
        <v>97</v>
      </c>
      <c r="C34" t="s">
        <v>16</v>
      </c>
      <c r="D34" s="9">
        <v>30008</v>
      </c>
      <c r="E34">
        <v>42</v>
      </c>
      <c r="F34" t="s">
        <v>17</v>
      </c>
      <c r="G34">
        <v>3</v>
      </c>
      <c r="H34" t="s">
        <v>98</v>
      </c>
      <c r="I34" t="b">
        <v>1</v>
      </c>
      <c r="J34" t="s">
        <v>99</v>
      </c>
      <c r="K34" s="10">
        <v>0.432638888888889</v>
      </c>
      <c r="L34" s="10">
        <v>0.470833333333333</v>
      </c>
      <c r="M34">
        <v>55</v>
      </c>
      <c r="N34" t="b">
        <v>1</v>
      </c>
      <c r="O34" t="s">
        <v>23</v>
      </c>
    </row>
    <row r="35" spans="1:15">
      <c r="A35">
        <v>34</v>
      </c>
      <c r="B35" t="s">
        <v>100</v>
      </c>
      <c r="C35" t="s">
        <v>16</v>
      </c>
      <c r="D35" s="9">
        <v>28101</v>
      </c>
      <c r="E35">
        <v>47</v>
      </c>
      <c r="F35" t="s">
        <v>17</v>
      </c>
      <c r="G35">
        <v>2</v>
      </c>
      <c r="H35" t="s">
        <v>101</v>
      </c>
      <c r="I35" t="b">
        <v>1</v>
      </c>
      <c r="J35" t="s">
        <v>102</v>
      </c>
      <c r="K35" s="10">
        <v>0.6125</v>
      </c>
      <c r="L35" s="10">
        <v>0.70625</v>
      </c>
      <c r="M35">
        <v>135</v>
      </c>
      <c r="N35" t="b">
        <v>1</v>
      </c>
      <c r="O35" t="s">
        <v>50</v>
      </c>
    </row>
    <row r="36" spans="1:15">
      <c r="A36">
        <v>35</v>
      </c>
      <c r="B36" t="s">
        <v>103</v>
      </c>
      <c r="C36" t="s">
        <v>25</v>
      </c>
      <c r="D36" s="9">
        <v>38052</v>
      </c>
      <c r="E36">
        <v>20</v>
      </c>
      <c r="F36" t="s">
        <v>17</v>
      </c>
      <c r="G36">
        <v>5</v>
      </c>
      <c r="H36" t="s">
        <v>104</v>
      </c>
      <c r="I36" t="b">
        <v>0</v>
      </c>
      <c r="K36" s="10">
        <v>0.760416666666667</v>
      </c>
      <c r="L36" s="10">
        <v>0.834722222222222</v>
      </c>
      <c r="M36">
        <v>107</v>
      </c>
      <c r="N36" t="b">
        <v>1</v>
      </c>
      <c r="O36" t="s">
        <v>28</v>
      </c>
    </row>
    <row r="37" spans="1:15">
      <c r="A37">
        <v>36</v>
      </c>
      <c r="B37" t="s">
        <v>105</v>
      </c>
      <c r="C37" t="s">
        <v>25</v>
      </c>
      <c r="D37" s="9">
        <v>32941</v>
      </c>
      <c r="E37">
        <v>34</v>
      </c>
      <c r="F37" t="s">
        <v>21</v>
      </c>
      <c r="G37">
        <v>3</v>
      </c>
      <c r="H37" t="s">
        <v>106</v>
      </c>
      <c r="I37" t="b">
        <v>1</v>
      </c>
      <c r="J37" t="s">
        <v>107</v>
      </c>
      <c r="K37" s="10">
        <v>0.56875</v>
      </c>
      <c r="L37" s="10">
        <v>0.678472222222222</v>
      </c>
      <c r="M37">
        <v>158</v>
      </c>
      <c r="N37" t="b">
        <v>0</v>
      </c>
    </row>
    <row r="38" spans="1:15">
      <c r="A38">
        <v>37</v>
      </c>
      <c r="B38" t="s">
        <v>108</v>
      </c>
      <c r="C38" t="s">
        <v>16</v>
      </c>
      <c r="D38" s="9">
        <v>29663</v>
      </c>
      <c r="E38">
        <v>43</v>
      </c>
      <c r="F38" t="s">
        <v>21</v>
      </c>
      <c r="G38">
        <v>5</v>
      </c>
      <c r="H38" t="s">
        <v>109</v>
      </c>
      <c r="I38" t="b">
        <v>0</v>
      </c>
      <c r="K38" s="10">
        <v>0.376388888888889</v>
      </c>
      <c r="L38" s="10">
        <v>0.438194444444444</v>
      </c>
      <c r="M38">
        <v>89</v>
      </c>
      <c r="N38" t="b">
        <v>0</v>
      </c>
    </row>
    <row r="39" spans="1:15">
      <c r="A39">
        <v>38</v>
      </c>
      <c r="B39" t="s">
        <v>110</v>
      </c>
      <c r="C39" t="s">
        <v>16</v>
      </c>
      <c r="D39" s="9">
        <v>30621</v>
      </c>
      <c r="E39">
        <v>40</v>
      </c>
      <c r="F39" t="s">
        <v>17</v>
      </c>
      <c r="G39">
        <v>2</v>
      </c>
      <c r="H39" t="s">
        <v>111</v>
      </c>
      <c r="I39" t="b">
        <v>0</v>
      </c>
      <c r="K39" s="10">
        <v>0.360416666666667</v>
      </c>
      <c r="L39" s="10">
        <v>0.39375</v>
      </c>
      <c r="M39">
        <v>48</v>
      </c>
      <c r="N39" t="b">
        <v>0</v>
      </c>
    </row>
    <row r="40" spans="1:15">
      <c r="A40">
        <v>39</v>
      </c>
      <c r="B40" t="s">
        <v>112</v>
      </c>
      <c r="C40" t="s">
        <v>25</v>
      </c>
      <c r="D40" s="9">
        <v>29407</v>
      </c>
      <c r="E40">
        <v>44</v>
      </c>
      <c r="F40" t="s">
        <v>17</v>
      </c>
      <c r="G40">
        <v>1</v>
      </c>
      <c r="H40" t="s">
        <v>81</v>
      </c>
      <c r="I40" t="b">
        <v>0</v>
      </c>
      <c r="K40" s="10">
        <v>0.863194444444444</v>
      </c>
      <c r="L40" s="10">
        <v>0.90625</v>
      </c>
      <c r="M40">
        <v>62</v>
      </c>
      <c r="N40" t="b">
        <v>0</v>
      </c>
    </row>
    <row r="41" spans="1:15">
      <c r="A41">
        <v>40</v>
      </c>
      <c r="B41" t="s">
        <v>113</v>
      </c>
      <c r="C41" t="s">
        <v>16</v>
      </c>
      <c r="D41" s="9">
        <v>38736</v>
      </c>
      <c r="E41">
        <v>18</v>
      </c>
      <c r="F41" t="s">
        <v>17</v>
      </c>
      <c r="G41">
        <v>2</v>
      </c>
      <c r="H41" t="s">
        <v>72</v>
      </c>
      <c r="I41" t="b">
        <v>1</v>
      </c>
      <c r="J41" t="s">
        <v>114</v>
      </c>
      <c r="K41" s="10">
        <v>0.434722222222222</v>
      </c>
      <c r="L41" s="10">
        <v>0.498611111111111</v>
      </c>
      <c r="M41">
        <v>92</v>
      </c>
      <c r="N41" t="b">
        <v>0</v>
      </c>
    </row>
    <row r="42" spans="1:15">
      <c r="A42">
        <v>41</v>
      </c>
      <c r="B42" t="s">
        <v>115</v>
      </c>
      <c r="C42" t="s">
        <v>16</v>
      </c>
      <c r="D42" s="9">
        <v>39610</v>
      </c>
      <c r="E42">
        <v>16</v>
      </c>
      <c r="F42" t="s">
        <v>17</v>
      </c>
      <c r="G42">
        <v>3</v>
      </c>
      <c r="H42" t="s">
        <v>116</v>
      </c>
      <c r="I42" t="b">
        <v>0</v>
      </c>
      <c r="K42" s="10">
        <v>0.669444444444444</v>
      </c>
      <c r="L42" s="10">
        <v>0.721527777777778</v>
      </c>
      <c r="M42">
        <v>75</v>
      </c>
      <c r="N42" t="b">
        <v>1</v>
      </c>
      <c r="O42" t="s">
        <v>50</v>
      </c>
    </row>
    <row r="43" spans="1:15">
      <c r="A43">
        <v>42</v>
      </c>
      <c r="B43" t="s">
        <v>117</v>
      </c>
      <c r="C43" t="s">
        <v>16</v>
      </c>
      <c r="D43" s="9">
        <v>32697</v>
      </c>
      <c r="E43">
        <v>35</v>
      </c>
      <c r="F43" t="s">
        <v>21</v>
      </c>
      <c r="G43">
        <v>1</v>
      </c>
      <c r="H43" t="s">
        <v>59</v>
      </c>
      <c r="I43" t="b">
        <v>0</v>
      </c>
      <c r="K43" s="10">
        <v>0.401388888888889</v>
      </c>
      <c r="L43" s="10">
        <v>0.500694444444444</v>
      </c>
      <c r="M43">
        <v>143</v>
      </c>
      <c r="N43" t="b">
        <v>0</v>
      </c>
    </row>
    <row r="44" spans="1:15">
      <c r="A44">
        <v>43</v>
      </c>
      <c r="B44" t="s">
        <v>118</v>
      </c>
      <c r="C44" t="s">
        <v>16</v>
      </c>
      <c r="D44" s="9">
        <v>34876</v>
      </c>
      <c r="E44">
        <v>29</v>
      </c>
      <c r="F44" t="s">
        <v>17</v>
      </c>
      <c r="G44">
        <v>1</v>
      </c>
      <c r="H44" t="s">
        <v>59</v>
      </c>
      <c r="I44" t="b">
        <v>1</v>
      </c>
      <c r="J44" t="s">
        <v>83</v>
      </c>
      <c r="K44" s="10">
        <v>0.434027777777778</v>
      </c>
      <c r="L44" s="10">
        <v>0.463888888888889</v>
      </c>
      <c r="M44">
        <v>43</v>
      </c>
      <c r="N44" t="b">
        <v>1</v>
      </c>
      <c r="O44" t="s">
        <v>23</v>
      </c>
    </row>
    <row r="45" spans="1:15">
      <c r="A45">
        <v>44</v>
      </c>
      <c r="B45" t="s">
        <v>119</v>
      </c>
      <c r="C45" t="s">
        <v>16</v>
      </c>
      <c r="D45" s="9">
        <v>35160</v>
      </c>
      <c r="E45">
        <v>28</v>
      </c>
      <c r="F45" t="s">
        <v>21</v>
      </c>
      <c r="G45">
        <v>1</v>
      </c>
      <c r="H45" t="s">
        <v>26</v>
      </c>
      <c r="I45" t="b">
        <v>0</v>
      </c>
      <c r="K45" s="10">
        <v>0.492361111111111</v>
      </c>
      <c r="L45" s="10">
        <v>0.514583333333333</v>
      </c>
      <c r="M45">
        <v>32</v>
      </c>
      <c r="N45" t="b">
        <v>1</v>
      </c>
      <c r="O45" t="s">
        <v>50</v>
      </c>
    </row>
    <row r="46" spans="1:15">
      <c r="A46">
        <v>45</v>
      </c>
      <c r="B46" t="s">
        <v>120</v>
      </c>
      <c r="C46" t="s">
        <v>25</v>
      </c>
      <c r="D46" s="9">
        <v>27778</v>
      </c>
      <c r="E46">
        <v>48</v>
      </c>
      <c r="F46" t="s">
        <v>17</v>
      </c>
      <c r="G46">
        <v>2</v>
      </c>
      <c r="H46" t="s">
        <v>121</v>
      </c>
      <c r="I46" t="b">
        <v>0</v>
      </c>
      <c r="K46" s="10">
        <v>0.414583333333333</v>
      </c>
      <c r="L46" s="10">
        <v>0.465972222222222</v>
      </c>
      <c r="M46">
        <v>74</v>
      </c>
      <c r="N46" t="b">
        <v>1</v>
      </c>
      <c r="O46" t="s">
        <v>50</v>
      </c>
    </row>
    <row r="47" spans="1:15">
      <c r="A47">
        <v>46</v>
      </c>
      <c r="B47" t="s">
        <v>122</v>
      </c>
      <c r="C47" t="s">
        <v>16</v>
      </c>
      <c r="D47" s="9">
        <v>29728</v>
      </c>
      <c r="E47">
        <v>43</v>
      </c>
      <c r="F47" t="s">
        <v>21</v>
      </c>
      <c r="G47">
        <v>4</v>
      </c>
      <c r="H47" t="s">
        <v>123</v>
      </c>
      <c r="I47" t="b">
        <v>1</v>
      </c>
      <c r="J47" t="s">
        <v>124</v>
      </c>
      <c r="K47" s="10">
        <v>0.778472222222222</v>
      </c>
      <c r="L47" s="10">
        <v>0.826388888888889</v>
      </c>
      <c r="M47">
        <v>69</v>
      </c>
      <c r="N47" t="b">
        <v>1</v>
      </c>
      <c r="O47" t="s">
        <v>50</v>
      </c>
    </row>
    <row r="48" spans="1:15">
      <c r="A48">
        <v>47</v>
      </c>
      <c r="B48" t="s">
        <v>125</v>
      </c>
      <c r="C48" t="s">
        <v>25</v>
      </c>
      <c r="D48" s="9">
        <v>32571</v>
      </c>
      <c r="E48">
        <v>35</v>
      </c>
      <c r="F48" t="s">
        <v>21</v>
      </c>
      <c r="G48">
        <v>3</v>
      </c>
      <c r="H48" t="s">
        <v>74</v>
      </c>
      <c r="I48" t="b">
        <v>0</v>
      </c>
      <c r="K48" s="10">
        <v>0.626388888888889</v>
      </c>
      <c r="L48" s="10">
        <v>0.668055555555556</v>
      </c>
      <c r="M48">
        <v>60</v>
      </c>
      <c r="N48" t="b">
        <v>0</v>
      </c>
    </row>
    <row r="49" spans="1:15">
      <c r="A49">
        <v>48</v>
      </c>
      <c r="B49" t="s">
        <v>126</v>
      </c>
      <c r="C49" t="s">
        <v>25</v>
      </c>
      <c r="D49" s="9">
        <v>35749</v>
      </c>
      <c r="E49">
        <v>26</v>
      </c>
      <c r="F49" t="s">
        <v>17</v>
      </c>
      <c r="G49">
        <v>5</v>
      </c>
      <c r="H49" t="s">
        <v>127</v>
      </c>
      <c r="I49" t="b">
        <v>1</v>
      </c>
      <c r="J49" t="s">
        <v>128</v>
      </c>
      <c r="K49" s="10">
        <v>0.686805555555556</v>
      </c>
      <c r="L49" s="10">
        <v>0.719444444444444</v>
      </c>
      <c r="M49">
        <v>47</v>
      </c>
      <c r="N49" t="b">
        <v>1</v>
      </c>
      <c r="O49" t="s">
        <v>47</v>
      </c>
    </row>
    <row r="50" spans="1:15">
      <c r="A50">
        <v>49</v>
      </c>
      <c r="B50" t="s">
        <v>129</v>
      </c>
      <c r="C50" t="s">
        <v>16</v>
      </c>
      <c r="D50" s="9">
        <v>27690</v>
      </c>
      <c r="E50">
        <v>48</v>
      </c>
      <c r="F50" t="s">
        <v>17</v>
      </c>
      <c r="G50">
        <v>3</v>
      </c>
      <c r="H50" t="s">
        <v>130</v>
      </c>
      <c r="I50" t="b">
        <v>1</v>
      </c>
      <c r="J50" t="s">
        <v>131</v>
      </c>
      <c r="K50" s="10">
        <v>0.497222222222222</v>
      </c>
      <c r="L50" s="10">
        <v>0.577777777777778</v>
      </c>
      <c r="M50">
        <v>116</v>
      </c>
      <c r="N50" t="b">
        <v>1</v>
      </c>
      <c r="O50" t="s">
        <v>23</v>
      </c>
    </row>
    <row r="51" spans="1:15">
      <c r="A51">
        <v>50</v>
      </c>
      <c r="B51" t="s">
        <v>132</v>
      </c>
      <c r="C51" t="s">
        <v>16</v>
      </c>
      <c r="D51" s="9">
        <v>29218</v>
      </c>
      <c r="E51">
        <v>44</v>
      </c>
      <c r="F51" t="s">
        <v>17</v>
      </c>
      <c r="G51">
        <v>2</v>
      </c>
      <c r="H51" t="s">
        <v>133</v>
      </c>
      <c r="I51" t="b">
        <v>1</v>
      </c>
      <c r="J51" t="s">
        <v>134</v>
      </c>
      <c r="K51" s="10">
        <v>0.370833333333333</v>
      </c>
      <c r="L51" s="10">
        <v>0.464583333333333</v>
      </c>
      <c r="M51">
        <v>135</v>
      </c>
      <c r="N51" t="b">
        <v>0</v>
      </c>
    </row>
    <row r="52" spans="1:15">
      <c r="A52">
        <v>51</v>
      </c>
      <c r="B52" t="s">
        <v>135</v>
      </c>
      <c r="C52" t="s">
        <v>25</v>
      </c>
      <c r="D52" s="9">
        <v>29053</v>
      </c>
      <c r="E52">
        <v>45</v>
      </c>
      <c r="F52" t="s">
        <v>21</v>
      </c>
      <c r="G52">
        <v>3</v>
      </c>
      <c r="H52" t="s">
        <v>136</v>
      </c>
      <c r="I52" t="b">
        <v>0</v>
      </c>
      <c r="K52" s="10">
        <v>0.404861111111111</v>
      </c>
      <c r="L52" s="10">
        <v>0.467361111111111</v>
      </c>
      <c r="M52">
        <v>90</v>
      </c>
      <c r="N52" t="b">
        <v>0</v>
      </c>
    </row>
    <row r="53" spans="1:15">
      <c r="A53">
        <v>52</v>
      </c>
      <c r="B53" t="s">
        <v>137</v>
      </c>
      <c r="C53" t="s">
        <v>25</v>
      </c>
      <c r="D53" s="9">
        <v>35176</v>
      </c>
      <c r="E53">
        <v>28</v>
      </c>
      <c r="F53" t="s">
        <v>17</v>
      </c>
      <c r="G53">
        <v>2</v>
      </c>
      <c r="H53" t="s">
        <v>138</v>
      </c>
      <c r="I53" t="b">
        <v>1</v>
      </c>
      <c r="J53" t="s">
        <v>139</v>
      </c>
      <c r="K53" s="10">
        <v>0.873611111111111</v>
      </c>
      <c r="L53" s="10">
        <v>0.90625</v>
      </c>
      <c r="M53">
        <v>47</v>
      </c>
      <c r="N53" t="b">
        <v>0</v>
      </c>
    </row>
    <row r="54" spans="1:15">
      <c r="A54">
        <v>53</v>
      </c>
      <c r="B54" t="s">
        <v>140</v>
      </c>
      <c r="C54" t="s">
        <v>16</v>
      </c>
      <c r="D54" s="9">
        <v>38185</v>
      </c>
      <c r="E54">
        <v>20</v>
      </c>
      <c r="F54" t="s">
        <v>17</v>
      </c>
      <c r="G54">
        <v>2</v>
      </c>
      <c r="H54" t="s">
        <v>111</v>
      </c>
      <c r="I54" t="b">
        <v>1</v>
      </c>
      <c r="J54" t="s">
        <v>141</v>
      </c>
      <c r="K54" s="10">
        <v>0.393055555555556</v>
      </c>
      <c r="L54" s="10">
        <v>0.448611111111111</v>
      </c>
      <c r="M54">
        <v>80</v>
      </c>
      <c r="N54" t="b">
        <v>0</v>
      </c>
    </row>
    <row r="55" spans="1:15">
      <c r="A55">
        <v>54</v>
      </c>
      <c r="B55" t="s">
        <v>142</v>
      </c>
      <c r="C55" t="s">
        <v>16</v>
      </c>
      <c r="D55" s="9">
        <v>29552</v>
      </c>
      <c r="E55">
        <v>43</v>
      </c>
      <c r="F55" t="s">
        <v>21</v>
      </c>
      <c r="G55">
        <v>4</v>
      </c>
      <c r="H55" t="s">
        <v>143</v>
      </c>
      <c r="I55" t="b">
        <v>1</v>
      </c>
      <c r="J55" t="s">
        <v>144</v>
      </c>
      <c r="K55" s="10">
        <v>0.858333333333333</v>
      </c>
      <c r="L55" s="10">
        <v>0.93125</v>
      </c>
      <c r="M55">
        <v>105</v>
      </c>
      <c r="N55" t="b">
        <v>1</v>
      </c>
      <c r="O55" t="s">
        <v>28</v>
      </c>
    </row>
    <row r="56" spans="1:15">
      <c r="A56">
        <v>55</v>
      </c>
      <c r="B56" t="s">
        <v>145</v>
      </c>
      <c r="C56" t="s">
        <v>25</v>
      </c>
      <c r="D56" s="9">
        <v>36529</v>
      </c>
      <c r="E56">
        <v>24</v>
      </c>
      <c r="F56" t="s">
        <v>21</v>
      </c>
      <c r="G56">
        <v>2</v>
      </c>
      <c r="H56" t="s">
        <v>138</v>
      </c>
      <c r="I56" t="b">
        <v>1</v>
      </c>
      <c r="J56" t="s">
        <v>146</v>
      </c>
      <c r="K56" s="10">
        <v>0.659027777777778</v>
      </c>
      <c r="L56" s="10">
        <v>0.714583333333333</v>
      </c>
      <c r="M56">
        <v>80</v>
      </c>
      <c r="N56" t="b">
        <v>1</v>
      </c>
      <c r="O56" t="s">
        <v>23</v>
      </c>
    </row>
    <row r="57" spans="1:15">
      <c r="A57">
        <v>56</v>
      </c>
      <c r="B57" t="s">
        <v>147</v>
      </c>
      <c r="C57" t="s">
        <v>25</v>
      </c>
      <c r="D57" s="9">
        <v>37463</v>
      </c>
      <c r="E57">
        <v>22</v>
      </c>
      <c r="F57" t="s">
        <v>21</v>
      </c>
      <c r="G57">
        <v>3</v>
      </c>
      <c r="H57" t="s">
        <v>148</v>
      </c>
      <c r="I57" t="b">
        <v>0</v>
      </c>
      <c r="K57" s="10">
        <v>0.717361111111111</v>
      </c>
      <c r="L57" s="10">
        <v>0.797916666666667</v>
      </c>
      <c r="M57">
        <v>116</v>
      </c>
      <c r="N57" t="b">
        <v>0</v>
      </c>
    </row>
    <row r="58" spans="1:15">
      <c r="A58">
        <v>57</v>
      </c>
      <c r="B58" t="s">
        <v>149</v>
      </c>
      <c r="C58" t="s">
        <v>16</v>
      </c>
      <c r="D58" s="9">
        <v>37054</v>
      </c>
      <c r="E58">
        <v>23</v>
      </c>
      <c r="F58" t="s">
        <v>21</v>
      </c>
      <c r="G58">
        <v>3</v>
      </c>
      <c r="H58" t="s">
        <v>150</v>
      </c>
      <c r="I58" t="b">
        <v>0</v>
      </c>
      <c r="K58" s="10">
        <v>0.358333333333333</v>
      </c>
      <c r="L58" s="10">
        <v>0.430555555555556</v>
      </c>
      <c r="M58">
        <v>104</v>
      </c>
      <c r="N58" t="b">
        <v>0</v>
      </c>
    </row>
    <row r="59" spans="1:15">
      <c r="A59">
        <v>58</v>
      </c>
      <c r="B59" t="s">
        <v>151</v>
      </c>
      <c r="C59" t="s">
        <v>25</v>
      </c>
      <c r="D59" s="9">
        <v>28489</v>
      </c>
      <c r="E59">
        <v>46</v>
      </c>
      <c r="F59" t="s">
        <v>17</v>
      </c>
      <c r="G59">
        <v>5</v>
      </c>
      <c r="H59" t="s">
        <v>152</v>
      </c>
      <c r="I59" t="b">
        <v>1</v>
      </c>
      <c r="J59" t="s">
        <v>153</v>
      </c>
      <c r="K59" s="10">
        <v>0.513194444444444</v>
      </c>
      <c r="L59" s="10">
        <v>0.629861111111111</v>
      </c>
      <c r="M59">
        <v>168</v>
      </c>
      <c r="N59" t="b">
        <v>1</v>
      </c>
      <c r="O59" t="s">
        <v>23</v>
      </c>
    </row>
    <row r="60" spans="1:15">
      <c r="A60">
        <v>59</v>
      </c>
      <c r="B60" t="s">
        <v>154</v>
      </c>
      <c r="C60" t="s">
        <v>25</v>
      </c>
      <c r="D60" s="9">
        <v>39274</v>
      </c>
      <c r="E60">
        <v>17</v>
      </c>
      <c r="F60" t="s">
        <v>17</v>
      </c>
      <c r="G60">
        <v>2</v>
      </c>
      <c r="H60" t="s">
        <v>133</v>
      </c>
      <c r="I60" t="b">
        <v>1</v>
      </c>
      <c r="J60" t="s">
        <v>155</v>
      </c>
      <c r="K60" s="10">
        <v>0.444444444444444</v>
      </c>
      <c r="L60" s="10">
        <v>0.479166666666667</v>
      </c>
      <c r="M60">
        <v>50</v>
      </c>
      <c r="N60" t="b">
        <v>0</v>
      </c>
    </row>
    <row r="61" spans="1:15">
      <c r="A61">
        <v>60</v>
      </c>
      <c r="B61" t="s">
        <v>156</v>
      </c>
      <c r="C61" t="s">
        <v>16</v>
      </c>
      <c r="D61" s="9">
        <v>32375</v>
      </c>
      <c r="E61">
        <v>36</v>
      </c>
      <c r="F61" t="s">
        <v>21</v>
      </c>
      <c r="G61">
        <v>2</v>
      </c>
      <c r="H61" t="s">
        <v>32</v>
      </c>
      <c r="I61" t="b">
        <v>1</v>
      </c>
      <c r="J61" t="s">
        <v>157</v>
      </c>
      <c r="K61" s="10">
        <v>0.818055555555556</v>
      </c>
      <c r="L61" s="10">
        <v>0.906944444444444</v>
      </c>
      <c r="M61">
        <v>128</v>
      </c>
      <c r="N61" t="b">
        <v>1</v>
      </c>
      <c r="O61" t="s">
        <v>23</v>
      </c>
    </row>
    <row r="62" spans="1:15">
      <c r="A62">
        <v>61</v>
      </c>
      <c r="B62" t="s">
        <v>158</v>
      </c>
      <c r="C62" t="s">
        <v>16</v>
      </c>
      <c r="D62" s="9">
        <v>28253</v>
      </c>
      <c r="E62">
        <v>47</v>
      </c>
      <c r="F62" t="s">
        <v>17</v>
      </c>
      <c r="G62">
        <v>3</v>
      </c>
      <c r="H62" t="s">
        <v>159</v>
      </c>
      <c r="I62" t="b">
        <v>0</v>
      </c>
      <c r="K62" s="10">
        <v>0.770833333333333</v>
      </c>
      <c r="L62" s="10">
        <v>0.830555555555556</v>
      </c>
      <c r="M62">
        <v>86</v>
      </c>
      <c r="N62" t="b">
        <v>1</v>
      </c>
      <c r="O62" t="s">
        <v>23</v>
      </c>
    </row>
    <row r="63" spans="1:15">
      <c r="A63">
        <v>62</v>
      </c>
      <c r="B63" t="s">
        <v>160</v>
      </c>
      <c r="C63" t="s">
        <v>16</v>
      </c>
      <c r="D63" s="9">
        <v>34832</v>
      </c>
      <c r="E63">
        <v>29</v>
      </c>
      <c r="F63" t="s">
        <v>21</v>
      </c>
      <c r="G63">
        <v>3</v>
      </c>
      <c r="H63" t="s">
        <v>161</v>
      </c>
      <c r="I63" t="b">
        <v>0</v>
      </c>
      <c r="K63" s="10">
        <v>0.436111111111111</v>
      </c>
      <c r="L63" s="10">
        <v>0.559722222222222</v>
      </c>
      <c r="M63">
        <v>178</v>
      </c>
      <c r="N63" t="b">
        <v>1</v>
      </c>
      <c r="O63" t="s">
        <v>23</v>
      </c>
    </row>
    <row r="64" spans="1:15">
      <c r="A64">
        <v>63</v>
      </c>
      <c r="B64" t="s">
        <v>162</v>
      </c>
      <c r="C64" t="s">
        <v>25</v>
      </c>
      <c r="D64" s="9">
        <v>34403</v>
      </c>
      <c r="E64">
        <v>30</v>
      </c>
      <c r="F64" t="s">
        <v>21</v>
      </c>
      <c r="G64">
        <v>3</v>
      </c>
      <c r="H64" t="s">
        <v>22</v>
      </c>
      <c r="I64" t="b">
        <v>0</v>
      </c>
      <c r="K64" s="10">
        <v>0.723611111111111</v>
      </c>
      <c r="L64" s="10">
        <v>0.805555555555555</v>
      </c>
      <c r="M64">
        <v>118</v>
      </c>
      <c r="N64" t="b">
        <v>0</v>
      </c>
    </row>
    <row r="65" spans="1:15">
      <c r="A65">
        <v>64</v>
      </c>
      <c r="B65" t="s">
        <v>163</v>
      </c>
      <c r="C65" t="s">
        <v>16</v>
      </c>
      <c r="D65" s="9">
        <v>37392</v>
      </c>
      <c r="E65">
        <v>22</v>
      </c>
      <c r="F65" t="s">
        <v>17</v>
      </c>
      <c r="G65">
        <v>3</v>
      </c>
      <c r="H65" t="s">
        <v>164</v>
      </c>
      <c r="I65" t="b">
        <v>0</v>
      </c>
      <c r="K65" s="10">
        <v>0.445138888888889</v>
      </c>
      <c r="L65" s="10">
        <v>0.502083333333333</v>
      </c>
      <c r="M65">
        <v>82</v>
      </c>
      <c r="N65" t="b">
        <v>1</v>
      </c>
      <c r="O65" t="s">
        <v>50</v>
      </c>
    </row>
    <row r="66" spans="1:15">
      <c r="A66">
        <v>65</v>
      </c>
      <c r="B66" t="s">
        <v>165</v>
      </c>
      <c r="C66" t="s">
        <v>16</v>
      </c>
      <c r="D66" s="9">
        <v>30276</v>
      </c>
      <c r="E66">
        <v>41</v>
      </c>
      <c r="F66" t="s">
        <v>21</v>
      </c>
      <c r="G66">
        <v>2</v>
      </c>
      <c r="H66" t="s">
        <v>166</v>
      </c>
      <c r="I66" t="b">
        <v>0</v>
      </c>
      <c r="K66" s="10">
        <v>0.579861111111111</v>
      </c>
      <c r="L66" s="10">
        <v>0.677083333333333</v>
      </c>
      <c r="M66">
        <v>140</v>
      </c>
      <c r="N66" t="b">
        <v>0</v>
      </c>
    </row>
    <row r="67" spans="1:15">
      <c r="A67">
        <v>66</v>
      </c>
      <c r="B67" t="s">
        <v>167</v>
      </c>
      <c r="C67" t="s">
        <v>16</v>
      </c>
      <c r="D67" s="9">
        <v>28941</v>
      </c>
      <c r="E67">
        <v>45</v>
      </c>
      <c r="F67" t="s">
        <v>17</v>
      </c>
      <c r="G67">
        <v>4</v>
      </c>
      <c r="H67" t="s">
        <v>168</v>
      </c>
      <c r="I67" t="b">
        <v>0</v>
      </c>
      <c r="K67" s="10">
        <v>0.545833333333333</v>
      </c>
      <c r="L67" s="10">
        <v>0.574305555555556</v>
      </c>
      <c r="M67">
        <v>41</v>
      </c>
      <c r="N67" t="b">
        <v>0</v>
      </c>
    </row>
    <row r="68" spans="1:15">
      <c r="A68">
        <v>67</v>
      </c>
      <c r="B68" t="s">
        <v>169</v>
      </c>
      <c r="C68" t="s">
        <v>16</v>
      </c>
      <c r="D68" s="9">
        <v>37372</v>
      </c>
      <c r="E68">
        <v>22</v>
      </c>
      <c r="F68" t="s">
        <v>17</v>
      </c>
      <c r="G68">
        <v>1</v>
      </c>
      <c r="H68" t="s">
        <v>26</v>
      </c>
      <c r="I68" t="b">
        <v>1</v>
      </c>
      <c r="J68" t="s">
        <v>170</v>
      </c>
      <c r="K68" s="10">
        <v>0.345833333333333</v>
      </c>
      <c r="L68" s="10">
        <v>0.371527777777778</v>
      </c>
      <c r="M68">
        <v>37</v>
      </c>
      <c r="N68" t="b">
        <v>0</v>
      </c>
    </row>
    <row r="69" spans="1:15">
      <c r="A69">
        <v>68</v>
      </c>
      <c r="B69" t="s">
        <v>171</v>
      </c>
      <c r="C69" t="s">
        <v>25</v>
      </c>
      <c r="D69" s="9">
        <v>38184</v>
      </c>
      <c r="E69">
        <v>20</v>
      </c>
      <c r="F69" t="s">
        <v>21</v>
      </c>
      <c r="G69">
        <v>5</v>
      </c>
      <c r="H69" t="s">
        <v>152</v>
      </c>
      <c r="I69" t="b">
        <v>1</v>
      </c>
      <c r="J69" t="s">
        <v>172</v>
      </c>
      <c r="K69" s="10">
        <v>0.544444444444444</v>
      </c>
      <c r="L69" s="10">
        <v>0.571527777777778</v>
      </c>
      <c r="M69">
        <v>39</v>
      </c>
      <c r="N69" t="b">
        <v>1</v>
      </c>
      <c r="O69" t="s">
        <v>28</v>
      </c>
    </row>
    <row r="70" spans="1:15">
      <c r="A70">
        <v>69</v>
      </c>
      <c r="B70" t="s">
        <v>173</v>
      </c>
      <c r="C70" t="s">
        <v>25</v>
      </c>
      <c r="D70" s="9">
        <v>33219</v>
      </c>
      <c r="E70">
        <v>33</v>
      </c>
      <c r="F70" t="s">
        <v>17</v>
      </c>
      <c r="G70">
        <v>1</v>
      </c>
      <c r="H70" t="s">
        <v>46</v>
      </c>
      <c r="I70" t="b">
        <v>1</v>
      </c>
      <c r="J70" t="s">
        <v>174</v>
      </c>
      <c r="K70" s="10">
        <v>0.377777777777778</v>
      </c>
      <c r="L70" s="10">
        <v>0.430555555555556</v>
      </c>
      <c r="M70">
        <v>76</v>
      </c>
      <c r="N70" t="b">
        <v>0</v>
      </c>
    </row>
    <row r="71" spans="1:15">
      <c r="A71">
        <v>70</v>
      </c>
      <c r="B71" t="s">
        <v>175</v>
      </c>
      <c r="C71" t="s">
        <v>16</v>
      </c>
      <c r="D71" s="9">
        <v>32356</v>
      </c>
      <c r="E71">
        <v>36</v>
      </c>
      <c r="F71" t="s">
        <v>17</v>
      </c>
      <c r="G71">
        <v>3</v>
      </c>
      <c r="H71" t="s">
        <v>30</v>
      </c>
      <c r="I71" t="b">
        <v>0</v>
      </c>
      <c r="K71" s="10">
        <v>0.465972222222222</v>
      </c>
      <c r="L71" s="10">
        <v>0.584027777777778</v>
      </c>
      <c r="M71">
        <v>170</v>
      </c>
      <c r="N71" t="b">
        <v>0</v>
      </c>
    </row>
    <row r="72" spans="1:15">
      <c r="A72">
        <v>71</v>
      </c>
      <c r="B72" t="s">
        <v>176</v>
      </c>
      <c r="C72" t="s">
        <v>25</v>
      </c>
      <c r="D72" s="9">
        <v>34598</v>
      </c>
      <c r="E72">
        <v>30</v>
      </c>
      <c r="F72" t="s">
        <v>17</v>
      </c>
      <c r="G72">
        <v>5</v>
      </c>
      <c r="H72" t="s">
        <v>177</v>
      </c>
      <c r="I72" t="b">
        <v>1</v>
      </c>
      <c r="J72" t="s">
        <v>178</v>
      </c>
      <c r="K72" s="10">
        <v>0.544444444444444</v>
      </c>
      <c r="L72" s="10">
        <v>0.614583333333333</v>
      </c>
      <c r="M72">
        <v>101</v>
      </c>
      <c r="N72" t="b">
        <v>1</v>
      </c>
      <c r="O72" t="s">
        <v>50</v>
      </c>
    </row>
    <row r="73" spans="1:15">
      <c r="A73">
        <v>72</v>
      </c>
      <c r="B73" t="s">
        <v>179</v>
      </c>
      <c r="C73" t="s">
        <v>25</v>
      </c>
      <c r="D73" s="9">
        <v>39154</v>
      </c>
      <c r="E73">
        <v>17</v>
      </c>
      <c r="F73" t="s">
        <v>17</v>
      </c>
      <c r="G73">
        <v>1</v>
      </c>
      <c r="H73" t="s">
        <v>26</v>
      </c>
      <c r="I73" t="b">
        <v>0</v>
      </c>
      <c r="K73" s="10">
        <v>0.4375</v>
      </c>
      <c r="L73" s="10">
        <v>0.540277777777778</v>
      </c>
      <c r="M73">
        <v>148</v>
      </c>
      <c r="N73" t="b">
        <v>1</v>
      </c>
      <c r="O73" t="s">
        <v>28</v>
      </c>
    </row>
    <row r="74" spans="1:15">
      <c r="A74">
        <v>73</v>
      </c>
      <c r="B74" t="s">
        <v>180</v>
      </c>
      <c r="C74" t="s">
        <v>25</v>
      </c>
      <c r="D74" s="9">
        <v>32508</v>
      </c>
      <c r="E74">
        <v>35</v>
      </c>
      <c r="F74" t="s">
        <v>17</v>
      </c>
      <c r="G74">
        <v>2</v>
      </c>
      <c r="H74" t="s">
        <v>138</v>
      </c>
      <c r="I74" t="b">
        <v>0</v>
      </c>
      <c r="K74" s="10">
        <v>0.7125</v>
      </c>
      <c r="L74" s="10">
        <v>0.756944444444445</v>
      </c>
      <c r="M74">
        <v>64</v>
      </c>
      <c r="N74" t="b">
        <v>1</v>
      </c>
      <c r="O74" t="s">
        <v>23</v>
      </c>
    </row>
    <row r="75" spans="1:15">
      <c r="A75">
        <v>74</v>
      </c>
      <c r="B75" t="s">
        <v>181</v>
      </c>
      <c r="C75" t="s">
        <v>25</v>
      </c>
      <c r="D75" s="9">
        <v>35049</v>
      </c>
      <c r="E75">
        <v>28</v>
      </c>
      <c r="F75" t="s">
        <v>21</v>
      </c>
      <c r="G75">
        <v>2</v>
      </c>
      <c r="H75" t="s">
        <v>166</v>
      </c>
      <c r="I75" t="b">
        <v>0</v>
      </c>
      <c r="K75" s="10">
        <v>0.845138888888889</v>
      </c>
      <c r="L75" s="10">
        <v>0.874305555555556</v>
      </c>
      <c r="M75">
        <v>42</v>
      </c>
      <c r="N75" t="b">
        <v>0</v>
      </c>
    </row>
    <row r="76" spans="1:15">
      <c r="A76">
        <v>75</v>
      </c>
      <c r="B76" t="s">
        <v>182</v>
      </c>
      <c r="C76" t="s">
        <v>16</v>
      </c>
      <c r="D76" s="9">
        <v>35399</v>
      </c>
      <c r="E76">
        <v>27</v>
      </c>
      <c r="F76" t="s">
        <v>21</v>
      </c>
      <c r="G76">
        <v>5</v>
      </c>
      <c r="H76" t="s">
        <v>183</v>
      </c>
      <c r="I76" t="b">
        <v>0</v>
      </c>
      <c r="K76" s="10">
        <v>0.414583333333333</v>
      </c>
      <c r="L76" s="10">
        <v>0.470138888888889</v>
      </c>
      <c r="M76">
        <v>80</v>
      </c>
      <c r="N76" t="b">
        <v>0</v>
      </c>
    </row>
    <row r="77" spans="1:15">
      <c r="A77">
        <v>76</v>
      </c>
      <c r="B77" t="s">
        <v>184</v>
      </c>
      <c r="C77" t="s">
        <v>25</v>
      </c>
      <c r="D77" s="9">
        <v>38147</v>
      </c>
      <c r="E77">
        <v>20</v>
      </c>
      <c r="F77" t="s">
        <v>17</v>
      </c>
      <c r="G77">
        <v>1</v>
      </c>
      <c r="H77" t="s">
        <v>185</v>
      </c>
      <c r="I77" t="b">
        <v>0</v>
      </c>
      <c r="K77" s="10">
        <v>0.647916666666667</v>
      </c>
      <c r="L77" s="10">
        <v>0.679861111111111</v>
      </c>
      <c r="M77">
        <v>46</v>
      </c>
      <c r="N77" t="b">
        <v>1</v>
      </c>
      <c r="O77" t="s">
        <v>28</v>
      </c>
    </row>
    <row r="78" spans="1:15">
      <c r="A78">
        <v>77</v>
      </c>
      <c r="B78" t="s">
        <v>186</v>
      </c>
      <c r="C78" t="s">
        <v>16</v>
      </c>
      <c r="D78" s="9">
        <v>39191</v>
      </c>
      <c r="E78">
        <v>17</v>
      </c>
      <c r="F78" t="s">
        <v>17</v>
      </c>
      <c r="G78">
        <v>2</v>
      </c>
      <c r="H78" t="s">
        <v>187</v>
      </c>
      <c r="I78" t="b">
        <v>0</v>
      </c>
      <c r="K78" s="10">
        <v>0.6625</v>
      </c>
      <c r="L78" s="10">
        <v>0.698611111111111</v>
      </c>
      <c r="M78">
        <v>52</v>
      </c>
      <c r="N78" t="b">
        <v>1</v>
      </c>
      <c r="O78" t="s">
        <v>50</v>
      </c>
    </row>
    <row r="79" spans="1:15">
      <c r="A79">
        <v>78</v>
      </c>
      <c r="B79" t="s">
        <v>188</v>
      </c>
      <c r="C79" t="s">
        <v>25</v>
      </c>
      <c r="D79" s="9">
        <v>33170</v>
      </c>
      <c r="E79">
        <v>33</v>
      </c>
      <c r="F79" t="s">
        <v>17</v>
      </c>
      <c r="G79">
        <v>2</v>
      </c>
      <c r="H79" t="s">
        <v>189</v>
      </c>
      <c r="I79" t="b">
        <v>1</v>
      </c>
      <c r="J79" t="s">
        <v>190</v>
      </c>
      <c r="K79" s="10">
        <v>0.677777777777778</v>
      </c>
      <c r="L79" s="10">
        <v>0.7375</v>
      </c>
      <c r="M79">
        <v>86</v>
      </c>
      <c r="N79" t="b">
        <v>1</v>
      </c>
      <c r="O79" t="s">
        <v>28</v>
      </c>
    </row>
    <row r="80" spans="1:15">
      <c r="A80">
        <v>79</v>
      </c>
      <c r="B80" t="s">
        <v>191</v>
      </c>
      <c r="C80" t="s">
        <v>16</v>
      </c>
      <c r="D80" s="9">
        <v>29700</v>
      </c>
      <c r="E80">
        <v>43</v>
      </c>
      <c r="F80" t="s">
        <v>21</v>
      </c>
      <c r="G80">
        <v>5</v>
      </c>
      <c r="H80" t="s">
        <v>192</v>
      </c>
      <c r="I80" t="b">
        <v>1</v>
      </c>
      <c r="J80" t="s">
        <v>193</v>
      </c>
      <c r="K80" s="10">
        <v>0.530555555555556</v>
      </c>
      <c r="L80" s="10">
        <v>0.628472222222222</v>
      </c>
      <c r="M80">
        <v>141</v>
      </c>
      <c r="N80" t="b">
        <v>0</v>
      </c>
    </row>
    <row r="81" spans="1:15">
      <c r="A81">
        <v>80</v>
      </c>
      <c r="B81" t="s">
        <v>194</v>
      </c>
      <c r="C81" t="s">
        <v>16</v>
      </c>
      <c r="D81" s="9">
        <v>32409</v>
      </c>
      <c r="E81">
        <v>36</v>
      </c>
      <c r="F81" t="s">
        <v>21</v>
      </c>
      <c r="G81">
        <v>2</v>
      </c>
      <c r="H81" t="s">
        <v>195</v>
      </c>
      <c r="I81" t="b">
        <v>1</v>
      </c>
      <c r="J81" t="s">
        <v>196</v>
      </c>
      <c r="K81" s="10">
        <v>0.763194444444444</v>
      </c>
      <c r="L81" s="10">
        <v>0.820833333333333</v>
      </c>
      <c r="M81">
        <v>83</v>
      </c>
      <c r="N81" t="b">
        <v>1</v>
      </c>
      <c r="O81" t="s">
        <v>47</v>
      </c>
    </row>
    <row r="82" spans="1:15">
      <c r="A82">
        <v>81</v>
      </c>
      <c r="B82" t="s">
        <v>197</v>
      </c>
      <c r="C82" t="s">
        <v>25</v>
      </c>
      <c r="D82" s="9">
        <v>28778</v>
      </c>
      <c r="E82">
        <v>45</v>
      </c>
      <c r="F82" t="s">
        <v>21</v>
      </c>
      <c r="G82">
        <v>2</v>
      </c>
      <c r="H82" t="s">
        <v>189</v>
      </c>
      <c r="I82" t="b">
        <v>0</v>
      </c>
      <c r="K82" s="10">
        <v>0.524305555555556</v>
      </c>
      <c r="L82" s="10">
        <v>0.611805555555556</v>
      </c>
      <c r="M82">
        <v>126</v>
      </c>
      <c r="N82" t="b">
        <v>1</v>
      </c>
      <c r="O82" t="s">
        <v>28</v>
      </c>
    </row>
    <row r="83" spans="1:15">
      <c r="A83">
        <v>82</v>
      </c>
      <c r="B83" t="s">
        <v>198</v>
      </c>
      <c r="C83" t="s">
        <v>25</v>
      </c>
      <c r="D83" s="9">
        <v>29896</v>
      </c>
      <c r="E83">
        <v>42</v>
      </c>
      <c r="F83" t="s">
        <v>21</v>
      </c>
      <c r="G83">
        <v>3</v>
      </c>
      <c r="H83" t="s">
        <v>159</v>
      </c>
      <c r="I83" t="b">
        <v>1</v>
      </c>
      <c r="J83" t="s">
        <v>33</v>
      </c>
      <c r="K83" s="10">
        <v>0.788194444444445</v>
      </c>
      <c r="L83" s="10">
        <v>0.867361111111111</v>
      </c>
      <c r="M83">
        <v>114</v>
      </c>
      <c r="N83" t="b">
        <v>0</v>
      </c>
    </row>
    <row r="84" spans="1:15">
      <c r="A84">
        <v>83</v>
      </c>
      <c r="B84" t="s">
        <v>199</v>
      </c>
      <c r="C84" t="s">
        <v>25</v>
      </c>
      <c r="D84" s="9">
        <v>34791</v>
      </c>
      <c r="E84">
        <v>29</v>
      </c>
      <c r="F84" t="s">
        <v>17</v>
      </c>
      <c r="G84">
        <v>1</v>
      </c>
      <c r="H84" t="s">
        <v>49</v>
      </c>
      <c r="I84" t="b">
        <v>0</v>
      </c>
      <c r="K84" s="10">
        <v>0.35625</v>
      </c>
      <c r="L84" s="10">
        <v>0.404166666666667</v>
      </c>
      <c r="M84">
        <v>69</v>
      </c>
      <c r="N84" t="b">
        <v>0</v>
      </c>
    </row>
    <row r="85" spans="1:15">
      <c r="A85">
        <v>84</v>
      </c>
      <c r="B85" t="s">
        <v>200</v>
      </c>
      <c r="C85" t="s">
        <v>25</v>
      </c>
      <c r="D85" s="9">
        <v>38928</v>
      </c>
      <c r="E85">
        <v>18</v>
      </c>
      <c r="F85" t="s">
        <v>21</v>
      </c>
      <c r="G85">
        <v>3</v>
      </c>
      <c r="H85" t="s">
        <v>98</v>
      </c>
      <c r="I85" t="b">
        <v>1</v>
      </c>
      <c r="J85" t="s">
        <v>201</v>
      </c>
      <c r="K85" s="10">
        <v>0.385416666666667</v>
      </c>
      <c r="L85" s="10">
        <v>0.421527777777778</v>
      </c>
      <c r="M85">
        <v>52</v>
      </c>
      <c r="N85" t="b">
        <v>0</v>
      </c>
    </row>
    <row r="86" spans="1:15">
      <c r="A86">
        <v>85</v>
      </c>
      <c r="B86" t="s">
        <v>202</v>
      </c>
      <c r="C86" t="s">
        <v>16</v>
      </c>
      <c r="D86" s="9">
        <v>33721</v>
      </c>
      <c r="E86">
        <v>32</v>
      </c>
      <c r="F86" t="s">
        <v>17</v>
      </c>
      <c r="G86">
        <v>2</v>
      </c>
      <c r="H86" t="s">
        <v>203</v>
      </c>
      <c r="I86" t="b">
        <v>1</v>
      </c>
      <c r="J86" t="s">
        <v>204</v>
      </c>
      <c r="K86" s="10">
        <v>0.796527777777778</v>
      </c>
      <c r="L86" s="10">
        <v>0.902083333333333</v>
      </c>
      <c r="M86">
        <v>152</v>
      </c>
      <c r="N86" t="b">
        <v>0</v>
      </c>
    </row>
    <row r="87" spans="1:15">
      <c r="A87">
        <v>86</v>
      </c>
      <c r="B87" t="s">
        <v>205</v>
      </c>
      <c r="C87" t="s">
        <v>16</v>
      </c>
      <c r="D87" s="9">
        <v>35470</v>
      </c>
      <c r="E87">
        <v>27</v>
      </c>
      <c r="F87" t="s">
        <v>21</v>
      </c>
      <c r="G87">
        <v>3</v>
      </c>
      <c r="H87" t="s">
        <v>37</v>
      </c>
      <c r="I87" t="b">
        <v>1</v>
      </c>
      <c r="J87" t="s">
        <v>206</v>
      </c>
      <c r="K87" s="10">
        <v>0.853472222222222</v>
      </c>
      <c r="L87" s="10">
        <v>0.972222222222222</v>
      </c>
      <c r="M87">
        <v>171</v>
      </c>
      <c r="N87" t="b">
        <v>1</v>
      </c>
      <c r="O87" t="s">
        <v>23</v>
      </c>
    </row>
    <row r="88" spans="1:15">
      <c r="A88">
        <v>87</v>
      </c>
      <c r="B88" t="s">
        <v>207</v>
      </c>
      <c r="C88" t="s">
        <v>25</v>
      </c>
      <c r="D88" s="9">
        <v>28303</v>
      </c>
      <c r="E88">
        <v>47</v>
      </c>
      <c r="F88" t="s">
        <v>17</v>
      </c>
      <c r="G88">
        <v>3</v>
      </c>
      <c r="H88" t="s">
        <v>159</v>
      </c>
      <c r="I88" t="b">
        <v>1</v>
      </c>
      <c r="J88" t="s">
        <v>208</v>
      </c>
      <c r="K88" s="10">
        <v>0.535416666666667</v>
      </c>
      <c r="L88" s="10">
        <v>0.650694444444444</v>
      </c>
      <c r="M88">
        <v>166</v>
      </c>
      <c r="N88" t="b">
        <v>1</v>
      </c>
      <c r="O88" t="s">
        <v>23</v>
      </c>
    </row>
    <row r="89" spans="1:15">
      <c r="A89">
        <v>88</v>
      </c>
      <c r="B89" t="s">
        <v>209</v>
      </c>
      <c r="C89" t="s">
        <v>16</v>
      </c>
      <c r="D89" s="9">
        <v>39726</v>
      </c>
      <c r="E89">
        <v>15</v>
      </c>
      <c r="F89" t="s">
        <v>17</v>
      </c>
      <c r="G89">
        <v>2</v>
      </c>
      <c r="H89" t="s">
        <v>210</v>
      </c>
      <c r="I89" t="b">
        <v>0</v>
      </c>
      <c r="K89" s="10">
        <v>0.478472222222222</v>
      </c>
      <c r="L89" s="10">
        <v>0.513888888888889</v>
      </c>
      <c r="M89">
        <v>51</v>
      </c>
      <c r="N89" t="b">
        <v>0</v>
      </c>
    </row>
    <row r="90" spans="1:15">
      <c r="A90">
        <v>89</v>
      </c>
      <c r="B90" t="s">
        <v>211</v>
      </c>
      <c r="C90" t="s">
        <v>16</v>
      </c>
      <c r="D90" s="9">
        <v>31037</v>
      </c>
      <c r="E90">
        <v>39</v>
      </c>
      <c r="F90" t="s">
        <v>21</v>
      </c>
      <c r="G90">
        <v>4</v>
      </c>
      <c r="H90" t="s">
        <v>212</v>
      </c>
      <c r="I90" t="b">
        <v>1</v>
      </c>
      <c r="J90" t="s">
        <v>201</v>
      </c>
      <c r="K90" s="10">
        <v>0.440277777777778</v>
      </c>
      <c r="L90" s="10">
        <v>0.464583333333333</v>
      </c>
      <c r="M90">
        <v>35</v>
      </c>
      <c r="N90" t="b">
        <v>0</v>
      </c>
    </row>
    <row r="91" spans="1:15">
      <c r="A91">
        <v>90</v>
      </c>
      <c r="B91" t="s">
        <v>213</v>
      </c>
      <c r="C91" t="s">
        <v>16</v>
      </c>
      <c r="D91" s="9">
        <v>28726</v>
      </c>
      <c r="E91">
        <v>46</v>
      </c>
      <c r="F91" t="s">
        <v>21</v>
      </c>
      <c r="G91">
        <v>1</v>
      </c>
      <c r="H91" t="s">
        <v>35</v>
      </c>
      <c r="I91" t="b">
        <v>0</v>
      </c>
      <c r="K91" s="10">
        <v>0.467361111111111</v>
      </c>
      <c r="L91" s="10">
        <v>0.510416666666667</v>
      </c>
      <c r="M91">
        <v>62</v>
      </c>
      <c r="N91" t="b">
        <v>0</v>
      </c>
    </row>
    <row r="92" spans="1:15">
      <c r="A92">
        <v>91</v>
      </c>
      <c r="B92" t="s">
        <v>214</v>
      </c>
      <c r="C92" t="s">
        <v>16</v>
      </c>
      <c r="D92" s="9">
        <v>37688</v>
      </c>
      <c r="E92">
        <v>21</v>
      </c>
      <c r="F92" t="s">
        <v>17</v>
      </c>
      <c r="G92">
        <v>3</v>
      </c>
      <c r="H92" t="s">
        <v>215</v>
      </c>
      <c r="I92" t="b">
        <v>0</v>
      </c>
      <c r="K92" s="10">
        <v>0.544444444444444</v>
      </c>
      <c r="L92" s="10">
        <v>0.606944444444444</v>
      </c>
      <c r="M92">
        <v>90</v>
      </c>
      <c r="N92" t="b">
        <v>0</v>
      </c>
    </row>
    <row r="93" spans="1:15">
      <c r="A93">
        <v>92</v>
      </c>
      <c r="B93" t="s">
        <v>216</v>
      </c>
      <c r="C93" t="s">
        <v>25</v>
      </c>
      <c r="D93" s="9">
        <v>34198</v>
      </c>
      <c r="E93">
        <v>31</v>
      </c>
      <c r="F93" t="s">
        <v>21</v>
      </c>
      <c r="G93">
        <v>1</v>
      </c>
      <c r="H93" t="s">
        <v>26</v>
      </c>
      <c r="I93" t="b">
        <v>1</v>
      </c>
      <c r="J93" t="s">
        <v>217</v>
      </c>
      <c r="K93" s="10">
        <v>0.609027777777778</v>
      </c>
      <c r="L93" s="10">
        <v>0.690972222222222</v>
      </c>
      <c r="M93">
        <v>118</v>
      </c>
      <c r="N93" t="b">
        <v>1</v>
      </c>
      <c r="O93" t="s">
        <v>23</v>
      </c>
    </row>
    <row r="94" spans="1:15">
      <c r="A94">
        <v>93</v>
      </c>
      <c r="B94" t="s">
        <v>218</v>
      </c>
      <c r="C94" t="s">
        <v>16</v>
      </c>
      <c r="D94" s="9">
        <v>30839</v>
      </c>
      <c r="E94">
        <v>40</v>
      </c>
      <c r="F94" t="s">
        <v>21</v>
      </c>
      <c r="G94">
        <v>4</v>
      </c>
      <c r="H94" t="s">
        <v>219</v>
      </c>
      <c r="I94" t="b">
        <v>1</v>
      </c>
      <c r="J94" t="s">
        <v>206</v>
      </c>
      <c r="K94" s="10">
        <v>0.413194444444444</v>
      </c>
      <c r="L94" s="10">
        <v>0.477777777777778</v>
      </c>
      <c r="M94">
        <v>93</v>
      </c>
      <c r="N94" t="b">
        <v>0</v>
      </c>
    </row>
    <row r="95" spans="1:15">
      <c r="A95">
        <v>94</v>
      </c>
      <c r="B95" t="s">
        <v>220</v>
      </c>
      <c r="C95" t="s">
        <v>16</v>
      </c>
      <c r="D95" s="9">
        <v>30470</v>
      </c>
      <c r="E95">
        <v>41</v>
      </c>
      <c r="F95" t="s">
        <v>21</v>
      </c>
      <c r="G95">
        <v>2</v>
      </c>
      <c r="H95" t="s">
        <v>121</v>
      </c>
      <c r="I95" t="b">
        <v>1</v>
      </c>
      <c r="J95" t="s">
        <v>44</v>
      </c>
      <c r="K95" s="10">
        <v>0.696527777777778</v>
      </c>
      <c r="L95" s="10">
        <v>0.761111111111111</v>
      </c>
      <c r="M95">
        <v>93</v>
      </c>
      <c r="N95" t="b">
        <v>1</v>
      </c>
      <c r="O95" t="s">
        <v>23</v>
      </c>
    </row>
    <row r="96" spans="1:15">
      <c r="A96">
        <v>95</v>
      </c>
      <c r="B96" t="s">
        <v>221</v>
      </c>
      <c r="C96" t="s">
        <v>16</v>
      </c>
      <c r="D96" s="9">
        <v>41039</v>
      </c>
      <c r="E96">
        <v>12</v>
      </c>
      <c r="F96" t="s">
        <v>21</v>
      </c>
      <c r="G96">
        <v>3</v>
      </c>
      <c r="H96" t="s">
        <v>222</v>
      </c>
      <c r="I96" t="b">
        <v>1</v>
      </c>
      <c r="J96" t="s">
        <v>223</v>
      </c>
      <c r="K96" s="10">
        <v>0.423611111111111</v>
      </c>
      <c r="L96" s="10">
        <v>0.482638888888889</v>
      </c>
      <c r="M96">
        <v>85</v>
      </c>
      <c r="N96" t="b">
        <v>0</v>
      </c>
    </row>
    <row r="97" spans="1:15">
      <c r="A97">
        <v>96</v>
      </c>
      <c r="B97" t="s">
        <v>224</v>
      </c>
      <c r="C97" t="s">
        <v>25</v>
      </c>
      <c r="D97" s="9">
        <v>30782</v>
      </c>
      <c r="E97">
        <v>40</v>
      </c>
      <c r="F97" t="s">
        <v>21</v>
      </c>
      <c r="G97">
        <v>1</v>
      </c>
      <c r="H97" t="s">
        <v>46</v>
      </c>
      <c r="I97" t="b">
        <v>0</v>
      </c>
      <c r="K97" s="10">
        <v>0.436111111111111</v>
      </c>
      <c r="L97" s="10">
        <v>0.538194444444444</v>
      </c>
      <c r="M97">
        <v>147</v>
      </c>
      <c r="N97" t="b">
        <v>0</v>
      </c>
    </row>
    <row r="98" spans="1:15">
      <c r="A98">
        <v>97</v>
      </c>
      <c r="B98" t="s">
        <v>225</v>
      </c>
      <c r="C98" t="s">
        <v>25</v>
      </c>
      <c r="D98" s="9">
        <v>34782</v>
      </c>
      <c r="E98">
        <v>29</v>
      </c>
      <c r="F98" t="s">
        <v>17</v>
      </c>
      <c r="G98">
        <v>3</v>
      </c>
      <c r="H98" t="s">
        <v>116</v>
      </c>
      <c r="I98" t="b">
        <v>0</v>
      </c>
      <c r="K98" s="10">
        <v>0.594444444444444</v>
      </c>
      <c r="L98" s="10">
        <v>0.717361111111111</v>
      </c>
      <c r="M98">
        <v>177</v>
      </c>
      <c r="N98" t="b">
        <v>0</v>
      </c>
    </row>
    <row r="99" spans="1:15">
      <c r="A99">
        <v>98</v>
      </c>
      <c r="B99" t="s">
        <v>226</v>
      </c>
      <c r="C99" t="s">
        <v>25</v>
      </c>
      <c r="D99" s="9">
        <v>38613</v>
      </c>
      <c r="E99">
        <v>19</v>
      </c>
      <c r="F99" t="s">
        <v>17</v>
      </c>
      <c r="G99">
        <v>2</v>
      </c>
      <c r="H99" t="s">
        <v>166</v>
      </c>
      <c r="I99" t="b">
        <v>0</v>
      </c>
      <c r="K99" s="10">
        <v>0.70625</v>
      </c>
      <c r="L99" s="10">
        <v>0.741666666666667</v>
      </c>
      <c r="M99">
        <v>51</v>
      </c>
      <c r="N99" t="b">
        <v>1</v>
      </c>
      <c r="O99" t="s">
        <v>47</v>
      </c>
    </row>
    <row r="100" spans="1:15">
      <c r="A100">
        <v>99</v>
      </c>
      <c r="B100" t="s">
        <v>227</v>
      </c>
      <c r="C100" t="s">
        <v>16</v>
      </c>
      <c r="D100" s="9">
        <v>32955</v>
      </c>
      <c r="E100">
        <v>34</v>
      </c>
      <c r="F100" t="s">
        <v>17</v>
      </c>
      <c r="G100">
        <v>2</v>
      </c>
      <c r="H100" t="s">
        <v>187</v>
      </c>
      <c r="I100" t="b">
        <v>0</v>
      </c>
      <c r="K100" s="10">
        <v>0.399305555555556</v>
      </c>
      <c r="L100" s="10">
        <v>0.45625</v>
      </c>
      <c r="M100">
        <v>82</v>
      </c>
      <c r="N100" t="b">
        <v>1</v>
      </c>
      <c r="O100" t="s">
        <v>50</v>
      </c>
    </row>
    <row r="101" spans="1:15">
      <c r="A101">
        <v>100</v>
      </c>
      <c r="B101" t="s">
        <v>228</v>
      </c>
      <c r="C101" t="s">
        <v>16</v>
      </c>
      <c r="D101" s="9">
        <v>37660</v>
      </c>
      <c r="E101">
        <v>21</v>
      </c>
      <c r="F101" t="s">
        <v>17</v>
      </c>
      <c r="G101">
        <v>3</v>
      </c>
      <c r="H101" t="s">
        <v>37</v>
      </c>
      <c r="I101" t="b">
        <v>0</v>
      </c>
      <c r="K101" s="10">
        <v>0.356944444444444</v>
      </c>
      <c r="L101" s="10">
        <v>0.422916666666667</v>
      </c>
      <c r="M101">
        <v>95</v>
      </c>
      <c r="N101" t="b">
        <v>0</v>
      </c>
    </row>
    <row r="102" spans="1:15">
      <c r="A102">
        <v>101</v>
      </c>
      <c r="B102" t="s">
        <v>229</v>
      </c>
      <c r="C102" t="s">
        <v>25</v>
      </c>
      <c r="D102" s="9">
        <v>29359</v>
      </c>
      <c r="E102">
        <v>44</v>
      </c>
      <c r="F102" t="s">
        <v>21</v>
      </c>
      <c r="G102">
        <v>3</v>
      </c>
      <c r="H102" t="s">
        <v>74</v>
      </c>
      <c r="I102" t="b">
        <v>1</v>
      </c>
      <c r="J102" t="s">
        <v>230</v>
      </c>
      <c r="K102" s="10">
        <v>0.424305555555556</v>
      </c>
      <c r="L102" s="10">
        <v>0.542361111111111</v>
      </c>
      <c r="M102">
        <v>170</v>
      </c>
      <c r="N102" t="b">
        <v>1</v>
      </c>
      <c r="O102" t="s">
        <v>47</v>
      </c>
    </row>
    <row r="103" spans="1:15">
      <c r="A103">
        <v>102</v>
      </c>
      <c r="B103" t="s">
        <v>231</v>
      </c>
      <c r="C103" t="s">
        <v>16</v>
      </c>
      <c r="D103" s="9">
        <v>36571</v>
      </c>
      <c r="E103">
        <v>24</v>
      </c>
      <c r="F103" t="s">
        <v>21</v>
      </c>
      <c r="G103">
        <v>3</v>
      </c>
      <c r="H103" t="s">
        <v>150</v>
      </c>
      <c r="I103" t="b">
        <v>1</v>
      </c>
      <c r="J103" t="s">
        <v>232</v>
      </c>
      <c r="K103" s="10">
        <v>0.7375</v>
      </c>
      <c r="L103" s="10">
        <v>0.849305555555556</v>
      </c>
      <c r="M103">
        <v>161</v>
      </c>
      <c r="N103" t="b">
        <v>1</v>
      </c>
      <c r="O103" t="s">
        <v>28</v>
      </c>
    </row>
    <row r="104" spans="1:15">
      <c r="A104">
        <v>103</v>
      </c>
      <c r="B104" t="s">
        <v>233</v>
      </c>
      <c r="C104" t="s">
        <v>25</v>
      </c>
      <c r="D104" s="9">
        <v>33183</v>
      </c>
      <c r="E104">
        <v>33</v>
      </c>
      <c r="F104" t="s">
        <v>21</v>
      </c>
      <c r="G104">
        <v>5</v>
      </c>
      <c r="H104" t="s">
        <v>104</v>
      </c>
      <c r="I104" t="b">
        <v>1</v>
      </c>
      <c r="J104" t="s">
        <v>234</v>
      </c>
      <c r="K104" s="10">
        <v>0.436805555555556</v>
      </c>
      <c r="L104" s="10">
        <v>0.528472222222222</v>
      </c>
      <c r="M104">
        <v>132</v>
      </c>
      <c r="N104" t="b">
        <v>1</v>
      </c>
      <c r="O104" t="s">
        <v>23</v>
      </c>
    </row>
    <row r="105" spans="1:15">
      <c r="A105">
        <v>104</v>
      </c>
      <c r="B105" t="s">
        <v>235</v>
      </c>
      <c r="C105" t="s">
        <v>16</v>
      </c>
      <c r="D105" s="9">
        <v>28114</v>
      </c>
      <c r="E105">
        <v>47</v>
      </c>
      <c r="F105" t="s">
        <v>17</v>
      </c>
      <c r="G105">
        <v>2</v>
      </c>
      <c r="H105" t="s">
        <v>203</v>
      </c>
      <c r="I105" t="b">
        <v>0</v>
      </c>
      <c r="K105" s="10">
        <v>0.554861111111111</v>
      </c>
      <c r="L105" s="10">
        <v>0.653472222222222</v>
      </c>
      <c r="M105">
        <v>142</v>
      </c>
      <c r="N105" t="b">
        <v>1</v>
      </c>
      <c r="O105" t="s">
        <v>28</v>
      </c>
    </row>
    <row r="106" spans="1:15">
      <c r="A106">
        <v>105</v>
      </c>
      <c r="B106" t="s">
        <v>236</v>
      </c>
      <c r="C106" t="s">
        <v>16</v>
      </c>
      <c r="D106" s="9">
        <v>31486</v>
      </c>
      <c r="E106">
        <v>38</v>
      </c>
      <c r="F106" t="s">
        <v>17</v>
      </c>
      <c r="G106">
        <v>1</v>
      </c>
      <c r="H106" t="s">
        <v>185</v>
      </c>
      <c r="I106" t="b">
        <v>1</v>
      </c>
      <c r="J106" t="s">
        <v>206</v>
      </c>
      <c r="K106" s="10">
        <v>0.410416666666667</v>
      </c>
      <c r="L106" s="10">
        <v>0.440972222222222</v>
      </c>
      <c r="M106">
        <v>44</v>
      </c>
      <c r="N106" t="b">
        <v>1</v>
      </c>
      <c r="O106" t="s">
        <v>28</v>
      </c>
    </row>
    <row r="107" spans="1:15">
      <c r="A107">
        <v>106</v>
      </c>
      <c r="B107" t="s">
        <v>237</v>
      </c>
      <c r="C107" t="s">
        <v>25</v>
      </c>
      <c r="D107" s="9">
        <v>41149</v>
      </c>
      <c r="E107">
        <v>12</v>
      </c>
      <c r="F107" t="s">
        <v>17</v>
      </c>
      <c r="G107">
        <v>3</v>
      </c>
      <c r="H107" t="s">
        <v>30</v>
      </c>
      <c r="I107" t="b">
        <v>1</v>
      </c>
      <c r="J107" t="s">
        <v>238</v>
      </c>
      <c r="K107" s="10">
        <v>0.83125</v>
      </c>
      <c r="L107" s="10">
        <v>0.867361111111111</v>
      </c>
      <c r="M107">
        <v>52</v>
      </c>
      <c r="N107" t="b">
        <v>0</v>
      </c>
    </row>
    <row r="108" spans="1:15">
      <c r="A108">
        <v>107</v>
      </c>
      <c r="B108" t="s">
        <v>239</v>
      </c>
      <c r="C108" t="s">
        <v>16</v>
      </c>
      <c r="D108" s="9">
        <v>37824</v>
      </c>
      <c r="E108">
        <v>21</v>
      </c>
      <c r="F108" t="s">
        <v>21</v>
      </c>
      <c r="G108">
        <v>2</v>
      </c>
      <c r="H108" t="s">
        <v>111</v>
      </c>
      <c r="I108" t="b">
        <v>0</v>
      </c>
      <c r="K108" s="10">
        <v>0.842361111111111</v>
      </c>
      <c r="L108" s="10">
        <v>0.945833333333333</v>
      </c>
      <c r="M108">
        <v>149</v>
      </c>
      <c r="N108" t="b">
        <v>0</v>
      </c>
    </row>
    <row r="109" spans="1:15">
      <c r="A109">
        <v>108</v>
      </c>
      <c r="B109" t="s">
        <v>240</v>
      </c>
      <c r="C109" t="s">
        <v>16</v>
      </c>
      <c r="D109" s="9">
        <v>37320</v>
      </c>
      <c r="E109">
        <v>22</v>
      </c>
      <c r="F109" t="s">
        <v>21</v>
      </c>
      <c r="G109">
        <v>3</v>
      </c>
      <c r="H109" t="s">
        <v>241</v>
      </c>
      <c r="I109" t="b">
        <v>1</v>
      </c>
      <c r="J109" t="s">
        <v>170</v>
      </c>
      <c r="K109" s="10">
        <v>0.827777777777778</v>
      </c>
      <c r="L109" s="10">
        <v>0.886805555555556</v>
      </c>
      <c r="M109">
        <v>85</v>
      </c>
      <c r="N109" t="b">
        <v>1</v>
      </c>
      <c r="O109" t="s">
        <v>23</v>
      </c>
    </row>
    <row r="110" spans="1:15">
      <c r="A110">
        <v>109</v>
      </c>
      <c r="B110" t="s">
        <v>242</v>
      </c>
      <c r="C110" t="s">
        <v>16</v>
      </c>
      <c r="D110" s="9">
        <v>33324</v>
      </c>
      <c r="E110">
        <v>33</v>
      </c>
      <c r="F110" t="s">
        <v>17</v>
      </c>
      <c r="G110">
        <v>1</v>
      </c>
      <c r="H110" t="s">
        <v>81</v>
      </c>
      <c r="I110" t="b">
        <v>0</v>
      </c>
      <c r="K110" s="10">
        <v>0.584722222222222</v>
      </c>
      <c r="L110" s="10">
        <v>0.622916666666667</v>
      </c>
      <c r="M110">
        <v>55</v>
      </c>
      <c r="N110" t="b">
        <v>0</v>
      </c>
    </row>
    <row r="111" spans="1:15">
      <c r="A111">
        <v>110</v>
      </c>
      <c r="B111" t="s">
        <v>243</v>
      </c>
      <c r="C111" t="s">
        <v>16</v>
      </c>
      <c r="D111" s="9">
        <v>38047</v>
      </c>
      <c r="E111">
        <v>20</v>
      </c>
      <c r="F111" t="s">
        <v>17</v>
      </c>
      <c r="G111">
        <v>2</v>
      </c>
      <c r="H111" t="s">
        <v>72</v>
      </c>
      <c r="I111" t="b">
        <v>1</v>
      </c>
      <c r="J111" t="s">
        <v>67</v>
      </c>
      <c r="K111" s="10">
        <v>0.744444444444444</v>
      </c>
      <c r="L111" s="10">
        <v>0.860416666666667</v>
      </c>
      <c r="M111">
        <v>167</v>
      </c>
      <c r="N111" t="b">
        <v>0</v>
      </c>
    </row>
    <row r="112" spans="1:15">
      <c r="A112">
        <v>111</v>
      </c>
      <c r="B112" t="s">
        <v>244</v>
      </c>
      <c r="C112" t="s">
        <v>16</v>
      </c>
      <c r="D112" s="9">
        <v>34366</v>
      </c>
      <c r="E112">
        <v>30</v>
      </c>
      <c r="F112" t="s">
        <v>21</v>
      </c>
      <c r="G112">
        <v>3</v>
      </c>
      <c r="H112" t="s">
        <v>245</v>
      </c>
      <c r="I112" t="b">
        <v>1</v>
      </c>
      <c r="J112" t="s">
        <v>230</v>
      </c>
      <c r="K112" s="10">
        <v>0.738194444444444</v>
      </c>
      <c r="L112" s="10">
        <v>0.767361111111111</v>
      </c>
      <c r="M112">
        <v>42</v>
      </c>
      <c r="N112" t="b">
        <v>0</v>
      </c>
    </row>
    <row r="113" spans="1:15">
      <c r="A113">
        <v>112</v>
      </c>
      <c r="B113" t="s">
        <v>246</v>
      </c>
      <c r="C113" t="s">
        <v>25</v>
      </c>
      <c r="D113" s="9">
        <v>39878</v>
      </c>
      <c r="E113">
        <v>15</v>
      </c>
      <c r="F113" t="s">
        <v>21</v>
      </c>
      <c r="G113">
        <v>3</v>
      </c>
      <c r="H113" t="s">
        <v>247</v>
      </c>
      <c r="I113" t="b">
        <v>1</v>
      </c>
      <c r="J113" t="s">
        <v>248</v>
      </c>
      <c r="K113" s="10">
        <v>0.689583333333333</v>
      </c>
      <c r="L113" s="10">
        <v>0.749305555555556</v>
      </c>
      <c r="M113">
        <v>86</v>
      </c>
      <c r="N113" t="b">
        <v>0</v>
      </c>
    </row>
    <row r="114" spans="1:15">
      <c r="A114">
        <v>113</v>
      </c>
      <c r="B114" t="s">
        <v>249</v>
      </c>
      <c r="C114" t="s">
        <v>16</v>
      </c>
      <c r="D114" s="9">
        <v>28337</v>
      </c>
      <c r="E114">
        <v>47</v>
      </c>
      <c r="F114" t="s">
        <v>17</v>
      </c>
      <c r="G114">
        <v>1</v>
      </c>
      <c r="H114" t="s">
        <v>26</v>
      </c>
      <c r="I114" t="b">
        <v>0</v>
      </c>
      <c r="K114" s="10">
        <v>0.682638888888889</v>
      </c>
      <c r="L114" s="10">
        <v>0.733333333333333</v>
      </c>
      <c r="M114">
        <v>73</v>
      </c>
      <c r="N114" t="b">
        <v>1</v>
      </c>
      <c r="O114" t="s">
        <v>23</v>
      </c>
    </row>
    <row r="115" spans="1:15">
      <c r="A115">
        <v>114</v>
      </c>
      <c r="B115" t="s">
        <v>250</v>
      </c>
      <c r="C115" t="s">
        <v>16</v>
      </c>
      <c r="D115" s="9">
        <v>34503</v>
      </c>
      <c r="E115">
        <v>30</v>
      </c>
      <c r="F115" t="s">
        <v>17</v>
      </c>
      <c r="G115">
        <v>3</v>
      </c>
      <c r="H115" t="s">
        <v>251</v>
      </c>
      <c r="I115" t="b">
        <v>0</v>
      </c>
      <c r="K115" s="10">
        <v>0.577083333333333</v>
      </c>
      <c r="L115" s="10">
        <v>0.620833333333333</v>
      </c>
      <c r="M115">
        <v>63</v>
      </c>
      <c r="N115" t="b">
        <v>1</v>
      </c>
      <c r="O115" t="s">
        <v>47</v>
      </c>
    </row>
    <row r="116" spans="1:15">
      <c r="A116">
        <v>115</v>
      </c>
      <c r="B116" t="s">
        <v>252</v>
      </c>
      <c r="C116" t="s">
        <v>16</v>
      </c>
      <c r="D116" s="9">
        <v>40437</v>
      </c>
      <c r="E116">
        <v>14</v>
      </c>
      <c r="F116" t="s">
        <v>17</v>
      </c>
      <c r="G116">
        <v>3</v>
      </c>
      <c r="H116" t="s">
        <v>130</v>
      </c>
      <c r="I116" t="b">
        <v>0</v>
      </c>
      <c r="K116" s="10">
        <v>0.608333333333333</v>
      </c>
      <c r="L116" s="10">
        <v>0.66875</v>
      </c>
      <c r="M116">
        <v>87</v>
      </c>
      <c r="N116" t="b">
        <v>1</v>
      </c>
      <c r="O116" t="s">
        <v>47</v>
      </c>
    </row>
    <row r="117" spans="1:15">
      <c r="A117">
        <v>116</v>
      </c>
      <c r="B117" t="s">
        <v>253</v>
      </c>
      <c r="C117" t="s">
        <v>25</v>
      </c>
      <c r="D117" s="9">
        <v>33314</v>
      </c>
      <c r="E117">
        <v>33</v>
      </c>
      <c r="F117" t="s">
        <v>17</v>
      </c>
      <c r="G117">
        <v>4</v>
      </c>
      <c r="H117" t="s">
        <v>168</v>
      </c>
      <c r="I117" t="b">
        <v>0</v>
      </c>
      <c r="K117" s="10">
        <v>0.797222222222222</v>
      </c>
      <c r="L117" s="10">
        <v>0.891666666666667</v>
      </c>
      <c r="M117">
        <v>136</v>
      </c>
      <c r="N117" t="b">
        <v>0</v>
      </c>
    </row>
    <row r="118" spans="1:15">
      <c r="A118">
        <v>117</v>
      </c>
      <c r="B118" t="s">
        <v>254</v>
      </c>
      <c r="C118" t="s">
        <v>25</v>
      </c>
      <c r="D118" s="9">
        <v>27488</v>
      </c>
      <c r="E118">
        <v>49</v>
      </c>
      <c r="F118" t="s">
        <v>21</v>
      </c>
      <c r="G118">
        <v>1</v>
      </c>
      <c r="H118" t="s">
        <v>59</v>
      </c>
      <c r="I118" t="b">
        <v>1</v>
      </c>
      <c r="J118" t="s">
        <v>67</v>
      </c>
      <c r="K118" s="10">
        <v>0.751388888888889</v>
      </c>
      <c r="L118" s="10">
        <v>0.817361111111111</v>
      </c>
      <c r="M118">
        <v>95</v>
      </c>
      <c r="N118" t="b">
        <v>0</v>
      </c>
    </row>
    <row r="119" spans="1:15">
      <c r="A119">
        <v>118</v>
      </c>
      <c r="B119" t="s">
        <v>253</v>
      </c>
      <c r="C119" t="s">
        <v>25</v>
      </c>
      <c r="D119" s="9">
        <v>30678</v>
      </c>
      <c r="E119">
        <v>40</v>
      </c>
      <c r="F119" t="s">
        <v>21</v>
      </c>
      <c r="G119">
        <v>5</v>
      </c>
      <c r="H119" t="s">
        <v>183</v>
      </c>
      <c r="I119" t="b">
        <v>0</v>
      </c>
      <c r="K119" s="10">
        <v>0.349305555555556</v>
      </c>
      <c r="L119" s="10">
        <v>0.418055555555556</v>
      </c>
      <c r="M119">
        <v>99</v>
      </c>
      <c r="N119" t="b">
        <v>0</v>
      </c>
    </row>
    <row r="120" spans="1:15">
      <c r="A120">
        <v>119</v>
      </c>
      <c r="B120" t="s">
        <v>255</v>
      </c>
      <c r="C120" t="s">
        <v>25</v>
      </c>
      <c r="D120" s="9">
        <v>28678</v>
      </c>
      <c r="E120">
        <v>46</v>
      </c>
      <c r="F120" t="s">
        <v>17</v>
      </c>
      <c r="G120">
        <v>3</v>
      </c>
      <c r="H120" t="s">
        <v>130</v>
      </c>
      <c r="I120" t="b">
        <v>1</v>
      </c>
      <c r="J120" t="s">
        <v>256</v>
      </c>
      <c r="K120" s="10">
        <v>0.5625</v>
      </c>
      <c r="L120" s="10">
        <v>0.684722222222222</v>
      </c>
      <c r="M120">
        <v>176</v>
      </c>
      <c r="N120" t="b">
        <v>1</v>
      </c>
      <c r="O120" t="s">
        <v>47</v>
      </c>
    </row>
    <row r="121" spans="1:15">
      <c r="A121">
        <v>120</v>
      </c>
      <c r="B121" t="s">
        <v>257</v>
      </c>
      <c r="C121" t="s">
        <v>16</v>
      </c>
      <c r="D121" s="9">
        <v>30808</v>
      </c>
      <c r="E121">
        <v>40</v>
      </c>
      <c r="F121" t="s">
        <v>21</v>
      </c>
      <c r="G121">
        <v>3</v>
      </c>
      <c r="H121" t="s">
        <v>37</v>
      </c>
      <c r="I121" t="b">
        <v>0</v>
      </c>
      <c r="K121" s="10">
        <v>0.621527777777778</v>
      </c>
      <c r="L121" s="10">
        <v>0.739583333333333</v>
      </c>
      <c r="M121">
        <v>170</v>
      </c>
      <c r="N121" t="b">
        <v>1</v>
      </c>
      <c r="O121" t="s">
        <v>23</v>
      </c>
    </row>
    <row r="122" spans="1:15">
      <c r="A122">
        <v>121</v>
      </c>
      <c r="B122" t="s">
        <v>258</v>
      </c>
      <c r="C122" t="s">
        <v>16</v>
      </c>
      <c r="D122" s="9">
        <v>37345</v>
      </c>
      <c r="E122">
        <v>22</v>
      </c>
      <c r="F122" t="s">
        <v>17</v>
      </c>
      <c r="G122">
        <v>2</v>
      </c>
      <c r="H122" t="s">
        <v>259</v>
      </c>
      <c r="I122" t="b">
        <v>1</v>
      </c>
      <c r="J122" t="s">
        <v>260</v>
      </c>
      <c r="K122" s="10">
        <v>0.804861111111111</v>
      </c>
      <c r="L122" s="10">
        <v>0.910416666666667</v>
      </c>
      <c r="M122">
        <v>152</v>
      </c>
      <c r="N122" t="b">
        <v>0</v>
      </c>
    </row>
    <row r="123" spans="1:15">
      <c r="A123">
        <v>122</v>
      </c>
      <c r="B123" t="s">
        <v>261</v>
      </c>
      <c r="C123" t="s">
        <v>16</v>
      </c>
      <c r="D123" s="9">
        <v>29769</v>
      </c>
      <c r="E123">
        <v>43</v>
      </c>
      <c r="F123" t="s">
        <v>17</v>
      </c>
      <c r="G123">
        <v>1</v>
      </c>
      <c r="H123" t="s">
        <v>35</v>
      </c>
      <c r="I123" t="b">
        <v>1</v>
      </c>
      <c r="J123" t="s">
        <v>262</v>
      </c>
      <c r="K123" s="10">
        <v>0.839583333333333</v>
      </c>
      <c r="L123" s="10">
        <v>0.927083333333333</v>
      </c>
      <c r="M123">
        <v>126</v>
      </c>
      <c r="N123" t="b">
        <v>0</v>
      </c>
    </row>
    <row r="124" spans="1:15">
      <c r="A124">
        <v>123</v>
      </c>
      <c r="B124" t="s">
        <v>263</v>
      </c>
      <c r="C124" t="s">
        <v>16</v>
      </c>
      <c r="D124" s="9">
        <v>33174</v>
      </c>
      <c r="E124">
        <v>33</v>
      </c>
      <c r="F124" t="s">
        <v>21</v>
      </c>
      <c r="G124">
        <v>3</v>
      </c>
      <c r="H124" t="s">
        <v>22</v>
      </c>
      <c r="I124" t="b">
        <v>0</v>
      </c>
      <c r="K124" s="10">
        <v>0.406944444444444</v>
      </c>
      <c r="L124" s="10">
        <v>0.434722222222222</v>
      </c>
      <c r="M124">
        <v>40</v>
      </c>
      <c r="N124" t="b">
        <v>0</v>
      </c>
    </row>
    <row r="125" spans="1:15">
      <c r="A125">
        <v>124</v>
      </c>
      <c r="B125" t="s">
        <v>264</v>
      </c>
      <c r="C125" t="s">
        <v>16</v>
      </c>
      <c r="D125" s="9">
        <v>40388</v>
      </c>
      <c r="E125">
        <v>14</v>
      </c>
      <c r="F125" t="s">
        <v>17</v>
      </c>
      <c r="G125">
        <v>3</v>
      </c>
      <c r="H125" t="s">
        <v>215</v>
      </c>
      <c r="I125" t="b">
        <v>0</v>
      </c>
      <c r="K125" s="10">
        <v>0.611111111111111</v>
      </c>
      <c r="L125" s="10">
        <v>0.645138888888889</v>
      </c>
      <c r="M125">
        <v>49</v>
      </c>
      <c r="N125" t="b">
        <v>1</v>
      </c>
      <c r="O125" t="s">
        <v>50</v>
      </c>
    </row>
    <row r="126" spans="1:15">
      <c r="A126">
        <v>125</v>
      </c>
      <c r="B126" t="s">
        <v>265</v>
      </c>
      <c r="C126" t="s">
        <v>25</v>
      </c>
      <c r="D126" s="9">
        <v>40288</v>
      </c>
      <c r="E126">
        <v>14</v>
      </c>
      <c r="F126" t="s">
        <v>21</v>
      </c>
      <c r="G126">
        <v>3</v>
      </c>
      <c r="H126" t="s">
        <v>266</v>
      </c>
      <c r="I126" t="b">
        <v>0</v>
      </c>
      <c r="K126" s="10">
        <v>0.589583333333333</v>
      </c>
      <c r="L126" s="10">
        <v>0.7125</v>
      </c>
      <c r="M126">
        <v>177</v>
      </c>
      <c r="N126" t="b">
        <v>1</v>
      </c>
      <c r="O126" t="s">
        <v>47</v>
      </c>
    </row>
    <row r="127" spans="1:15">
      <c r="A127">
        <v>126</v>
      </c>
      <c r="B127" t="s">
        <v>267</v>
      </c>
      <c r="C127" t="s">
        <v>25</v>
      </c>
      <c r="D127" s="9">
        <v>40102</v>
      </c>
      <c r="E127">
        <v>14</v>
      </c>
      <c r="F127" t="s">
        <v>21</v>
      </c>
      <c r="G127">
        <v>3</v>
      </c>
      <c r="H127" t="s">
        <v>215</v>
      </c>
      <c r="I127" t="b">
        <v>0</v>
      </c>
      <c r="K127" s="10">
        <v>0.361111111111111</v>
      </c>
      <c r="L127" s="10">
        <v>0.413888888888889</v>
      </c>
      <c r="M127">
        <v>76</v>
      </c>
      <c r="N127" t="b">
        <v>1</v>
      </c>
      <c r="O127" t="s">
        <v>23</v>
      </c>
    </row>
    <row r="128" spans="1:15">
      <c r="A128">
        <v>127</v>
      </c>
      <c r="B128" t="s">
        <v>268</v>
      </c>
      <c r="C128" t="s">
        <v>16</v>
      </c>
      <c r="D128" s="9">
        <v>38337</v>
      </c>
      <c r="E128">
        <v>19</v>
      </c>
      <c r="F128" t="s">
        <v>21</v>
      </c>
      <c r="G128">
        <v>3</v>
      </c>
      <c r="H128" t="s">
        <v>241</v>
      </c>
      <c r="I128" t="b">
        <v>0</v>
      </c>
      <c r="K128" s="10">
        <v>0.456944444444444</v>
      </c>
      <c r="L128" s="10">
        <v>0.527083333333333</v>
      </c>
      <c r="M128">
        <v>101</v>
      </c>
      <c r="N128" t="b">
        <v>1</v>
      </c>
      <c r="O128" t="s">
        <v>50</v>
      </c>
    </row>
    <row r="129" spans="1:15">
      <c r="A129">
        <v>128</v>
      </c>
      <c r="B129" t="s">
        <v>269</v>
      </c>
      <c r="C129" t="s">
        <v>16</v>
      </c>
      <c r="D129" s="9">
        <v>33661</v>
      </c>
      <c r="E129">
        <v>32</v>
      </c>
      <c r="F129" t="s">
        <v>17</v>
      </c>
      <c r="G129">
        <v>3</v>
      </c>
      <c r="H129" t="s">
        <v>251</v>
      </c>
      <c r="I129" t="b">
        <v>0</v>
      </c>
      <c r="K129" s="10">
        <v>0.599305555555556</v>
      </c>
      <c r="L129" s="10">
        <v>0.70625</v>
      </c>
      <c r="M129">
        <v>154</v>
      </c>
      <c r="N129" t="b">
        <v>0</v>
      </c>
    </row>
    <row r="130" spans="1:15">
      <c r="A130">
        <v>129</v>
      </c>
      <c r="B130" t="s">
        <v>270</v>
      </c>
      <c r="C130" t="s">
        <v>25</v>
      </c>
      <c r="D130" s="9">
        <v>28214</v>
      </c>
      <c r="E130">
        <v>47</v>
      </c>
      <c r="F130" t="s">
        <v>17</v>
      </c>
      <c r="G130">
        <v>1</v>
      </c>
      <c r="H130" t="s">
        <v>185</v>
      </c>
      <c r="I130" t="b">
        <v>1</v>
      </c>
      <c r="J130" t="s">
        <v>217</v>
      </c>
      <c r="K130" s="10">
        <v>0.516666666666667</v>
      </c>
      <c r="L130" s="10">
        <v>0.550694444444444</v>
      </c>
      <c r="M130">
        <v>49</v>
      </c>
      <c r="N130" t="b">
        <v>1</v>
      </c>
      <c r="O130" t="s">
        <v>50</v>
      </c>
    </row>
    <row r="131" spans="1:15">
      <c r="A131">
        <v>130</v>
      </c>
      <c r="B131" t="s">
        <v>271</v>
      </c>
      <c r="C131" t="s">
        <v>25</v>
      </c>
      <c r="D131" s="9">
        <v>29733</v>
      </c>
      <c r="E131">
        <v>43</v>
      </c>
      <c r="F131" t="s">
        <v>17</v>
      </c>
      <c r="G131">
        <v>2</v>
      </c>
      <c r="H131" t="s">
        <v>272</v>
      </c>
      <c r="I131" t="b">
        <v>0</v>
      </c>
      <c r="K131" s="10">
        <v>0.819444444444445</v>
      </c>
      <c r="L131" s="10">
        <v>0.875</v>
      </c>
      <c r="M131">
        <v>80</v>
      </c>
      <c r="N131" t="b">
        <v>1</v>
      </c>
      <c r="O131" t="s">
        <v>23</v>
      </c>
    </row>
    <row r="132" spans="1:15">
      <c r="A132">
        <v>131</v>
      </c>
      <c r="B132" t="s">
        <v>273</v>
      </c>
      <c r="C132" t="s">
        <v>25</v>
      </c>
      <c r="D132" s="9">
        <v>32829</v>
      </c>
      <c r="E132">
        <v>34</v>
      </c>
      <c r="F132" t="s">
        <v>21</v>
      </c>
      <c r="G132">
        <v>3</v>
      </c>
      <c r="H132" t="s">
        <v>65</v>
      </c>
      <c r="I132" t="b">
        <v>0</v>
      </c>
      <c r="K132" s="10">
        <v>0.653472222222222</v>
      </c>
      <c r="L132" s="10">
        <v>0.727083333333333</v>
      </c>
      <c r="M132">
        <v>106</v>
      </c>
      <c r="N132" t="b">
        <v>1</v>
      </c>
      <c r="O132" t="s">
        <v>50</v>
      </c>
    </row>
    <row r="133" spans="1:15">
      <c r="A133">
        <v>132</v>
      </c>
      <c r="B133" t="s">
        <v>274</v>
      </c>
      <c r="C133" t="s">
        <v>25</v>
      </c>
      <c r="D133" s="9">
        <v>37699</v>
      </c>
      <c r="E133">
        <v>21</v>
      </c>
      <c r="F133" t="s">
        <v>17</v>
      </c>
      <c r="G133">
        <v>1</v>
      </c>
      <c r="H133" t="s">
        <v>35</v>
      </c>
      <c r="I133" t="b">
        <v>0</v>
      </c>
      <c r="K133" s="10">
        <v>0.757638888888889</v>
      </c>
      <c r="L133" s="10">
        <v>0.822222222222222</v>
      </c>
      <c r="M133">
        <v>93</v>
      </c>
      <c r="N133" t="b">
        <v>1</v>
      </c>
      <c r="O133" t="s">
        <v>50</v>
      </c>
    </row>
    <row r="134" spans="1:15">
      <c r="A134">
        <v>133</v>
      </c>
      <c r="B134" t="s">
        <v>275</v>
      </c>
      <c r="C134" t="s">
        <v>25</v>
      </c>
      <c r="D134" s="9">
        <v>35546</v>
      </c>
      <c r="E134">
        <v>27</v>
      </c>
      <c r="F134" t="s">
        <v>17</v>
      </c>
      <c r="G134">
        <v>2</v>
      </c>
      <c r="H134" t="s">
        <v>40</v>
      </c>
      <c r="I134" t="b">
        <v>1</v>
      </c>
      <c r="J134" t="s">
        <v>174</v>
      </c>
      <c r="K134" s="10">
        <v>0.482638888888889</v>
      </c>
      <c r="L134" s="10">
        <v>0.604861111111111</v>
      </c>
      <c r="M134">
        <v>176</v>
      </c>
      <c r="N134" t="b">
        <v>0</v>
      </c>
    </row>
    <row r="135" spans="1:15">
      <c r="A135">
        <v>134</v>
      </c>
      <c r="B135" t="s">
        <v>276</v>
      </c>
      <c r="C135" t="s">
        <v>16</v>
      </c>
      <c r="D135" s="9">
        <v>34201</v>
      </c>
      <c r="E135">
        <v>31</v>
      </c>
      <c r="F135" t="s">
        <v>17</v>
      </c>
      <c r="G135">
        <v>5</v>
      </c>
      <c r="H135" t="s">
        <v>277</v>
      </c>
      <c r="I135" t="b">
        <v>1</v>
      </c>
      <c r="J135" t="s">
        <v>62</v>
      </c>
      <c r="K135" s="10">
        <v>0.396527777777778</v>
      </c>
      <c r="L135" s="10">
        <v>0.516666666666667</v>
      </c>
      <c r="M135">
        <v>173</v>
      </c>
      <c r="N135" t="b">
        <v>1</v>
      </c>
      <c r="O135" t="s">
        <v>28</v>
      </c>
    </row>
    <row r="136" spans="1:15">
      <c r="A136">
        <v>135</v>
      </c>
      <c r="B136" t="s">
        <v>278</v>
      </c>
      <c r="C136" t="s">
        <v>16</v>
      </c>
      <c r="D136" s="9">
        <v>37760</v>
      </c>
      <c r="E136">
        <v>21</v>
      </c>
      <c r="F136" t="s">
        <v>21</v>
      </c>
      <c r="G136">
        <v>2</v>
      </c>
      <c r="H136" t="s">
        <v>133</v>
      </c>
      <c r="I136" t="b">
        <v>0</v>
      </c>
      <c r="K136" s="10">
        <v>0.545138888888889</v>
      </c>
      <c r="L136" s="10">
        <v>0.584722222222222</v>
      </c>
      <c r="M136">
        <v>57</v>
      </c>
      <c r="N136" t="b">
        <v>1</v>
      </c>
      <c r="O136" t="s">
        <v>28</v>
      </c>
    </row>
    <row r="137" spans="1:15">
      <c r="A137">
        <v>136</v>
      </c>
      <c r="B137" t="s">
        <v>279</v>
      </c>
      <c r="C137" t="s">
        <v>16</v>
      </c>
      <c r="D137" s="9">
        <v>39994</v>
      </c>
      <c r="E137">
        <v>15</v>
      </c>
      <c r="F137" t="s">
        <v>21</v>
      </c>
      <c r="G137">
        <v>2</v>
      </c>
      <c r="H137" t="s">
        <v>138</v>
      </c>
      <c r="I137" t="b">
        <v>0</v>
      </c>
      <c r="K137" s="10">
        <v>0.702083333333333</v>
      </c>
      <c r="L137" s="10">
        <v>0.733333333333333</v>
      </c>
      <c r="M137">
        <v>45</v>
      </c>
      <c r="N137" t="b">
        <v>0</v>
      </c>
    </row>
    <row r="138" spans="1:15">
      <c r="A138">
        <v>137</v>
      </c>
      <c r="B138" t="s">
        <v>280</v>
      </c>
      <c r="C138" t="s">
        <v>16</v>
      </c>
      <c r="D138" s="9">
        <v>38248</v>
      </c>
      <c r="E138">
        <v>20</v>
      </c>
      <c r="F138" t="s">
        <v>17</v>
      </c>
      <c r="G138">
        <v>3</v>
      </c>
      <c r="H138" t="s">
        <v>79</v>
      </c>
      <c r="I138" t="b">
        <v>0</v>
      </c>
      <c r="K138" s="10">
        <v>0.438888888888889</v>
      </c>
      <c r="L138" s="10">
        <v>0.5625</v>
      </c>
      <c r="M138">
        <v>178</v>
      </c>
      <c r="N138" t="b">
        <v>0</v>
      </c>
    </row>
    <row r="139" spans="1:15">
      <c r="A139">
        <v>138</v>
      </c>
      <c r="B139" t="s">
        <v>281</v>
      </c>
      <c r="C139" t="s">
        <v>25</v>
      </c>
      <c r="D139" s="9">
        <v>32243</v>
      </c>
      <c r="E139">
        <v>36</v>
      </c>
      <c r="F139" t="s">
        <v>21</v>
      </c>
      <c r="G139">
        <v>1</v>
      </c>
      <c r="H139" t="s">
        <v>185</v>
      </c>
      <c r="I139" t="b">
        <v>0</v>
      </c>
      <c r="K139" s="10">
        <v>0.871527777777778</v>
      </c>
      <c r="L139" s="10">
        <v>0.927777777777778</v>
      </c>
      <c r="M139">
        <v>81</v>
      </c>
      <c r="N139" t="b">
        <v>0</v>
      </c>
    </row>
    <row r="140" spans="1:15">
      <c r="A140">
        <v>139</v>
      </c>
      <c r="B140" t="s">
        <v>282</v>
      </c>
      <c r="C140" t="s">
        <v>16</v>
      </c>
      <c r="D140" s="9">
        <v>34066</v>
      </c>
      <c r="E140">
        <v>31</v>
      </c>
      <c r="F140" t="s">
        <v>21</v>
      </c>
      <c r="G140">
        <v>5</v>
      </c>
      <c r="H140" t="s">
        <v>283</v>
      </c>
      <c r="I140" t="b">
        <v>0</v>
      </c>
      <c r="K140" s="10">
        <v>0.811111111111111</v>
      </c>
      <c r="L140" s="10">
        <v>0.899305555555555</v>
      </c>
      <c r="M140">
        <v>127</v>
      </c>
      <c r="N140" t="b">
        <v>0</v>
      </c>
    </row>
    <row r="141" spans="1:15">
      <c r="A141">
        <v>140</v>
      </c>
      <c r="B141" t="s">
        <v>284</v>
      </c>
      <c r="C141" t="s">
        <v>16</v>
      </c>
      <c r="D141" s="9">
        <v>40234</v>
      </c>
      <c r="E141">
        <v>14</v>
      </c>
      <c r="F141" t="s">
        <v>21</v>
      </c>
      <c r="G141">
        <v>2</v>
      </c>
      <c r="H141" t="s">
        <v>55</v>
      </c>
      <c r="I141" t="b">
        <v>1</v>
      </c>
      <c r="J141" t="s">
        <v>285</v>
      </c>
      <c r="K141" s="10">
        <v>0.439583333333333</v>
      </c>
      <c r="L141" s="10">
        <v>0.461805555555556</v>
      </c>
      <c r="M141">
        <v>32</v>
      </c>
      <c r="N141" t="b">
        <v>0</v>
      </c>
    </row>
    <row r="142" spans="1:15">
      <c r="A142">
        <v>141</v>
      </c>
      <c r="B142" t="s">
        <v>286</v>
      </c>
      <c r="C142" t="s">
        <v>25</v>
      </c>
      <c r="D142" s="9">
        <v>30830</v>
      </c>
      <c r="E142">
        <v>40</v>
      </c>
      <c r="F142" t="s">
        <v>17</v>
      </c>
      <c r="G142">
        <v>3</v>
      </c>
      <c r="H142" t="s">
        <v>30</v>
      </c>
      <c r="I142" t="b">
        <v>1</v>
      </c>
      <c r="J142" t="s">
        <v>287</v>
      </c>
      <c r="K142" s="10">
        <v>0.832638888888889</v>
      </c>
      <c r="L142" s="10">
        <v>0.942361111111111</v>
      </c>
      <c r="M142">
        <v>158</v>
      </c>
      <c r="N142" t="b">
        <v>1</v>
      </c>
      <c r="O142" t="s">
        <v>28</v>
      </c>
    </row>
    <row r="143" spans="1:15">
      <c r="A143">
        <v>142</v>
      </c>
      <c r="B143" t="s">
        <v>288</v>
      </c>
      <c r="C143" t="s">
        <v>16</v>
      </c>
      <c r="D143" s="9">
        <v>37322</v>
      </c>
      <c r="E143">
        <v>22</v>
      </c>
      <c r="F143" t="s">
        <v>21</v>
      </c>
      <c r="G143">
        <v>5</v>
      </c>
      <c r="H143" t="s">
        <v>289</v>
      </c>
      <c r="I143" t="b">
        <v>1</v>
      </c>
      <c r="J143" t="s">
        <v>290</v>
      </c>
      <c r="K143" s="10">
        <v>0.342361111111111</v>
      </c>
      <c r="L143" s="10">
        <v>0.464583333333333</v>
      </c>
      <c r="M143">
        <v>176</v>
      </c>
      <c r="N143" t="b">
        <v>0</v>
      </c>
    </row>
    <row r="144" spans="1:15">
      <c r="A144">
        <v>143</v>
      </c>
      <c r="B144" t="s">
        <v>291</v>
      </c>
      <c r="C144" t="s">
        <v>16</v>
      </c>
      <c r="D144" s="9">
        <v>39526</v>
      </c>
      <c r="E144">
        <v>16</v>
      </c>
      <c r="F144" t="s">
        <v>17</v>
      </c>
      <c r="G144">
        <v>3</v>
      </c>
      <c r="H144" t="s">
        <v>98</v>
      </c>
      <c r="I144" t="b">
        <v>0</v>
      </c>
      <c r="K144" s="10">
        <v>0.722916666666667</v>
      </c>
      <c r="L144" s="10">
        <v>0.805555555555555</v>
      </c>
      <c r="M144">
        <v>119</v>
      </c>
      <c r="N144" t="b">
        <v>1</v>
      </c>
      <c r="O144" t="s">
        <v>23</v>
      </c>
    </row>
    <row r="145" spans="1:15">
      <c r="A145">
        <v>144</v>
      </c>
      <c r="B145" t="s">
        <v>292</v>
      </c>
      <c r="C145" t="s">
        <v>25</v>
      </c>
      <c r="D145" s="9">
        <v>27464</v>
      </c>
      <c r="E145">
        <v>49</v>
      </c>
      <c r="F145" t="s">
        <v>17</v>
      </c>
      <c r="G145">
        <v>3</v>
      </c>
      <c r="H145" t="s">
        <v>164</v>
      </c>
      <c r="I145" t="b">
        <v>1</v>
      </c>
      <c r="J145" t="s">
        <v>293</v>
      </c>
      <c r="K145" s="10">
        <v>0.854166666666667</v>
      </c>
      <c r="L145" s="10">
        <v>0.953472222222222</v>
      </c>
      <c r="M145">
        <v>143</v>
      </c>
      <c r="N145" t="b">
        <v>1</v>
      </c>
      <c r="O145" t="s">
        <v>47</v>
      </c>
    </row>
    <row r="146" spans="1:15">
      <c r="A146">
        <v>145</v>
      </c>
      <c r="B146" t="s">
        <v>294</v>
      </c>
      <c r="C146" t="s">
        <v>16</v>
      </c>
      <c r="D146" s="9">
        <v>40350</v>
      </c>
      <c r="E146">
        <v>14</v>
      </c>
      <c r="F146" t="s">
        <v>17</v>
      </c>
      <c r="G146">
        <v>3</v>
      </c>
      <c r="H146" t="s">
        <v>295</v>
      </c>
      <c r="I146" t="b">
        <v>0</v>
      </c>
      <c r="K146" s="10">
        <v>0.424305555555556</v>
      </c>
      <c r="L146" s="10">
        <v>0.460416666666667</v>
      </c>
      <c r="M146">
        <v>52</v>
      </c>
      <c r="N146" t="b">
        <v>0</v>
      </c>
    </row>
    <row r="147" spans="1:15">
      <c r="A147">
        <v>146</v>
      </c>
      <c r="B147" t="s">
        <v>296</v>
      </c>
      <c r="C147" t="s">
        <v>16</v>
      </c>
      <c r="D147" s="9">
        <v>40410</v>
      </c>
      <c r="E147">
        <v>14</v>
      </c>
      <c r="F147" t="s">
        <v>21</v>
      </c>
      <c r="G147">
        <v>5</v>
      </c>
      <c r="H147" t="s">
        <v>283</v>
      </c>
      <c r="I147" t="b">
        <v>1</v>
      </c>
      <c r="J147" t="s">
        <v>107</v>
      </c>
      <c r="K147" s="10">
        <v>0.849305555555556</v>
      </c>
      <c r="L147" s="10">
        <v>0.890972222222222</v>
      </c>
      <c r="M147">
        <v>60</v>
      </c>
      <c r="N147" t="b">
        <v>1</v>
      </c>
      <c r="O147" t="s">
        <v>28</v>
      </c>
    </row>
    <row r="148" spans="1:15">
      <c r="A148">
        <v>147</v>
      </c>
      <c r="B148" t="s">
        <v>297</v>
      </c>
      <c r="C148" t="s">
        <v>25</v>
      </c>
      <c r="D148" s="9">
        <v>32219</v>
      </c>
      <c r="E148">
        <v>36</v>
      </c>
      <c r="F148" t="s">
        <v>21</v>
      </c>
      <c r="G148">
        <v>3</v>
      </c>
      <c r="H148" t="s">
        <v>251</v>
      </c>
      <c r="I148" t="b">
        <v>1</v>
      </c>
      <c r="J148" t="s">
        <v>217</v>
      </c>
      <c r="K148" s="10">
        <v>0.763194444444444</v>
      </c>
      <c r="L148" s="10">
        <v>0.825</v>
      </c>
      <c r="M148">
        <v>89</v>
      </c>
      <c r="N148" t="b">
        <v>0</v>
      </c>
    </row>
    <row r="149" spans="1:15">
      <c r="A149">
        <v>148</v>
      </c>
      <c r="B149" t="s">
        <v>298</v>
      </c>
      <c r="C149" t="s">
        <v>25</v>
      </c>
      <c r="D149" s="9">
        <v>32224</v>
      </c>
      <c r="E149">
        <v>36</v>
      </c>
      <c r="F149" t="s">
        <v>17</v>
      </c>
      <c r="G149">
        <v>2</v>
      </c>
      <c r="H149" t="s">
        <v>187</v>
      </c>
      <c r="I149" t="b">
        <v>1</v>
      </c>
      <c r="J149" t="s">
        <v>299</v>
      </c>
      <c r="K149" s="10">
        <v>0.380555555555556</v>
      </c>
      <c r="L149" s="10">
        <v>0.501388888888889</v>
      </c>
      <c r="M149">
        <v>174</v>
      </c>
      <c r="N149" t="b">
        <v>1</v>
      </c>
      <c r="O149" t="s">
        <v>28</v>
      </c>
    </row>
    <row r="150" spans="1:15">
      <c r="A150">
        <v>149</v>
      </c>
      <c r="B150" t="s">
        <v>300</v>
      </c>
      <c r="C150" t="s">
        <v>25</v>
      </c>
      <c r="D150" s="9">
        <v>35975</v>
      </c>
      <c r="E150">
        <v>26</v>
      </c>
      <c r="F150" t="s">
        <v>21</v>
      </c>
      <c r="G150">
        <v>2</v>
      </c>
      <c r="H150" t="s">
        <v>187</v>
      </c>
      <c r="I150" t="b">
        <v>0</v>
      </c>
      <c r="K150" s="10">
        <v>0.747916666666667</v>
      </c>
      <c r="L150" s="10">
        <v>0.825694444444444</v>
      </c>
      <c r="M150">
        <v>112</v>
      </c>
      <c r="N150" t="b">
        <v>0</v>
      </c>
    </row>
    <row r="151" spans="1:15">
      <c r="A151">
        <v>150</v>
      </c>
      <c r="B151" t="s">
        <v>301</v>
      </c>
      <c r="C151" t="s">
        <v>25</v>
      </c>
      <c r="D151" s="9">
        <v>38530</v>
      </c>
      <c r="E151">
        <v>19</v>
      </c>
      <c r="F151" t="s">
        <v>17</v>
      </c>
      <c r="G151">
        <v>1</v>
      </c>
      <c r="H151" t="s">
        <v>46</v>
      </c>
      <c r="I151" t="b">
        <v>0</v>
      </c>
      <c r="K151" s="10">
        <v>0.673611111111111</v>
      </c>
      <c r="L151" s="10">
        <v>0.730555555555556</v>
      </c>
      <c r="M151">
        <v>82</v>
      </c>
      <c r="N151" t="b">
        <v>1</v>
      </c>
      <c r="O151" t="s">
        <v>28</v>
      </c>
    </row>
    <row r="152" spans="1:15">
      <c r="A152">
        <v>151</v>
      </c>
      <c r="B152" t="s">
        <v>302</v>
      </c>
      <c r="C152" t="s">
        <v>25</v>
      </c>
      <c r="D152" s="9">
        <v>34732</v>
      </c>
      <c r="E152">
        <v>29</v>
      </c>
      <c r="F152" t="s">
        <v>17</v>
      </c>
      <c r="G152">
        <v>2</v>
      </c>
      <c r="H152" t="s">
        <v>121</v>
      </c>
      <c r="I152" t="b">
        <v>1</v>
      </c>
      <c r="J152" t="s">
        <v>303</v>
      </c>
      <c r="K152" s="10">
        <v>0.84375</v>
      </c>
      <c r="L152" s="10">
        <v>0.882638888888889</v>
      </c>
      <c r="M152">
        <v>56</v>
      </c>
      <c r="N152" t="b">
        <v>0</v>
      </c>
    </row>
    <row r="153" spans="1:15">
      <c r="A153">
        <v>152</v>
      </c>
      <c r="B153" t="s">
        <v>304</v>
      </c>
      <c r="C153" t="s">
        <v>25</v>
      </c>
      <c r="D153" s="9">
        <v>35698</v>
      </c>
      <c r="E153">
        <v>27</v>
      </c>
      <c r="F153" t="s">
        <v>17</v>
      </c>
      <c r="G153">
        <v>2</v>
      </c>
      <c r="H153" t="s">
        <v>189</v>
      </c>
      <c r="I153" t="b">
        <v>0</v>
      </c>
      <c r="K153" s="10">
        <v>0.863888888888889</v>
      </c>
      <c r="L153" s="10">
        <v>0.897916666666667</v>
      </c>
      <c r="M153">
        <v>49</v>
      </c>
      <c r="N153" t="b">
        <v>1</v>
      </c>
      <c r="O153" t="s">
        <v>50</v>
      </c>
    </row>
    <row r="154" spans="1:15">
      <c r="A154">
        <v>153</v>
      </c>
      <c r="B154" t="s">
        <v>305</v>
      </c>
      <c r="C154" t="s">
        <v>25</v>
      </c>
      <c r="D154" s="9">
        <v>28328</v>
      </c>
      <c r="E154">
        <v>47</v>
      </c>
      <c r="F154" t="s">
        <v>17</v>
      </c>
      <c r="G154">
        <v>2</v>
      </c>
      <c r="H154" t="s">
        <v>306</v>
      </c>
      <c r="I154" t="b">
        <v>1</v>
      </c>
      <c r="J154" t="s">
        <v>307</v>
      </c>
      <c r="K154" s="10">
        <v>0.695138888888889</v>
      </c>
      <c r="L154" s="10">
        <v>0.719444444444444</v>
      </c>
      <c r="M154">
        <v>35</v>
      </c>
      <c r="N154" t="b">
        <v>1</v>
      </c>
      <c r="O154" t="s">
        <v>23</v>
      </c>
    </row>
    <row r="155" spans="1:15">
      <c r="A155">
        <v>154</v>
      </c>
      <c r="B155" t="s">
        <v>308</v>
      </c>
      <c r="C155" t="s">
        <v>25</v>
      </c>
      <c r="D155" s="9">
        <v>31122</v>
      </c>
      <c r="E155">
        <v>39</v>
      </c>
      <c r="F155" t="s">
        <v>21</v>
      </c>
      <c r="G155">
        <v>2</v>
      </c>
      <c r="H155" t="s">
        <v>72</v>
      </c>
      <c r="I155" t="b">
        <v>1</v>
      </c>
      <c r="J155" t="s">
        <v>19</v>
      </c>
      <c r="K155" s="10">
        <v>0.470833333333333</v>
      </c>
      <c r="L155" s="10">
        <v>0.543055555555556</v>
      </c>
      <c r="M155">
        <v>104</v>
      </c>
      <c r="N155" t="b">
        <v>1</v>
      </c>
      <c r="O155" t="s">
        <v>28</v>
      </c>
    </row>
    <row r="156" spans="1:15">
      <c r="A156">
        <v>155</v>
      </c>
      <c r="B156" t="s">
        <v>309</v>
      </c>
      <c r="C156" t="s">
        <v>25</v>
      </c>
      <c r="D156" s="9">
        <v>28364</v>
      </c>
      <c r="E156">
        <v>47</v>
      </c>
      <c r="F156" t="s">
        <v>21</v>
      </c>
      <c r="G156">
        <v>1</v>
      </c>
      <c r="H156" t="s">
        <v>46</v>
      </c>
      <c r="I156" t="b">
        <v>0</v>
      </c>
      <c r="K156" s="10">
        <v>0.611805555555556</v>
      </c>
      <c r="L156" s="10">
        <v>0.634722222222222</v>
      </c>
      <c r="M156">
        <v>33</v>
      </c>
      <c r="N156" t="b">
        <v>1</v>
      </c>
      <c r="O156" t="s">
        <v>50</v>
      </c>
    </row>
    <row r="157" spans="1:15">
      <c r="A157">
        <v>156</v>
      </c>
      <c r="B157" t="s">
        <v>310</v>
      </c>
      <c r="C157" t="s">
        <v>16</v>
      </c>
      <c r="D157" s="9">
        <v>38018</v>
      </c>
      <c r="E157">
        <v>20</v>
      </c>
      <c r="F157" t="s">
        <v>17</v>
      </c>
      <c r="G157">
        <v>2</v>
      </c>
      <c r="H157" t="s">
        <v>101</v>
      </c>
      <c r="I157" t="b">
        <v>0</v>
      </c>
      <c r="K157" s="10">
        <v>0.7875</v>
      </c>
      <c r="L157" s="10">
        <v>0.836111111111111</v>
      </c>
      <c r="M157">
        <v>70</v>
      </c>
      <c r="N157" t="b">
        <v>1</v>
      </c>
      <c r="O157" t="s">
        <v>23</v>
      </c>
    </row>
    <row r="158" spans="1:15">
      <c r="A158">
        <v>157</v>
      </c>
      <c r="B158" t="s">
        <v>311</v>
      </c>
      <c r="C158" t="s">
        <v>16</v>
      </c>
      <c r="D158" s="9">
        <v>38229</v>
      </c>
      <c r="E158">
        <v>20</v>
      </c>
      <c r="F158" t="s">
        <v>21</v>
      </c>
      <c r="G158">
        <v>4</v>
      </c>
      <c r="H158" t="s">
        <v>312</v>
      </c>
      <c r="I158" t="b">
        <v>0</v>
      </c>
      <c r="K158" s="10">
        <v>0.49375</v>
      </c>
      <c r="L158" s="10">
        <v>0.550694444444444</v>
      </c>
      <c r="M158">
        <v>82</v>
      </c>
      <c r="N158" t="b">
        <v>1</v>
      </c>
      <c r="O158" t="s">
        <v>47</v>
      </c>
    </row>
    <row r="159" spans="1:15">
      <c r="A159">
        <v>158</v>
      </c>
      <c r="B159" t="s">
        <v>313</v>
      </c>
      <c r="C159" t="s">
        <v>25</v>
      </c>
      <c r="D159" s="9">
        <v>37289</v>
      </c>
      <c r="E159">
        <v>22</v>
      </c>
      <c r="F159" t="s">
        <v>21</v>
      </c>
      <c r="G159">
        <v>2</v>
      </c>
      <c r="H159" t="s">
        <v>189</v>
      </c>
      <c r="I159" t="b">
        <v>0</v>
      </c>
      <c r="K159" s="10">
        <v>0.591666666666667</v>
      </c>
      <c r="L159" s="10">
        <v>0.650694444444444</v>
      </c>
      <c r="M159">
        <v>85</v>
      </c>
      <c r="N159" t="b">
        <v>1</v>
      </c>
      <c r="O159" t="s">
        <v>28</v>
      </c>
    </row>
    <row r="160" spans="1:15">
      <c r="A160">
        <v>159</v>
      </c>
      <c r="B160" t="s">
        <v>314</v>
      </c>
      <c r="C160" t="s">
        <v>16</v>
      </c>
      <c r="D160" s="9">
        <v>37410</v>
      </c>
      <c r="E160">
        <v>22</v>
      </c>
      <c r="F160" t="s">
        <v>21</v>
      </c>
      <c r="G160">
        <v>3</v>
      </c>
      <c r="H160" t="s">
        <v>315</v>
      </c>
      <c r="I160" t="b">
        <v>1</v>
      </c>
      <c r="J160" t="s">
        <v>316</v>
      </c>
      <c r="K160" s="10">
        <v>0.747916666666667</v>
      </c>
      <c r="L160" s="10">
        <v>0.846527777777778</v>
      </c>
      <c r="M160">
        <v>142</v>
      </c>
      <c r="N160" t="b">
        <v>1</v>
      </c>
      <c r="O160" t="s">
        <v>50</v>
      </c>
    </row>
    <row r="161" spans="1:15">
      <c r="A161">
        <v>160</v>
      </c>
      <c r="B161" t="s">
        <v>317</v>
      </c>
      <c r="C161" t="s">
        <v>16</v>
      </c>
      <c r="D161" s="9">
        <v>36604</v>
      </c>
      <c r="E161">
        <v>24</v>
      </c>
      <c r="F161" t="s">
        <v>17</v>
      </c>
      <c r="G161">
        <v>3</v>
      </c>
      <c r="H161" t="s">
        <v>318</v>
      </c>
      <c r="I161" t="b">
        <v>1</v>
      </c>
      <c r="J161" t="s">
        <v>319</v>
      </c>
      <c r="K161" s="10">
        <v>0.636805555555556</v>
      </c>
      <c r="L161" s="10">
        <v>0.7</v>
      </c>
      <c r="M161">
        <v>91</v>
      </c>
      <c r="N161" t="b">
        <v>1</v>
      </c>
      <c r="O161" t="s">
        <v>50</v>
      </c>
    </row>
    <row r="162" spans="1:15">
      <c r="A162">
        <v>161</v>
      </c>
      <c r="B162" t="s">
        <v>320</v>
      </c>
      <c r="C162" t="s">
        <v>16</v>
      </c>
      <c r="D162" s="9">
        <v>39073</v>
      </c>
      <c r="E162">
        <v>17</v>
      </c>
      <c r="F162" t="s">
        <v>21</v>
      </c>
      <c r="G162">
        <v>3</v>
      </c>
      <c r="H162" t="s">
        <v>321</v>
      </c>
      <c r="I162" t="b">
        <v>1</v>
      </c>
      <c r="J162" t="s">
        <v>322</v>
      </c>
      <c r="K162" s="10">
        <v>0.653472222222222</v>
      </c>
      <c r="L162" s="10">
        <v>0.760416666666667</v>
      </c>
      <c r="M162">
        <v>154</v>
      </c>
      <c r="N162" t="b">
        <v>1</v>
      </c>
      <c r="O162" t="s">
        <v>23</v>
      </c>
    </row>
    <row r="163" spans="1:15">
      <c r="A163">
        <v>162</v>
      </c>
      <c r="B163" t="s">
        <v>323</v>
      </c>
      <c r="C163" t="s">
        <v>25</v>
      </c>
      <c r="D163" s="9">
        <v>34726</v>
      </c>
      <c r="E163">
        <v>29</v>
      </c>
      <c r="F163" t="s">
        <v>21</v>
      </c>
      <c r="G163">
        <v>1</v>
      </c>
      <c r="H163" t="s">
        <v>49</v>
      </c>
      <c r="I163" t="b">
        <v>0</v>
      </c>
      <c r="K163" s="10">
        <v>0.708333333333333</v>
      </c>
      <c r="L163" s="10">
        <v>0.823611111111111</v>
      </c>
      <c r="M163">
        <v>166</v>
      </c>
      <c r="N163" t="b">
        <v>0</v>
      </c>
    </row>
    <row r="164" spans="1:15">
      <c r="A164">
        <v>163</v>
      </c>
      <c r="B164" t="s">
        <v>324</v>
      </c>
      <c r="C164" t="s">
        <v>25</v>
      </c>
      <c r="D164" s="9">
        <v>32105</v>
      </c>
      <c r="E164">
        <v>36</v>
      </c>
      <c r="F164" t="s">
        <v>17</v>
      </c>
      <c r="G164">
        <v>3</v>
      </c>
      <c r="H164" t="s">
        <v>325</v>
      </c>
      <c r="I164" t="b">
        <v>0</v>
      </c>
      <c r="K164" s="10">
        <v>0.3625</v>
      </c>
      <c r="L164" s="10">
        <v>0.469444444444444</v>
      </c>
      <c r="M164">
        <v>154</v>
      </c>
      <c r="N164" t="b">
        <v>1</v>
      </c>
      <c r="O164" t="s">
        <v>47</v>
      </c>
    </row>
    <row r="165" spans="1:15">
      <c r="A165">
        <v>164</v>
      </c>
      <c r="B165" t="s">
        <v>326</v>
      </c>
      <c r="C165" t="s">
        <v>25</v>
      </c>
      <c r="D165" s="9">
        <v>38015</v>
      </c>
      <c r="E165">
        <v>20</v>
      </c>
      <c r="F165" t="s">
        <v>21</v>
      </c>
      <c r="G165">
        <v>5</v>
      </c>
      <c r="H165" t="s">
        <v>88</v>
      </c>
      <c r="I165" t="b">
        <v>0</v>
      </c>
      <c r="K165" s="10">
        <v>0.736805555555556</v>
      </c>
      <c r="L165" s="10">
        <v>0.838888888888889</v>
      </c>
      <c r="M165">
        <v>147</v>
      </c>
      <c r="N165" t="b">
        <v>0</v>
      </c>
    </row>
    <row r="166" spans="1:15">
      <c r="A166">
        <v>165</v>
      </c>
      <c r="B166" t="s">
        <v>327</v>
      </c>
      <c r="C166" t="s">
        <v>25</v>
      </c>
      <c r="D166" s="9">
        <v>34841</v>
      </c>
      <c r="E166">
        <v>29</v>
      </c>
      <c r="F166" t="s">
        <v>21</v>
      </c>
      <c r="G166">
        <v>2</v>
      </c>
      <c r="H166" t="s">
        <v>133</v>
      </c>
      <c r="I166" t="b">
        <v>1</v>
      </c>
      <c r="J166" t="s">
        <v>174</v>
      </c>
      <c r="K166" s="10">
        <v>0.614583333333333</v>
      </c>
      <c r="L166" s="10">
        <v>0.727083333333333</v>
      </c>
      <c r="M166">
        <v>162</v>
      </c>
      <c r="N166" t="b">
        <v>1</v>
      </c>
      <c r="O166" t="s">
        <v>23</v>
      </c>
    </row>
    <row r="167" spans="1:15">
      <c r="A167">
        <v>166</v>
      </c>
      <c r="B167" t="s">
        <v>328</v>
      </c>
      <c r="C167" t="s">
        <v>25</v>
      </c>
      <c r="D167" s="9">
        <v>33866</v>
      </c>
      <c r="E167">
        <v>32</v>
      </c>
      <c r="F167" t="s">
        <v>17</v>
      </c>
      <c r="G167">
        <v>3</v>
      </c>
      <c r="H167" t="s">
        <v>74</v>
      </c>
      <c r="I167" t="b">
        <v>0</v>
      </c>
      <c r="K167" s="10">
        <v>0.856944444444444</v>
      </c>
      <c r="L167" s="10">
        <v>0.890972222222222</v>
      </c>
      <c r="M167">
        <v>49</v>
      </c>
      <c r="N167" t="b">
        <v>1</v>
      </c>
      <c r="O167" t="s">
        <v>23</v>
      </c>
    </row>
    <row r="168" spans="1:15">
      <c r="A168">
        <v>167</v>
      </c>
      <c r="B168" t="s">
        <v>329</v>
      </c>
      <c r="C168" t="s">
        <v>16</v>
      </c>
      <c r="D168" s="9">
        <v>29874</v>
      </c>
      <c r="E168">
        <v>42</v>
      </c>
      <c r="F168" t="s">
        <v>17</v>
      </c>
      <c r="G168">
        <v>4</v>
      </c>
      <c r="H168" t="s">
        <v>212</v>
      </c>
      <c r="I168" t="b">
        <v>1</v>
      </c>
      <c r="J168" t="s">
        <v>330</v>
      </c>
      <c r="K168" s="10">
        <v>0.413194444444444</v>
      </c>
      <c r="L168" s="10">
        <v>0.530555555555556</v>
      </c>
      <c r="M168">
        <v>169</v>
      </c>
      <c r="N168" t="b">
        <v>0</v>
      </c>
    </row>
    <row r="169" spans="1:15">
      <c r="A169">
        <v>168</v>
      </c>
      <c r="B169" t="s">
        <v>331</v>
      </c>
      <c r="C169" t="s">
        <v>25</v>
      </c>
      <c r="D169" s="9">
        <v>40456</v>
      </c>
      <c r="E169">
        <v>13</v>
      </c>
      <c r="F169" t="s">
        <v>21</v>
      </c>
      <c r="G169">
        <v>3</v>
      </c>
      <c r="H169" t="s">
        <v>92</v>
      </c>
      <c r="I169" t="b">
        <v>1</v>
      </c>
      <c r="J169" t="s">
        <v>217</v>
      </c>
      <c r="K169" s="10">
        <v>0.51875</v>
      </c>
      <c r="L169" s="10">
        <v>0.566666666666667</v>
      </c>
      <c r="M169">
        <v>69</v>
      </c>
      <c r="N169" t="b">
        <v>0</v>
      </c>
    </row>
    <row r="170" spans="1:15">
      <c r="A170">
        <v>169</v>
      </c>
      <c r="B170" t="s">
        <v>332</v>
      </c>
      <c r="C170" t="s">
        <v>16</v>
      </c>
      <c r="D170" s="9">
        <v>32475</v>
      </c>
      <c r="E170">
        <v>35</v>
      </c>
      <c r="F170" t="s">
        <v>17</v>
      </c>
      <c r="G170">
        <v>3</v>
      </c>
      <c r="H170" t="s">
        <v>22</v>
      </c>
      <c r="I170" t="b">
        <v>1</v>
      </c>
      <c r="J170" t="s">
        <v>19</v>
      </c>
      <c r="K170" s="10">
        <v>0.563888888888889</v>
      </c>
      <c r="L170" s="10">
        <v>0.589583333333333</v>
      </c>
      <c r="M170">
        <v>37</v>
      </c>
      <c r="N170" t="b">
        <v>0</v>
      </c>
    </row>
    <row r="171" spans="1:15">
      <c r="A171">
        <v>170</v>
      </c>
      <c r="B171" t="s">
        <v>333</v>
      </c>
      <c r="C171" t="s">
        <v>25</v>
      </c>
      <c r="D171" s="9">
        <v>29796</v>
      </c>
      <c r="E171">
        <v>43</v>
      </c>
      <c r="F171" t="s">
        <v>21</v>
      </c>
      <c r="G171">
        <v>3</v>
      </c>
      <c r="H171" t="s">
        <v>116</v>
      </c>
      <c r="I171" t="b">
        <v>0</v>
      </c>
      <c r="K171" s="10">
        <v>0.508333333333333</v>
      </c>
      <c r="L171" s="10">
        <v>0.545138888888889</v>
      </c>
      <c r="M171">
        <v>53</v>
      </c>
      <c r="N171" t="b">
        <v>1</v>
      </c>
      <c r="O171" t="s">
        <v>28</v>
      </c>
    </row>
    <row r="172" spans="1:15">
      <c r="A172">
        <v>171</v>
      </c>
      <c r="B172" t="s">
        <v>334</v>
      </c>
      <c r="C172" t="s">
        <v>16</v>
      </c>
      <c r="D172" s="9">
        <v>32011</v>
      </c>
      <c r="E172">
        <v>37</v>
      </c>
      <c r="F172" t="s">
        <v>21</v>
      </c>
      <c r="G172">
        <v>1</v>
      </c>
      <c r="H172" t="s">
        <v>26</v>
      </c>
      <c r="I172" t="b">
        <v>0</v>
      </c>
      <c r="K172" s="10">
        <v>0.69375</v>
      </c>
      <c r="L172" s="10">
        <v>0.736111111111111</v>
      </c>
      <c r="M172">
        <v>61</v>
      </c>
      <c r="N172" t="b">
        <v>1</v>
      </c>
      <c r="O172" t="s">
        <v>50</v>
      </c>
    </row>
    <row r="173" spans="1:15">
      <c r="A173">
        <v>172</v>
      </c>
      <c r="B173" t="s">
        <v>335</v>
      </c>
      <c r="C173" t="s">
        <v>16</v>
      </c>
      <c r="D173" s="9">
        <v>27580</v>
      </c>
      <c r="E173">
        <v>49</v>
      </c>
      <c r="F173" t="s">
        <v>21</v>
      </c>
      <c r="G173">
        <v>5</v>
      </c>
      <c r="H173" t="s">
        <v>192</v>
      </c>
      <c r="I173" t="b">
        <v>1</v>
      </c>
      <c r="J173" t="s">
        <v>67</v>
      </c>
      <c r="K173" s="10">
        <v>0.34375</v>
      </c>
      <c r="L173" s="10">
        <v>0.420833333333333</v>
      </c>
      <c r="M173">
        <v>111</v>
      </c>
      <c r="N173" t="b">
        <v>0</v>
      </c>
    </row>
    <row r="174" spans="1:15">
      <c r="A174">
        <v>173</v>
      </c>
      <c r="B174" t="s">
        <v>336</v>
      </c>
      <c r="C174" t="s">
        <v>25</v>
      </c>
      <c r="D174" s="9">
        <v>28333</v>
      </c>
      <c r="E174">
        <v>47</v>
      </c>
      <c r="F174" t="s">
        <v>21</v>
      </c>
      <c r="G174">
        <v>2</v>
      </c>
      <c r="H174" t="s">
        <v>259</v>
      </c>
      <c r="I174" t="b">
        <v>0</v>
      </c>
      <c r="K174" s="10">
        <v>0.704861111111111</v>
      </c>
      <c r="L174" s="10">
        <v>0.815277777777778</v>
      </c>
      <c r="M174">
        <v>159</v>
      </c>
      <c r="N174" t="b">
        <v>0</v>
      </c>
    </row>
    <row r="175" spans="1:15">
      <c r="A175">
        <v>174</v>
      </c>
      <c r="B175" t="s">
        <v>337</v>
      </c>
      <c r="C175" t="s">
        <v>25</v>
      </c>
      <c r="D175" s="9">
        <v>27470</v>
      </c>
      <c r="E175">
        <v>49</v>
      </c>
      <c r="F175" t="s">
        <v>17</v>
      </c>
      <c r="G175">
        <v>1</v>
      </c>
      <c r="H175" t="s">
        <v>59</v>
      </c>
      <c r="I175" t="b">
        <v>0</v>
      </c>
      <c r="K175" s="10">
        <v>0.472916666666667</v>
      </c>
      <c r="L175" s="10">
        <v>0.529166666666667</v>
      </c>
      <c r="M175">
        <v>81</v>
      </c>
      <c r="N175" t="b">
        <v>0</v>
      </c>
    </row>
    <row r="176" spans="1:15">
      <c r="A176">
        <v>175</v>
      </c>
      <c r="B176" t="s">
        <v>338</v>
      </c>
      <c r="C176" t="s">
        <v>25</v>
      </c>
      <c r="D176" s="9">
        <v>38617</v>
      </c>
      <c r="E176">
        <v>19</v>
      </c>
      <c r="F176" t="s">
        <v>21</v>
      </c>
      <c r="G176">
        <v>2</v>
      </c>
      <c r="H176" t="s">
        <v>166</v>
      </c>
      <c r="I176" t="b">
        <v>1</v>
      </c>
      <c r="J176" t="s">
        <v>201</v>
      </c>
      <c r="K176" s="10">
        <v>0.584027777777778</v>
      </c>
      <c r="L176" s="10">
        <v>0.622222222222222</v>
      </c>
      <c r="M176">
        <v>55</v>
      </c>
      <c r="N176" t="b">
        <v>0</v>
      </c>
    </row>
    <row r="177" spans="1:15">
      <c r="A177">
        <v>176</v>
      </c>
      <c r="B177" t="s">
        <v>339</v>
      </c>
      <c r="C177" t="s">
        <v>25</v>
      </c>
      <c r="D177" s="9">
        <v>27814</v>
      </c>
      <c r="E177">
        <v>48</v>
      </c>
      <c r="F177" t="s">
        <v>21</v>
      </c>
      <c r="G177">
        <v>4</v>
      </c>
      <c r="H177" t="s">
        <v>212</v>
      </c>
      <c r="I177" t="b">
        <v>0</v>
      </c>
      <c r="K177" s="10">
        <v>0.398611111111111</v>
      </c>
      <c r="L177" s="10">
        <v>0.522916666666667</v>
      </c>
      <c r="M177">
        <v>179</v>
      </c>
      <c r="N177" t="b">
        <v>0</v>
      </c>
    </row>
    <row r="178" spans="1:15">
      <c r="A178">
        <v>177</v>
      </c>
      <c r="B178" t="s">
        <v>340</v>
      </c>
      <c r="C178" t="s">
        <v>16</v>
      </c>
      <c r="D178" s="9">
        <v>36920</v>
      </c>
      <c r="E178">
        <v>23</v>
      </c>
      <c r="F178" t="s">
        <v>17</v>
      </c>
      <c r="G178">
        <v>3</v>
      </c>
      <c r="H178" t="s">
        <v>150</v>
      </c>
      <c r="I178" t="b">
        <v>0</v>
      </c>
      <c r="K178" s="10">
        <v>0.413888888888889</v>
      </c>
      <c r="L178" s="10">
        <v>0.507638888888889</v>
      </c>
      <c r="M178">
        <v>135</v>
      </c>
      <c r="N178" t="b">
        <v>1</v>
      </c>
      <c r="O178" t="s">
        <v>23</v>
      </c>
    </row>
    <row r="179" spans="1:15">
      <c r="A179">
        <v>178</v>
      </c>
      <c r="B179" t="s">
        <v>341</v>
      </c>
      <c r="C179" t="s">
        <v>25</v>
      </c>
      <c r="D179" s="9">
        <v>36848</v>
      </c>
      <c r="E179">
        <v>23</v>
      </c>
      <c r="F179" t="s">
        <v>17</v>
      </c>
      <c r="G179">
        <v>4</v>
      </c>
      <c r="H179" t="s">
        <v>342</v>
      </c>
      <c r="I179" t="b">
        <v>0</v>
      </c>
      <c r="K179" s="10">
        <v>0.459722222222222</v>
      </c>
      <c r="L179" s="10">
        <v>0.526388888888889</v>
      </c>
      <c r="M179">
        <v>96</v>
      </c>
      <c r="N179" t="b">
        <v>1</v>
      </c>
      <c r="O179" t="s">
        <v>23</v>
      </c>
    </row>
    <row r="180" spans="1:15">
      <c r="A180">
        <v>179</v>
      </c>
      <c r="B180" t="s">
        <v>343</v>
      </c>
      <c r="C180" t="s">
        <v>16</v>
      </c>
      <c r="D180" s="9">
        <v>40507</v>
      </c>
      <c r="E180">
        <v>13</v>
      </c>
      <c r="F180" t="s">
        <v>21</v>
      </c>
      <c r="G180">
        <v>2</v>
      </c>
      <c r="H180" t="s">
        <v>72</v>
      </c>
      <c r="I180" t="b">
        <v>0</v>
      </c>
      <c r="K180" s="10">
        <v>0.727083333333333</v>
      </c>
      <c r="L180" s="10">
        <v>0.807638888888889</v>
      </c>
      <c r="M180">
        <v>116</v>
      </c>
      <c r="N180" t="b">
        <v>0</v>
      </c>
    </row>
    <row r="181" spans="1:15">
      <c r="A181">
        <v>180</v>
      </c>
      <c r="B181" t="s">
        <v>344</v>
      </c>
      <c r="C181" t="s">
        <v>25</v>
      </c>
      <c r="D181" s="9">
        <v>27931</v>
      </c>
      <c r="E181">
        <v>48</v>
      </c>
      <c r="F181" t="s">
        <v>17</v>
      </c>
      <c r="G181">
        <v>3</v>
      </c>
      <c r="H181" t="s">
        <v>222</v>
      </c>
      <c r="I181" t="b">
        <v>1</v>
      </c>
      <c r="J181" t="s">
        <v>345</v>
      </c>
      <c r="K181" s="10">
        <v>0.35625</v>
      </c>
      <c r="L181" s="10">
        <v>0.395833333333333</v>
      </c>
      <c r="M181">
        <v>57</v>
      </c>
      <c r="N181" t="b">
        <v>1</v>
      </c>
      <c r="O181" t="s">
        <v>47</v>
      </c>
    </row>
    <row r="182" spans="1:15">
      <c r="A182">
        <v>181</v>
      </c>
      <c r="B182" t="s">
        <v>346</v>
      </c>
      <c r="C182" t="s">
        <v>25</v>
      </c>
      <c r="D182" s="9">
        <v>35419</v>
      </c>
      <c r="E182">
        <v>27</v>
      </c>
      <c r="F182" t="s">
        <v>17</v>
      </c>
      <c r="G182">
        <v>5</v>
      </c>
      <c r="H182" t="s">
        <v>347</v>
      </c>
      <c r="I182" t="b">
        <v>1</v>
      </c>
      <c r="J182" t="s">
        <v>348</v>
      </c>
      <c r="K182" s="10">
        <v>0.451388888888889</v>
      </c>
      <c r="L182" s="10">
        <v>0.504166666666667</v>
      </c>
      <c r="M182">
        <v>76</v>
      </c>
      <c r="N182" t="b">
        <v>0</v>
      </c>
    </row>
    <row r="183" spans="1:15">
      <c r="A183">
        <v>182</v>
      </c>
      <c r="B183" t="s">
        <v>349</v>
      </c>
      <c r="C183" t="s">
        <v>16</v>
      </c>
      <c r="D183" s="9">
        <v>40225</v>
      </c>
      <c r="E183">
        <v>14</v>
      </c>
      <c r="F183" t="s">
        <v>21</v>
      </c>
      <c r="G183">
        <v>3</v>
      </c>
      <c r="H183" t="s">
        <v>106</v>
      </c>
      <c r="I183" t="b">
        <v>1</v>
      </c>
      <c r="J183" t="s">
        <v>107</v>
      </c>
      <c r="K183" s="10">
        <v>0.375694444444444</v>
      </c>
      <c r="L183" s="10">
        <v>0.422222222222222</v>
      </c>
      <c r="M183">
        <v>67</v>
      </c>
      <c r="N183" t="b">
        <v>1</v>
      </c>
      <c r="O183" t="s">
        <v>23</v>
      </c>
    </row>
    <row r="184" spans="1:15">
      <c r="A184">
        <v>183</v>
      </c>
      <c r="B184" t="s">
        <v>350</v>
      </c>
      <c r="C184" t="s">
        <v>25</v>
      </c>
      <c r="D184" s="9">
        <v>40373</v>
      </c>
      <c r="E184">
        <v>14</v>
      </c>
      <c r="F184" t="s">
        <v>17</v>
      </c>
      <c r="G184">
        <v>1</v>
      </c>
      <c r="H184" t="s">
        <v>59</v>
      </c>
      <c r="I184" t="b">
        <v>0</v>
      </c>
      <c r="K184" s="10">
        <v>0.545833333333333</v>
      </c>
      <c r="L184" s="10">
        <v>0.572916666666667</v>
      </c>
      <c r="M184">
        <v>39</v>
      </c>
      <c r="N184" t="b">
        <v>0</v>
      </c>
    </row>
    <row r="185" spans="1:15">
      <c r="A185">
        <v>184</v>
      </c>
      <c r="B185" t="s">
        <v>351</v>
      </c>
      <c r="C185" t="s">
        <v>25</v>
      </c>
      <c r="D185" s="9">
        <v>39006</v>
      </c>
      <c r="E185">
        <v>17</v>
      </c>
      <c r="F185" t="s">
        <v>21</v>
      </c>
      <c r="G185">
        <v>1</v>
      </c>
      <c r="H185" t="s">
        <v>26</v>
      </c>
      <c r="I185" t="b">
        <v>0</v>
      </c>
      <c r="K185" s="10">
        <v>0.748611111111111</v>
      </c>
      <c r="L185" s="10">
        <v>0.790277777777778</v>
      </c>
      <c r="M185">
        <v>60</v>
      </c>
      <c r="N185" t="b">
        <v>1</v>
      </c>
      <c r="O185" t="s">
        <v>50</v>
      </c>
    </row>
    <row r="186" spans="1:15">
      <c r="A186">
        <v>185</v>
      </c>
      <c r="B186" t="s">
        <v>352</v>
      </c>
      <c r="C186" t="s">
        <v>25</v>
      </c>
      <c r="D186" s="9">
        <v>31308</v>
      </c>
      <c r="E186">
        <v>39</v>
      </c>
      <c r="F186" t="s">
        <v>21</v>
      </c>
      <c r="G186">
        <v>2</v>
      </c>
      <c r="H186" t="s">
        <v>195</v>
      </c>
      <c r="I186" t="b">
        <v>1</v>
      </c>
      <c r="J186" t="s">
        <v>353</v>
      </c>
      <c r="K186" s="10">
        <v>0.388888888888889</v>
      </c>
      <c r="L186" s="10">
        <v>0.424305555555556</v>
      </c>
      <c r="M186">
        <v>51</v>
      </c>
      <c r="N186" t="b">
        <v>0</v>
      </c>
    </row>
    <row r="187" spans="1:15">
      <c r="A187">
        <v>186</v>
      </c>
      <c r="B187" t="s">
        <v>354</v>
      </c>
      <c r="C187" t="s">
        <v>16</v>
      </c>
      <c r="D187" s="9">
        <v>27477</v>
      </c>
      <c r="E187">
        <v>49</v>
      </c>
      <c r="F187" t="s">
        <v>21</v>
      </c>
      <c r="G187">
        <v>3</v>
      </c>
      <c r="H187" t="s">
        <v>37</v>
      </c>
      <c r="I187" t="b">
        <v>0</v>
      </c>
      <c r="K187" s="10">
        <v>0.7375</v>
      </c>
      <c r="L187" s="10">
        <v>0.799305555555556</v>
      </c>
      <c r="M187">
        <v>89</v>
      </c>
      <c r="N187" t="b">
        <v>1</v>
      </c>
      <c r="O187" t="s">
        <v>28</v>
      </c>
    </row>
    <row r="188" spans="1:15">
      <c r="A188">
        <v>187</v>
      </c>
      <c r="B188" t="s">
        <v>355</v>
      </c>
      <c r="C188" t="s">
        <v>25</v>
      </c>
      <c r="D188" s="9">
        <v>41016</v>
      </c>
      <c r="E188">
        <v>12</v>
      </c>
      <c r="F188" t="s">
        <v>21</v>
      </c>
      <c r="G188">
        <v>5</v>
      </c>
      <c r="H188" t="s">
        <v>183</v>
      </c>
      <c r="I188" t="b">
        <v>1</v>
      </c>
      <c r="J188" t="s">
        <v>356</v>
      </c>
      <c r="K188" s="10">
        <v>0.825694444444444</v>
      </c>
      <c r="L188" s="10">
        <v>0.86875</v>
      </c>
      <c r="M188">
        <v>62</v>
      </c>
      <c r="N188" t="b">
        <v>1</v>
      </c>
      <c r="O188" t="s">
        <v>28</v>
      </c>
    </row>
    <row r="189" spans="1:15">
      <c r="A189">
        <v>188</v>
      </c>
      <c r="B189" t="s">
        <v>357</v>
      </c>
      <c r="C189" t="s">
        <v>16</v>
      </c>
      <c r="D189" s="9">
        <v>31836</v>
      </c>
      <c r="E189">
        <v>37</v>
      </c>
      <c r="F189" t="s">
        <v>17</v>
      </c>
      <c r="G189">
        <v>1</v>
      </c>
      <c r="H189" t="s">
        <v>59</v>
      </c>
      <c r="I189" t="b">
        <v>1</v>
      </c>
      <c r="J189" t="s">
        <v>358</v>
      </c>
      <c r="K189" s="10">
        <v>0.347916666666667</v>
      </c>
      <c r="L189" s="10">
        <v>0.377777777777778</v>
      </c>
      <c r="M189">
        <v>43</v>
      </c>
      <c r="N189" t="b">
        <v>0</v>
      </c>
    </row>
    <row r="190" spans="1:15">
      <c r="A190">
        <v>189</v>
      </c>
      <c r="B190" t="s">
        <v>359</v>
      </c>
      <c r="C190" t="s">
        <v>25</v>
      </c>
      <c r="D190" s="9">
        <v>32093</v>
      </c>
      <c r="E190">
        <v>36</v>
      </c>
      <c r="F190" t="s">
        <v>17</v>
      </c>
      <c r="G190">
        <v>2</v>
      </c>
      <c r="H190" t="s">
        <v>133</v>
      </c>
      <c r="I190" t="b">
        <v>1</v>
      </c>
      <c r="J190" t="s">
        <v>360</v>
      </c>
      <c r="K190" s="10">
        <v>0.477777777777778</v>
      </c>
      <c r="L190" s="10">
        <v>0.529861111111111</v>
      </c>
      <c r="M190">
        <v>75</v>
      </c>
      <c r="N190" t="b">
        <v>0</v>
      </c>
    </row>
    <row r="191" spans="1:15">
      <c r="A191">
        <v>190</v>
      </c>
      <c r="B191" t="s">
        <v>361</v>
      </c>
      <c r="C191" t="s">
        <v>25</v>
      </c>
      <c r="D191" s="9">
        <v>40794</v>
      </c>
      <c r="E191">
        <v>13</v>
      </c>
      <c r="F191" t="s">
        <v>21</v>
      </c>
      <c r="G191">
        <v>4</v>
      </c>
      <c r="H191" t="s">
        <v>168</v>
      </c>
      <c r="I191" t="b">
        <v>0</v>
      </c>
      <c r="K191" s="10">
        <v>0.615972222222222</v>
      </c>
      <c r="L191" s="10">
        <v>0.707638888888889</v>
      </c>
      <c r="M191">
        <v>132</v>
      </c>
      <c r="N191" t="b">
        <v>0</v>
      </c>
    </row>
    <row r="192" spans="1:15">
      <c r="A192">
        <v>191</v>
      </c>
      <c r="B192" t="s">
        <v>362</v>
      </c>
      <c r="C192" t="s">
        <v>25</v>
      </c>
      <c r="D192" s="9">
        <v>33900</v>
      </c>
      <c r="E192">
        <v>31</v>
      </c>
      <c r="F192" t="s">
        <v>17</v>
      </c>
      <c r="G192">
        <v>2</v>
      </c>
      <c r="H192" t="s">
        <v>189</v>
      </c>
      <c r="I192" t="b">
        <v>0</v>
      </c>
      <c r="K192" s="10">
        <v>0.575</v>
      </c>
      <c r="L192" s="10">
        <v>0.685416666666667</v>
      </c>
      <c r="M192">
        <v>159</v>
      </c>
      <c r="N192" t="b">
        <v>0</v>
      </c>
    </row>
    <row r="193" spans="1:15">
      <c r="A193">
        <v>192</v>
      </c>
      <c r="B193" t="s">
        <v>363</v>
      </c>
      <c r="C193" t="s">
        <v>16</v>
      </c>
      <c r="D193" s="9">
        <v>31239</v>
      </c>
      <c r="E193">
        <v>39</v>
      </c>
      <c r="F193" t="s">
        <v>21</v>
      </c>
      <c r="G193">
        <v>4</v>
      </c>
      <c r="H193" t="s">
        <v>18</v>
      </c>
      <c r="I193" t="b">
        <v>0</v>
      </c>
      <c r="K193" s="10">
        <v>0.713194444444444</v>
      </c>
      <c r="L193" s="10">
        <v>0.747916666666667</v>
      </c>
      <c r="M193">
        <v>50</v>
      </c>
      <c r="N193" t="b">
        <v>0</v>
      </c>
    </row>
    <row r="194" spans="1:15">
      <c r="A194">
        <v>193</v>
      </c>
      <c r="B194" t="s">
        <v>364</v>
      </c>
      <c r="C194" t="s">
        <v>16</v>
      </c>
      <c r="D194" s="9">
        <v>41069</v>
      </c>
      <c r="E194">
        <v>12</v>
      </c>
      <c r="F194" t="s">
        <v>17</v>
      </c>
      <c r="G194">
        <v>3</v>
      </c>
      <c r="H194" t="s">
        <v>92</v>
      </c>
      <c r="I194" t="b">
        <v>1</v>
      </c>
      <c r="J194" t="s">
        <v>174</v>
      </c>
      <c r="K194" s="10">
        <v>0.58125</v>
      </c>
      <c r="L194" s="10">
        <v>0.704166666666667</v>
      </c>
      <c r="M194">
        <v>177</v>
      </c>
      <c r="N194" t="b">
        <v>0</v>
      </c>
    </row>
    <row r="195" spans="1:15">
      <c r="A195">
        <v>194</v>
      </c>
      <c r="B195" t="s">
        <v>365</v>
      </c>
      <c r="C195" t="s">
        <v>16</v>
      </c>
      <c r="D195" s="9">
        <v>37118</v>
      </c>
      <c r="E195">
        <v>23</v>
      </c>
      <c r="F195" t="s">
        <v>17</v>
      </c>
      <c r="G195">
        <v>1</v>
      </c>
      <c r="H195" t="s">
        <v>81</v>
      </c>
      <c r="I195" t="b">
        <v>0</v>
      </c>
      <c r="K195" s="10">
        <v>0.704166666666667</v>
      </c>
      <c r="L195" s="10">
        <v>0.820138888888889</v>
      </c>
      <c r="M195">
        <v>167</v>
      </c>
      <c r="N195" t="b">
        <v>0</v>
      </c>
    </row>
    <row r="196" spans="1:15">
      <c r="A196">
        <v>195</v>
      </c>
      <c r="B196" t="s">
        <v>366</v>
      </c>
      <c r="C196" t="s">
        <v>25</v>
      </c>
      <c r="D196" s="9">
        <v>28969</v>
      </c>
      <c r="E196">
        <v>45</v>
      </c>
      <c r="F196" t="s">
        <v>17</v>
      </c>
      <c r="G196">
        <v>2</v>
      </c>
      <c r="H196" t="s">
        <v>133</v>
      </c>
      <c r="I196" t="b">
        <v>0</v>
      </c>
      <c r="K196" s="10">
        <v>0.474305555555556</v>
      </c>
      <c r="L196" s="10">
        <v>0.541666666666667</v>
      </c>
      <c r="M196">
        <v>97</v>
      </c>
      <c r="N196" t="b">
        <v>0</v>
      </c>
    </row>
    <row r="197" spans="1:15">
      <c r="A197">
        <v>196</v>
      </c>
      <c r="B197" t="s">
        <v>367</v>
      </c>
      <c r="C197" t="s">
        <v>25</v>
      </c>
      <c r="D197" s="9">
        <v>31087</v>
      </c>
      <c r="E197">
        <v>39</v>
      </c>
      <c r="F197" t="s">
        <v>17</v>
      </c>
      <c r="G197">
        <v>5</v>
      </c>
      <c r="H197" t="s">
        <v>368</v>
      </c>
      <c r="I197" t="b">
        <v>0</v>
      </c>
      <c r="K197" s="10">
        <v>0.834027777777778</v>
      </c>
      <c r="L197" s="10">
        <v>0.955555555555556</v>
      </c>
      <c r="M197">
        <v>175</v>
      </c>
      <c r="N197" t="b">
        <v>1</v>
      </c>
      <c r="O197" t="s">
        <v>47</v>
      </c>
    </row>
    <row r="198" spans="1:15">
      <c r="A198">
        <v>197</v>
      </c>
      <c r="B198" t="s">
        <v>369</v>
      </c>
      <c r="C198" t="s">
        <v>25</v>
      </c>
      <c r="D198" s="9">
        <v>40263</v>
      </c>
      <c r="E198">
        <v>14</v>
      </c>
      <c r="F198" t="s">
        <v>21</v>
      </c>
      <c r="G198">
        <v>2</v>
      </c>
      <c r="H198" t="s">
        <v>272</v>
      </c>
      <c r="I198" t="b">
        <v>0</v>
      </c>
      <c r="K198" s="10">
        <v>0.578472222222222</v>
      </c>
      <c r="L198" s="10">
        <v>0.611111111111111</v>
      </c>
      <c r="M198">
        <v>47</v>
      </c>
      <c r="N198" t="b">
        <v>1</v>
      </c>
      <c r="O198" t="s">
        <v>28</v>
      </c>
    </row>
    <row r="199" spans="1:15">
      <c r="A199">
        <v>198</v>
      </c>
      <c r="B199" t="s">
        <v>370</v>
      </c>
      <c r="C199" t="s">
        <v>25</v>
      </c>
      <c r="D199" s="9">
        <v>34551</v>
      </c>
      <c r="E199">
        <v>30</v>
      </c>
      <c r="F199" t="s">
        <v>17</v>
      </c>
      <c r="G199">
        <v>3</v>
      </c>
      <c r="H199" t="s">
        <v>130</v>
      </c>
      <c r="I199" t="b">
        <v>1</v>
      </c>
      <c r="J199" t="s">
        <v>371</v>
      </c>
      <c r="K199" s="10">
        <v>0.541666666666667</v>
      </c>
      <c r="L199" s="10">
        <v>0.617361111111111</v>
      </c>
      <c r="M199">
        <v>109</v>
      </c>
      <c r="N199" t="b">
        <v>1</v>
      </c>
      <c r="O199" t="s">
        <v>47</v>
      </c>
    </row>
    <row r="200" spans="1:15">
      <c r="A200">
        <v>199</v>
      </c>
      <c r="B200" t="s">
        <v>372</v>
      </c>
      <c r="C200" t="s">
        <v>16</v>
      </c>
      <c r="D200" s="9">
        <v>39819</v>
      </c>
      <c r="E200">
        <v>15</v>
      </c>
      <c r="F200" t="s">
        <v>17</v>
      </c>
      <c r="G200">
        <v>3</v>
      </c>
      <c r="H200" t="s">
        <v>321</v>
      </c>
      <c r="I200" t="b">
        <v>0</v>
      </c>
      <c r="K200" s="10">
        <v>0.413194444444444</v>
      </c>
      <c r="L200" s="10">
        <v>0.503472222222222</v>
      </c>
      <c r="M200">
        <v>130</v>
      </c>
      <c r="N200" t="b">
        <v>1</v>
      </c>
      <c r="O200" t="s">
        <v>47</v>
      </c>
    </row>
    <row r="201" spans="1:15">
      <c r="A201">
        <v>200</v>
      </c>
      <c r="B201" t="s">
        <v>373</v>
      </c>
      <c r="C201" t="s">
        <v>25</v>
      </c>
      <c r="D201" s="9">
        <v>41152</v>
      </c>
      <c r="E201">
        <v>12</v>
      </c>
      <c r="F201" t="s">
        <v>21</v>
      </c>
      <c r="G201">
        <v>1</v>
      </c>
      <c r="H201" t="s">
        <v>49</v>
      </c>
      <c r="I201" t="b">
        <v>0</v>
      </c>
      <c r="K201" s="10">
        <v>0.657638888888889</v>
      </c>
      <c r="L201" s="10">
        <v>0.68125</v>
      </c>
      <c r="M201">
        <v>34</v>
      </c>
      <c r="N201" t="b">
        <v>1</v>
      </c>
      <c r="O201" t="s">
        <v>47</v>
      </c>
    </row>
    <row r="202" spans="1:15">
      <c r="A202">
        <v>201</v>
      </c>
      <c r="B202" t="s">
        <v>374</v>
      </c>
      <c r="C202" t="s">
        <v>25</v>
      </c>
      <c r="D202" s="9">
        <v>28762</v>
      </c>
      <c r="E202">
        <v>46</v>
      </c>
      <c r="F202" t="s">
        <v>21</v>
      </c>
      <c r="G202">
        <v>4</v>
      </c>
      <c r="H202" t="s">
        <v>375</v>
      </c>
      <c r="I202" t="b">
        <v>1</v>
      </c>
      <c r="J202" t="s">
        <v>230</v>
      </c>
      <c r="K202" s="10">
        <v>0.563194444444444</v>
      </c>
      <c r="L202" s="10">
        <v>0.615972222222222</v>
      </c>
      <c r="M202">
        <v>76</v>
      </c>
      <c r="N202" t="b">
        <v>1</v>
      </c>
      <c r="O202" t="s">
        <v>28</v>
      </c>
    </row>
    <row r="203" spans="1:15">
      <c r="A203">
        <v>202</v>
      </c>
      <c r="B203" t="s">
        <v>376</v>
      </c>
      <c r="C203" t="s">
        <v>25</v>
      </c>
      <c r="D203" s="9">
        <v>27539</v>
      </c>
      <c r="E203">
        <v>49</v>
      </c>
      <c r="F203" t="s">
        <v>17</v>
      </c>
      <c r="G203">
        <v>4</v>
      </c>
      <c r="H203" t="s">
        <v>377</v>
      </c>
      <c r="I203" t="b">
        <v>0</v>
      </c>
      <c r="K203" s="10">
        <v>0.347916666666667</v>
      </c>
      <c r="L203" s="10">
        <v>0.375</v>
      </c>
      <c r="M203">
        <v>39</v>
      </c>
      <c r="N203" t="b">
        <v>0</v>
      </c>
    </row>
    <row r="204" spans="1:15">
      <c r="A204">
        <v>203</v>
      </c>
      <c r="B204" t="s">
        <v>378</v>
      </c>
      <c r="C204" t="s">
        <v>16</v>
      </c>
      <c r="D204" s="9">
        <v>29575</v>
      </c>
      <c r="E204">
        <v>43</v>
      </c>
      <c r="F204" t="s">
        <v>17</v>
      </c>
      <c r="G204">
        <v>2</v>
      </c>
      <c r="H204" t="s">
        <v>72</v>
      </c>
      <c r="I204" t="b">
        <v>0</v>
      </c>
      <c r="K204" s="10">
        <v>0.772222222222222</v>
      </c>
      <c r="L204" s="10">
        <v>0.846527777777778</v>
      </c>
      <c r="M204">
        <v>107</v>
      </c>
      <c r="N204" t="b">
        <v>1</v>
      </c>
      <c r="O204" t="s">
        <v>23</v>
      </c>
    </row>
    <row r="205" spans="1:15">
      <c r="A205">
        <v>204</v>
      </c>
      <c r="B205" t="s">
        <v>379</v>
      </c>
      <c r="C205" t="s">
        <v>25</v>
      </c>
      <c r="D205" s="9">
        <v>38401</v>
      </c>
      <c r="E205">
        <v>19</v>
      </c>
      <c r="F205" t="s">
        <v>17</v>
      </c>
      <c r="G205">
        <v>2</v>
      </c>
      <c r="H205" t="s">
        <v>40</v>
      </c>
      <c r="I205" t="b">
        <v>1</v>
      </c>
      <c r="J205" t="s">
        <v>380</v>
      </c>
      <c r="K205" s="10">
        <v>0.717361111111111</v>
      </c>
      <c r="L205" s="10">
        <v>0.776388888888889</v>
      </c>
      <c r="M205">
        <v>85</v>
      </c>
      <c r="N205" t="b">
        <v>1</v>
      </c>
      <c r="O205" t="s">
        <v>47</v>
      </c>
    </row>
    <row r="206" spans="1:15">
      <c r="A206">
        <v>205</v>
      </c>
      <c r="B206" t="s">
        <v>381</v>
      </c>
      <c r="C206" t="s">
        <v>25</v>
      </c>
      <c r="D206" s="9">
        <v>30100</v>
      </c>
      <c r="E206">
        <v>42</v>
      </c>
      <c r="F206" t="s">
        <v>17</v>
      </c>
      <c r="G206">
        <v>3</v>
      </c>
      <c r="H206" t="s">
        <v>215</v>
      </c>
      <c r="I206" t="b">
        <v>0</v>
      </c>
      <c r="K206" s="10">
        <v>0.414583333333333</v>
      </c>
      <c r="L206" s="10">
        <v>0.479861111111111</v>
      </c>
      <c r="M206">
        <v>94</v>
      </c>
      <c r="N206" t="b">
        <v>1</v>
      </c>
      <c r="O206" t="s">
        <v>23</v>
      </c>
    </row>
    <row r="207" spans="1:15">
      <c r="A207">
        <v>206</v>
      </c>
      <c r="B207" t="s">
        <v>382</v>
      </c>
      <c r="C207" t="s">
        <v>25</v>
      </c>
      <c r="D207" s="9">
        <v>28570</v>
      </c>
      <c r="E207">
        <v>46</v>
      </c>
      <c r="F207" t="s">
        <v>21</v>
      </c>
      <c r="G207">
        <v>1</v>
      </c>
      <c r="H207" t="s">
        <v>46</v>
      </c>
      <c r="I207" t="b">
        <v>1</v>
      </c>
      <c r="J207" t="s">
        <v>383</v>
      </c>
      <c r="K207" s="10">
        <v>0.754166666666667</v>
      </c>
      <c r="L207" s="10">
        <v>0.834027777777778</v>
      </c>
      <c r="M207">
        <v>115</v>
      </c>
      <c r="N207" t="b">
        <v>0</v>
      </c>
    </row>
    <row r="208" spans="1:15">
      <c r="A208">
        <v>207</v>
      </c>
      <c r="B208" t="s">
        <v>384</v>
      </c>
      <c r="C208" t="s">
        <v>25</v>
      </c>
      <c r="D208" s="9">
        <v>38888</v>
      </c>
      <c r="E208">
        <v>18</v>
      </c>
      <c r="F208" t="s">
        <v>21</v>
      </c>
      <c r="G208">
        <v>3</v>
      </c>
      <c r="H208" t="s">
        <v>52</v>
      </c>
      <c r="I208" t="b">
        <v>1</v>
      </c>
      <c r="J208" t="s">
        <v>385</v>
      </c>
      <c r="K208" s="10">
        <v>0.490972222222222</v>
      </c>
      <c r="L208" s="10">
        <v>0.524305555555556</v>
      </c>
      <c r="M208">
        <v>48</v>
      </c>
      <c r="N208" t="b">
        <v>1</v>
      </c>
      <c r="O208" t="s">
        <v>23</v>
      </c>
    </row>
    <row r="209" spans="1:15">
      <c r="A209">
        <v>208</v>
      </c>
      <c r="B209" t="s">
        <v>386</v>
      </c>
      <c r="C209" t="s">
        <v>25</v>
      </c>
      <c r="D209" s="9">
        <v>30318</v>
      </c>
      <c r="E209">
        <v>41</v>
      </c>
      <c r="F209" t="s">
        <v>17</v>
      </c>
      <c r="G209">
        <v>1</v>
      </c>
      <c r="H209" t="s">
        <v>185</v>
      </c>
      <c r="I209" t="b">
        <v>1</v>
      </c>
      <c r="J209" t="s">
        <v>387</v>
      </c>
      <c r="K209" s="10">
        <v>0.477777777777778</v>
      </c>
      <c r="L209" s="10">
        <v>0.588888888888889</v>
      </c>
      <c r="M209">
        <v>160</v>
      </c>
      <c r="N209" t="b">
        <v>1</v>
      </c>
      <c r="O209" t="s">
        <v>47</v>
      </c>
    </row>
    <row r="210" spans="1:15">
      <c r="A210">
        <v>209</v>
      </c>
      <c r="B210" t="s">
        <v>388</v>
      </c>
      <c r="C210" t="s">
        <v>25</v>
      </c>
      <c r="D210" s="9">
        <v>38606</v>
      </c>
      <c r="E210">
        <v>19</v>
      </c>
      <c r="F210" t="s">
        <v>17</v>
      </c>
      <c r="G210">
        <v>4</v>
      </c>
      <c r="H210" t="s">
        <v>312</v>
      </c>
      <c r="I210" t="b">
        <v>0</v>
      </c>
      <c r="K210" s="10">
        <v>0.796527777777778</v>
      </c>
      <c r="L210" s="10">
        <v>0.81875</v>
      </c>
      <c r="M210">
        <v>32</v>
      </c>
      <c r="N210" t="b">
        <v>1</v>
      </c>
      <c r="O210" t="s">
        <v>50</v>
      </c>
    </row>
    <row r="211" spans="1:15">
      <c r="A211">
        <v>210</v>
      </c>
      <c r="B211" t="s">
        <v>389</v>
      </c>
      <c r="C211" t="s">
        <v>25</v>
      </c>
      <c r="D211" s="9">
        <v>39315</v>
      </c>
      <c r="E211">
        <v>17</v>
      </c>
      <c r="F211" t="s">
        <v>17</v>
      </c>
      <c r="G211">
        <v>2</v>
      </c>
      <c r="H211" t="s">
        <v>133</v>
      </c>
      <c r="I211" t="b">
        <v>0</v>
      </c>
      <c r="K211" s="10">
        <v>0.738888888888889</v>
      </c>
      <c r="L211" s="10">
        <v>0.795833333333333</v>
      </c>
      <c r="M211">
        <v>82</v>
      </c>
      <c r="N211" t="b">
        <v>1</v>
      </c>
      <c r="O211" t="s">
        <v>23</v>
      </c>
    </row>
    <row r="212" spans="1:15">
      <c r="A212">
        <v>211</v>
      </c>
      <c r="B212" t="s">
        <v>390</v>
      </c>
      <c r="C212" t="s">
        <v>16</v>
      </c>
      <c r="D212" s="9">
        <v>35515</v>
      </c>
      <c r="E212">
        <v>27</v>
      </c>
      <c r="F212" t="s">
        <v>21</v>
      </c>
      <c r="G212">
        <v>2</v>
      </c>
      <c r="H212" t="s">
        <v>166</v>
      </c>
      <c r="I212" t="b">
        <v>1</v>
      </c>
      <c r="J212" t="s">
        <v>67</v>
      </c>
      <c r="K212" s="10">
        <v>0.381944444444444</v>
      </c>
      <c r="L212" s="10">
        <v>0.461111111111111</v>
      </c>
      <c r="M212">
        <v>114</v>
      </c>
      <c r="N212" t="b">
        <v>1</v>
      </c>
      <c r="O212" t="s">
        <v>23</v>
      </c>
    </row>
    <row r="213" spans="1:15">
      <c r="A213">
        <v>212</v>
      </c>
      <c r="B213" t="s">
        <v>391</v>
      </c>
      <c r="C213" t="s">
        <v>25</v>
      </c>
      <c r="D213" s="9">
        <v>36182</v>
      </c>
      <c r="E213">
        <v>25</v>
      </c>
      <c r="F213" t="s">
        <v>17</v>
      </c>
      <c r="G213">
        <v>3</v>
      </c>
      <c r="H213" t="s">
        <v>30</v>
      </c>
      <c r="I213" t="b">
        <v>0</v>
      </c>
      <c r="K213" s="10">
        <v>0.722916666666667</v>
      </c>
      <c r="L213" s="10">
        <v>0.771527777777778</v>
      </c>
      <c r="M213">
        <v>70</v>
      </c>
      <c r="N213" t="b">
        <v>0</v>
      </c>
    </row>
    <row r="214" spans="1:15">
      <c r="A214">
        <v>213</v>
      </c>
      <c r="B214" t="s">
        <v>392</v>
      </c>
      <c r="C214" t="s">
        <v>25</v>
      </c>
      <c r="D214" s="9">
        <v>37090</v>
      </c>
      <c r="E214">
        <v>23</v>
      </c>
      <c r="F214" t="s">
        <v>17</v>
      </c>
      <c r="G214">
        <v>2</v>
      </c>
      <c r="H214" t="s">
        <v>195</v>
      </c>
      <c r="I214" t="b">
        <v>1</v>
      </c>
      <c r="J214" t="s">
        <v>107</v>
      </c>
      <c r="K214" s="10">
        <v>0.540277777777778</v>
      </c>
      <c r="L214" s="10">
        <v>0.609722222222222</v>
      </c>
      <c r="M214">
        <v>100</v>
      </c>
      <c r="N214" t="b">
        <v>0</v>
      </c>
    </row>
    <row r="215" spans="1:15">
      <c r="A215">
        <v>214</v>
      </c>
      <c r="B215" t="s">
        <v>393</v>
      </c>
      <c r="C215" t="s">
        <v>16</v>
      </c>
      <c r="D215" s="9">
        <v>32509</v>
      </c>
      <c r="E215">
        <v>35</v>
      </c>
      <c r="F215" t="s">
        <v>21</v>
      </c>
      <c r="G215">
        <v>1</v>
      </c>
      <c r="H215" t="s">
        <v>185</v>
      </c>
      <c r="I215" t="b">
        <v>0</v>
      </c>
      <c r="K215" s="10">
        <v>0.356944444444444</v>
      </c>
      <c r="L215" s="10">
        <v>0.388194444444444</v>
      </c>
      <c r="M215">
        <v>45</v>
      </c>
      <c r="N215" t="b">
        <v>1</v>
      </c>
      <c r="O215" t="s">
        <v>23</v>
      </c>
    </row>
    <row r="216" spans="1:15">
      <c r="A216">
        <v>215</v>
      </c>
      <c r="B216" t="s">
        <v>394</v>
      </c>
      <c r="C216" t="s">
        <v>16</v>
      </c>
      <c r="D216" s="9">
        <v>31395</v>
      </c>
      <c r="E216">
        <v>38</v>
      </c>
      <c r="F216" t="s">
        <v>21</v>
      </c>
      <c r="G216">
        <v>3</v>
      </c>
      <c r="H216" t="s">
        <v>295</v>
      </c>
      <c r="I216" t="b">
        <v>1</v>
      </c>
      <c r="J216" t="s">
        <v>395</v>
      </c>
      <c r="K216" s="10">
        <v>0.345138888888889</v>
      </c>
      <c r="L216" s="10">
        <v>0.375</v>
      </c>
      <c r="M216">
        <v>43</v>
      </c>
      <c r="N216" t="b">
        <v>0</v>
      </c>
    </row>
    <row r="217" spans="1:15">
      <c r="A217">
        <v>216</v>
      </c>
      <c r="B217" t="s">
        <v>396</v>
      </c>
      <c r="C217" t="s">
        <v>25</v>
      </c>
      <c r="D217" s="9">
        <v>27495</v>
      </c>
      <c r="E217">
        <v>49</v>
      </c>
      <c r="F217" t="s">
        <v>17</v>
      </c>
      <c r="G217">
        <v>3</v>
      </c>
      <c r="H217" t="s">
        <v>74</v>
      </c>
      <c r="I217" t="b">
        <v>0</v>
      </c>
      <c r="K217" s="10">
        <v>0.525694444444444</v>
      </c>
      <c r="L217" s="10">
        <v>0.598611111111111</v>
      </c>
      <c r="M217">
        <v>105</v>
      </c>
      <c r="N217" t="b">
        <v>1</v>
      </c>
      <c r="O217" t="s">
        <v>28</v>
      </c>
    </row>
    <row r="218" spans="1:15">
      <c r="A218">
        <v>217</v>
      </c>
      <c r="B218" t="s">
        <v>397</v>
      </c>
      <c r="C218" t="s">
        <v>25</v>
      </c>
      <c r="D218" s="9">
        <v>33040</v>
      </c>
      <c r="E218">
        <v>34</v>
      </c>
      <c r="F218" t="s">
        <v>21</v>
      </c>
      <c r="G218">
        <v>1</v>
      </c>
      <c r="H218" t="s">
        <v>185</v>
      </c>
      <c r="I218" t="b">
        <v>0</v>
      </c>
      <c r="K218" s="10">
        <v>0.529166666666667</v>
      </c>
      <c r="L218" s="10">
        <v>0.604861111111111</v>
      </c>
      <c r="M218">
        <v>109</v>
      </c>
      <c r="N218" t="b">
        <v>1</v>
      </c>
      <c r="O218" t="s">
        <v>47</v>
      </c>
    </row>
    <row r="219" spans="1:15">
      <c r="A219">
        <v>218</v>
      </c>
      <c r="B219" t="s">
        <v>398</v>
      </c>
      <c r="C219" t="s">
        <v>16</v>
      </c>
      <c r="D219" s="9">
        <v>28502</v>
      </c>
      <c r="E219">
        <v>46</v>
      </c>
      <c r="F219" t="s">
        <v>17</v>
      </c>
      <c r="G219">
        <v>3</v>
      </c>
      <c r="H219" t="s">
        <v>251</v>
      </c>
      <c r="I219" t="b">
        <v>1</v>
      </c>
      <c r="J219" t="s">
        <v>44</v>
      </c>
      <c r="K219" s="10">
        <v>0.750694444444444</v>
      </c>
      <c r="L219" s="10">
        <v>0.851388888888889</v>
      </c>
      <c r="M219">
        <v>145</v>
      </c>
      <c r="N219" t="b">
        <v>0</v>
      </c>
    </row>
    <row r="220" spans="1:15">
      <c r="A220">
        <v>219</v>
      </c>
      <c r="B220" t="s">
        <v>399</v>
      </c>
      <c r="C220" t="s">
        <v>25</v>
      </c>
      <c r="D220" s="9">
        <v>29024</v>
      </c>
      <c r="E220">
        <v>45</v>
      </c>
      <c r="F220" t="s">
        <v>21</v>
      </c>
      <c r="G220">
        <v>5</v>
      </c>
      <c r="H220" t="s">
        <v>88</v>
      </c>
      <c r="I220" t="b">
        <v>1</v>
      </c>
      <c r="J220" t="s">
        <v>93</v>
      </c>
      <c r="K220" s="10">
        <v>0.624305555555556</v>
      </c>
      <c r="L220" s="10">
        <v>0.696527777777778</v>
      </c>
      <c r="M220">
        <v>104</v>
      </c>
      <c r="N220" t="b">
        <v>0</v>
      </c>
    </row>
    <row r="221" spans="1:15">
      <c r="A221">
        <v>220</v>
      </c>
      <c r="B221" t="s">
        <v>400</v>
      </c>
      <c r="C221" t="s">
        <v>25</v>
      </c>
      <c r="D221" s="9">
        <v>32093</v>
      </c>
      <c r="E221">
        <v>36</v>
      </c>
      <c r="F221" t="s">
        <v>17</v>
      </c>
      <c r="G221">
        <v>5</v>
      </c>
      <c r="H221" t="s">
        <v>177</v>
      </c>
      <c r="I221" t="b">
        <v>0</v>
      </c>
      <c r="K221" s="10">
        <v>0.872916666666667</v>
      </c>
      <c r="L221" s="10">
        <v>0.945833333333333</v>
      </c>
      <c r="M221">
        <v>105</v>
      </c>
      <c r="N221" t="b">
        <v>1</v>
      </c>
      <c r="O221" t="s">
        <v>28</v>
      </c>
    </row>
    <row r="222" spans="1:15">
      <c r="A222">
        <v>221</v>
      </c>
      <c r="B222" t="s">
        <v>401</v>
      </c>
      <c r="C222" t="s">
        <v>25</v>
      </c>
      <c r="D222" s="9">
        <v>28919</v>
      </c>
      <c r="E222">
        <v>45</v>
      </c>
      <c r="F222" t="s">
        <v>17</v>
      </c>
      <c r="G222">
        <v>2</v>
      </c>
      <c r="H222" t="s">
        <v>203</v>
      </c>
      <c r="I222" t="b">
        <v>0</v>
      </c>
      <c r="K222" s="10">
        <v>0.509027777777778</v>
      </c>
      <c r="L222" s="10">
        <v>0.619444444444444</v>
      </c>
      <c r="M222">
        <v>159</v>
      </c>
      <c r="N222" t="b">
        <v>1</v>
      </c>
      <c r="O222" t="s">
        <v>23</v>
      </c>
    </row>
    <row r="223" spans="1:15">
      <c r="A223">
        <v>222</v>
      </c>
      <c r="B223" t="s">
        <v>402</v>
      </c>
      <c r="C223" t="s">
        <v>25</v>
      </c>
      <c r="D223" s="9">
        <v>27492</v>
      </c>
      <c r="E223">
        <v>49</v>
      </c>
      <c r="F223" t="s">
        <v>17</v>
      </c>
      <c r="G223">
        <v>3</v>
      </c>
      <c r="H223" t="s">
        <v>92</v>
      </c>
      <c r="I223" t="b">
        <v>1</v>
      </c>
      <c r="J223" t="s">
        <v>303</v>
      </c>
      <c r="K223" s="10">
        <v>0.834027777777778</v>
      </c>
      <c r="L223" s="10">
        <v>0.917361111111111</v>
      </c>
      <c r="M223">
        <v>120</v>
      </c>
      <c r="N223" t="b">
        <v>1</v>
      </c>
      <c r="O223" t="s">
        <v>28</v>
      </c>
    </row>
    <row r="224" spans="1:15">
      <c r="A224">
        <v>223</v>
      </c>
      <c r="B224" t="s">
        <v>403</v>
      </c>
      <c r="C224" t="s">
        <v>25</v>
      </c>
      <c r="D224" s="9">
        <v>38630</v>
      </c>
      <c r="E224">
        <v>18</v>
      </c>
      <c r="F224" t="s">
        <v>21</v>
      </c>
      <c r="G224">
        <v>5</v>
      </c>
      <c r="H224" t="s">
        <v>152</v>
      </c>
      <c r="I224" t="b">
        <v>0</v>
      </c>
      <c r="K224" s="10">
        <v>0.849305555555556</v>
      </c>
      <c r="L224" s="10">
        <v>0.878472222222222</v>
      </c>
      <c r="M224">
        <v>42</v>
      </c>
      <c r="N224" t="b">
        <v>0</v>
      </c>
    </row>
    <row r="225" spans="1:15">
      <c r="A225">
        <v>224</v>
      </c>
      <c r="B225" t="s">
        <v>404</v>
      </c>
      <c r="C225" t="s">
        <v>16</v>
      </c>
      <c r="D225" s="9">
        <v>36737</v>
      </c>
      <c r="E225">
        <v>24</v>
      </c>
      <c r="F225" t="s">
        <v>21</v>
      </c>
      <c r="G225">
        <v>2</v>
      </c>
      <c r="H225" t="s">
        <v>187</v>
      </c>
      <c r="I225" t="b">
        <v>0</v>
      </c>
      <c r="K225" s="10">
        <v>0.861805555555556</v>
      </c>
      <c r="L225" s="10">
        <v>0.963194444444444</v>
      </c>
      <c r="M225">
        <v>146</v>
      </c>
      <c r="N225" t="b">
        <v>0</v>
      </c>
    </row>
    <row r="226" spans="1:15">
      <c r="A226">
        <v>225</v>
      </c>
      <c r="B226" t="s">
        <v>405</v>
      </c>
      <c r="C226" t="s">
        <v>25</v>
      </c>
      <c r="D226" s="9">
        <v>36799</v>
      </c>
      <c r="E226">
        <v>24</v>
      </c>
      <c r="F226" t="s">
        <v>21</v>
      </c>
      <c r="G226">
        <v>3</v>
      </c>
      <c r="H226" t="s">
        <v>106</v>
      </c>
      <c r="I226" t="b">
        <v>0</v>
      </c>
      <c r="K226" s="10">
        <v>0.838888888888889</v>
      </c>
      <c r="L226" s="10">
        <v>0.940972222222222</v>
      </c>
      <c r="M226">
        <v>147</v>
      </c>
      <c r="N226" t="b">
        <v>0</v>
      </c>
    </row>
    <row r="227" spans="1:15">
      <c r="A227">
        <v>226</v>
      </c>
      <c r="B227" t="s">
        <v>406</v>
      </c>
      <c r="C227" t="s">
        <v>25</v>
      </c>
      <c r="D227" s="9">
        <v>34180</v>
      </c>
      <c r="E227">
        <v>31</v>
      </c>
      <c r="F227" t="s">
        <v>21</v>
      </c>
      <c r="G227">
        <v>1</v>
      </c>
      <c r="H227" t="s">
        <v>26</v>
      </c>
      <c r="I227" t="b">
        <v>0</v>
      </c>
      <c r="K227" s="10">
        <v>0.625694444444444</v>
      </c>
      <c r="L227" s="10">
        <v>0.746527777777778</v>
      </c>
      <c r="M227">
        <v>174</v>
      </c>
      <c r="N227" t="b">
        <v>0</v>
      </c>
    </row>
    <row r="228" spans="1:15">
      <c r="A228">
        <v>227</v>
      </c>
      <c r="B228" t="s">
        <v>407</v>
      </c>
      <c r="C228" t="s">
        <v>16</v>
      </c>
      <c r="D228" s="9">
        <v>28034</v>
      </c>
      <c r="E228">
        <v>48</v>
      </c>
      <c r="F228" t="s">
        <v>17</v>
      </c>
      <c r="G228">
        <v>3</v>
      </c>
      <c r="H228" t="s">
        <v>245</v>
      </c>
      <c r="I228" t="b">
        <v>1</v>
      </c>
      <c r="J228" t="s">
        <v>408</v>
      </c>
      <c r="K228" s="10">
        <v>0.859027777777778</v>
      </c>
      <c r="L228" s="10">
        <v>0.890972222222222</v>
      </c>
      <c r="M228">
        <v>46</v>
      </c>
      <c r="N228" t="b">
        <v>1</v>
      </c>
      <c r="O228" t="s">
        <v>47</v>
      </c>
    </row>
    <row r="229" spans="1:15">
      <c r="A229">
        <v>228</v>
      </c>
      <c r="B229" t="s">
        <v>409</v>
      </c>
      <c r="C229" t="s">
        <v>25</v>
      </c>
      <c r="D229" s="9">
        <v>39146</v>
      </c>
      <c r="E229">
        <v>17</v>
      </c>
      <c r="F229" t="s">
        <v>17</v>
      </c>
      <c r="G229">
        <v>1</v>
      </c>
      <c r="H229" t="s">
        <v>46</v>
      </c>
      <c r="I229" t="b">
        <v>1</v>
      </c>
      <c r="J229" t="s">
        <v>410</v>
      </c>
      <c r="K229" s="10">
        <v>0.795138888888889</v>
      </c>
      <c r="L229" s="10">
        <v>0.909027777777778</v>
      </c>
      <c r="M229">
        <v>164</v>
      </c>
      <c r="N229" t="b">
        <v>1</v>
      </c>
      <c r="O229" t="s">
        <v>23</v>
      </c>
    </row>
    <row r="230" spans="1:15">
      <c r="A230">
        <v>229</v>
      </c>
      <c r="B230" t="s">
        <v>411</v>
      </c>
      <c r="C230" t="s">
        <v>25</v>
      </c>
      <c r="D230" s="9">
        <v>34054</v>
      </c>
      <c r="E230">
        <v>31</v>
      </c>
      <c r="F230" t="s">
        <v>17</v>
      </c>
      <c r="G230">
        <v>5</v>
      </c>
      <c r="H230" t="s">
        <v>412</v>
      </c>
      <c r="I230" t="b">
        <v>0</v>
      </c>
      <c r="K230" s="10">
        <v>0.860416666666667</v>
      </c>
      <c r="L230" s="10">
        <v>0.957638888888889</v>
      </c>
      <c r="M230">
        <v>140</v>
      </c>
      <c r="N230" t="b">
        <v>0</v>
      </c>
    </row>
    <row r="231" spans="1:15">
      <c r="A231">
        <v>230</v>
      </c>
      <c r="B231" t="s">
        <v>413</v>
      </c>
      <c r="C231" t="s">
        <v>25</v>
      </c>
      <c r="D231" s="9">
        <v>37186</v>
      </c>
      <c r="E231">
        <v>22</v>
      </c>
      <c r="F231" t="s">
        <v>21</v>
      </c>
      <c r="G231">
        <v>3</v>
      </c>
      <c r="H231" t="s">
        <v>22</v>
      </c>
      <c r="I231" t="b">
        <v>1</v>
      </c>
      <c r="J231" t="s">
        <v>414</v>
      </c>
      <c r="K231" s="10">
        <v>0.688194444444444</v>
      </c>
      <c r="L231" s="10">
        <v>0.725</v>
      </c>
      <c r="M231">
        <v>53</v>
      </c>
      <c r="N231" t="b">
        <v>0</v>
      </c>
    </row>
    <row r="232" spans="1:15">
      <c r="A232">
        <v>231</v>
      </c>
      <c r="B232" t="s">
        <v>415</v>
      </c>
      <c r="C232" t="s">
        <v>25</v>
      </c>
      <c r="D232" s="9">
        <v>31739</v>
      </c>
      <c r="E232">
        <v>37</v>
      </c>
      <c r="F232" t="s">
        <v>17</v>
      </c>
      <c r="G232">
        <v>3</v>
      </c>
      <c r="H232" t="s">
        <v>222</v>
      </c>
      <c r="I232" t="b">
        <v>0</v>
      </c>
      <c r="K232" s="10">
        <v>0.745138888888889</v>
      </c>
      <c r="L232" s="10">
        <v>0.858333333333333</v>
      </c>
      <c r="M232">
        <v>163</v>
      </c>
      <c r="N232" t="b">
        <v>0</v>
      </c>
    </row>
    <row r="233" spans="1:15">
      <c r="A233">
        <v>232</v>
      </c>
      <c r="B233" t="s">
        <v>416</v>
      </c>
      <c r="C233" t="s">
        <v>25</v>
      </c>
      <c r="D233" s="9">
        <v>31283</v>
      </c>
      <c r="E233">
        <v>39</v>
      </c>
      <c r="F233" t="s">
        <v>21</v>
      </c>
      <c r="G233">
        <v>5</v>
      </c>
      <c r="H233" t="s">
        <v>417</v>
      </c>
      <c r="I233" t="b">
        <v>1</v>
      </c>
      <c r="J233" t="s">
        <v>418</v>
      </c>
      <c r="K233" s="10">
        <v>0.636111111111111</v>
      </c>
      <c r="L233" s="10">
        <v>0.702777777777778</v>
      </c>
      <c r="M233">
        <v>96</v>
      </c>
      <c r="N233" t="b">
        <v>1</v>
      </c>
      <c r="O233" t="s">
        <v>28</v>
      </c>
    </row>
    <row r="234" spans="1:15">
      <c r="A234">
        <v>233</v>
      </c>
      <c r="B234" t="s">
        <v>419</v>
      </c>
      <c r="C234" t="s">
        <v>16</v>
      </c>
      <c r="D234" s="9">
        <v>40450</v>
      </c>
      <c r="E234">
        <v>14</v>
      </c>
      <c r="F234" t="s">
        <v>21</v>
      </c>
      <c r="G234">
        <v>3</v>
      </c>
      <c r="H234" t="s">
        <v>247</v>
      </c>
      <c r="I234" t="b">
        <v>0</v>
      </c>
      <c r="K234" s="10">
        <v>0.356944444444444</v>
      </c>
      <c r="L234" s="10">
        <v>0.402083333333333</v>
      </c>
      <c r="M234">
        <v>65</v>
      </c>
      <c r="N234" t="b">
        <v>0</v>
      </c>
    </row>
    <row r="235" spans="1:15">
      <c r="A235">
        <v>234</v>
      </c>
      <c r="B235" t="s">
        <v>160</v>
      </c>
      <c r="C235" t="s">
        <v>16</v>
      </c>
      <c r="D235" s="9">
        <v>38605</v>
      </c>
      <c r="E235">
        <v>19</v>
      </c>
      <c r="F235" t="s">
        <v>21</v>
      </c>
      <c r="G235">
        <v>1</v>
      </c>
      <c r="H235" t="s">
        <v>46</v>
      </c>
      <c r="I235" t="b">
        <v>0</v>
      </c>
      <c r="K235" s="10">
        <v>0.851388888888889</v>
      </c>
      <c r="L235" s="10">
        <v>0.897222222222222</v>
      </c>
      <c r="M235">
        <v>66</v>
      </c>
      <c r="N235" t="b">
        <v>0</v>
      </c>
    </row>
    <row r="236" spans="1:15">
      <c r="A236">
        <v>235</v>
      </c>
      <c r="B236" t="s">
        <v>420</v>
      </c>
      <c r="C236" t="s">
        <v>16</v>
      </c>
      <c r="D236" s="9">
        <v>35632</v>
      </c>
      <c r="E236">
        <v>27</v>
      </c>
      <c r="F236" t="s">
        <v>21</v>
      </c>
      <c r="G236">
        <v>4</v>
      </c>
      <c r="H236" t="s">
        <v>421</v>
      </c>
      <c r="I236" t="b">
        <v>0</v>
      </c>
      <c r="K236" s="10">
        <v>0.492361111111111</v>
      </c>
      <c r="L236" s="10">
        <v>0.597916666666667</v>
      </c>
      <c r="M236">
        <v>152</v>
      </c>
      <c r="N236" t="b">
        <v>1</v>
      </c>
      <c r="O236" t="s">
        <v>50</v>
      </c>
    </row>
    <row r="237" spans="1:15">
      <c r="A237">
        <v>236</v>
      </c>
      <c r="B237" t="s">
        <v>422</v>
      </c>
      <c r="C237" t="s">
        <v>16</v>
      </c>
      <c r="D237" s="9">
        <v>32606</v>
      </c>
      <c r="E237">
        <v>35</v>
      </c>
      <c r="F237" t="s">
        <v>21</v>
      </c>
      <c r="G237">
        <v>5</v>
      </c>
      <c r="H237" t="s">
        <v>88</v>
      </c>
      <c r="I237" t="b">
        <v>1</v>
      </c>
      <c r="J237" t="s">
        <v>423</v>
      </c>
      <c r="K237" s="10">
        <v>0.65625</v>
      </c>
      <c r="L237" s="10">
        <v>0.684027777777778</v>
      </c>
      <c r="M237">
        <v>40</v>
      </c>
      <c r="N237" t="b">
        <v>0</v>
      </c>
    </row>
    <row r="238" spans="1:15">
      <c r="A238">
        <v>237</v>
      </c>
      <c r="B238" t="s">
        <v>424</v>
      </c>
      <c r="C238" t="s">
        <v>16</v>
      </c>
      <c r="D238" s="9">
        <v>38361</v>
      </c>
      <c r="E238">
        <v>19</v>
      </c>
      <c r="F238" t="s">
        <v>17</v>
      </c>
      <c r="G238">
        <v>2</v>
      </c>
      <c r="H238" t="s">
        <v>101</v>
      </c>
      <c r="I238" t="b">
        <v>1</v>
      </c>
      <c r="J238" t="s">
        <v>93</v>
      </c>
      <c r="K238" s="10">
        <v>0.438888888888889</v>
      </c>
      <c r="L238" s="10">
        <v>0.473611111111111</v>
      </c>
      <c r="M238">
        <v>50</v>
      </c>
      <c r="N238" t="b">
        <v>1</v>
      </c>
      <c r="O238" t="s">
        <v>47</v>
      </c>
    </row>
    <row r="239" spans="1:15">
      <c r="A239">
        <v>238</v>
      </c>
      <c r="B239" t="s">
        <v>425</v>
      </c>
      <c r="C239" t="s">
        <v>16</v>
      </c>
      <c r="D239" s="9">
        <v>37797</v>
      </c>
      <c r="E239">
        <v>21</v>
      </c>
      <c r="F239" t="s">
        <v>17</v>
      </c>
      <c r="G239">
        <v>5</v>
      </c>
      <c r="H239" t="s">
        <v>412</v>
      </c>
      <c r="I239" t="b">
        <v>1</v>
      </c>
      <c r="J239" t="s">
        <v>426</v>
      </c>
      <c r="K239" s="10">
        <v>0.84375</v>
      </c>
      <c r="L239" s="10">
        <v>0.885416666666667</v>
      </c>
      <c r="M239">
        <v>60</v>
      </c>
      <c r="N239" t="b">
        <v>0</v>
      </c>
    </row>
    <row r="240" spans="1:15">
      <c r="A240">
        <v>239</v>
      </c>
      <c r="B240" t="s">
        <v>427</v>
      </c>
      <c r="C240" t="s">
        <v>25</v>
      </c>
      <c r="D240" s="9">
        <v>37921</v>
      </c>
      <c r="E240">
        <v>20</v>
      </c>
      <c r="F240" t="s">
        <v>21</v>
      </c>
      <c r="G240">
        <v>3</v>
      </c>
      <c r="H240" t="s">
        <v>130</v>
      </c>
      <c r="I240" t="b">
        <v>1</v>
      </c>
      <c r="J240" t="s">
        <v>428</v>
      </c>
      <c r="K240" s="10">
        <v>0.729166666666667</v>
      </c>
      <c r="L240" s="10">
        <v>0.799305555555556</v>
      </c>
      <c r="M240">
        <v>101</v>
      </c>
      <c r="N240" t="b">
        <v>1</v>
      </c>
      <c r="O240" t="s">
        <v>47</v>
      </c>
    </row>
    <row r="241" spans="1:15">
      <c r="A241">
        <v>240</v>
      </c>
      <c r="B241" t="s">
        <v>429</v>
      </c>
      <c r="C241" t="s">
        <v>25</v>
      </c>
      <c r="D241" s="9">
        <v>38355</v>
      </c>
      <c r="E241">
        <v>19</v>
      </c>
      <c r="F241" t="s">
        <v>17</v>
      </c>
      <c r="G241">
        <v>4</v>
      </c>
      <c r="H241" t="s">
        <v>430</v>
      </c>
      <c r="I241" t="b">
        <v>1</v>
      </c>
      <c r="J241" t="s">
        <v>431</v>
      </c>
      <c r="K241" s="10">
        <v>0.659027777777778</v>
      </c>
      <c r="L241" s="10">
        <v>0.686805555555556</v>
      </c>
      <c r="M241">
        <v>40</v>
      </c>
      <c r="N241" t="b">
        <v>0</v>
      </c>
    </row>
    <row r="242" spans="1:15">
      <c r="A242">
        <v>241</v>
      </c>
      <c r="B242" t="s">
        <v>432</v>
      </c>
      <c r="C242" t="s">
        <v>16</v>
      </c>
      <c r="D242" s="9">
        <v>29890</v>
      </c>
      <c r="E242">
        <v>42</v>
      </c>
      <c r="F242" t="s">
        <v>17</v>
      </c>
      <c r="G242">
        <v>2</v>
      </c>
      <c r="H242" t="s">
        <v>121</v>
      </c>
      <c r="I242" t="b">
        <v>0</v>
      </c>
      <c r="K242" s="10">
        <v>0.460416666666667</v>
      </c>
      <c r="L242" s="10">
        <v>0.545138888888889</v>
      </c>
      <c r="M242">
        <v>122</v>
      </c>
      <c r="N242" t="b">
        <v>1</v>
      </c>
      <c r="O242" t="s">
        <v>50</v>
      </c>
    </row>
    <row r="243" spans="1:15">
      <c r="A243">
        <v>242</v>
      </c>
      <c r="B243" t="s">
        <v>433</v>
      </c>
      <c r="C243" t="s">
        <v>25</v>
      </c>
      <c r="D243" s="9">
        <v>38931</v>
      </c>
      <c r="E243">
        <v>18</v>
      </c>
      <c r="F243" t="s">
        <v>17</v>
      </c>
      <c r="G243">
        <v>1</v>
      </c>
      <c r="H243" t="s">
        <v>49</v>
      </c>
      <c r="I243" t="b">
        <v>0</v>
      </c>
      <c r="K243" s="10">
        <v>0.734722222222222</v>
      </c>
      <c r="L243" s="10">
        <v>0.759722222222222</v>
      </c>
      <c r="M243">
        <v>36</v>
      </c>
      <c r="N243" t="b">
        <v>1</v>
      </c>
      <c r="O243" t="s">
        <v>28</v>
      </c>
    </row>
    <row r="244" spans="1:15">
      <c r="A244">
        <v>243</v>
      </c>
      <c r="B244" t="s">
        <v>434</v>
      </c>
      <c r="C244" t="s">
        <v>16</v>
      </c>
      <c r="D244" s="9">
        <v>27622</v>
      </c>
      <c r="E244">
        <v>49</v>
      </c>
      <c r="F244" t="s">
        <v>17</v>
      </c>
      <c r="G244">
        <v>1</v>
      </c>
      <c r="H244" t="s">
        <v>81</v>
      </c>
      <c r="I244" t="b">
        <v>0</v>
      </c>
      <c r="K244" s="10">
        <v>0.581944444444444</v>
      </c>
      <c r="L244" s="10">
        <v>0.647222222222222</v>
      </c>
      <c r="M244">
        <v>94</v>
      </c>
      <c r="N244" t="b">
        <v>1</v>
      </c>
      <c r="O244" t="s">
        <v>28</v>
      </c>
    </row>
    <row r="245" spans="1:15">
      <c r="A245">
        <v>244</v>
      </c>
      <c r="B245" t="s">
        <v>435</v>
      </c>
      <c r="C245" t="s">
        <v>16</v>
      </c>
      <c r="D245" s="9">
        <v>39366</v>
      </c>
      <c r="E245">
        <v>16</v>
      </c>
      <c r="F245" t="s">
        <v>17</v>
      </c>
      <c r="G245">
        <v>5</v>
      </c>
      <c r="H245" t="s">
        <v>109</v>
      </c>
      <c r="I245" t="b">
        <v>1</v>
      </c>
      <c r="J245" t="s">
        <v>41</v>
      </c>
      <c r="K245" s="10">
        <v>0.576388888888889</v>
      </c>
      <c r="L245" s="10">
        <v>0.64375</v>
      </c>
      <c r="M245">
        <v>97</v>
      </c>
      <c r="N245" t="b">
        <v>1</v>
      </c>
      <c r="O245" t="s">
        <v>50</v>
      </c>
    </row>
    <row r="246" spans="1:15">
      <c r="A246">
        <v>245</v>
      </c>
      <c r="B246" t="s">
        <v>436</v>
      </c>
      <c r="C246" t="s">
        <v>25</v>
      </c>
      <c r="D246" s="9">
        <v>35648</v>
      </c>
      <c r="E246">
        <v>27</v>
      </c>
      <c r="F246" t="s">
        <v>21</v>
      </c>
      <c r="G246">
        <v>1</v>
      </c>
      <c r="H246" t="s">
        <v>46</v>
      </c>
      <c r="I246" t="b">
        <v>1</v>
      </c>
      <c r="J246" t="s">
        <v>437</v>
      </c>
      <c r="K246" s="10">
        <v>0.507638888888889</v>
      </c>
      <c r="L246" s="10">
        <v>0.552777777777778</v>
      </c>
      <c r="M246">
        <v>65</v>
      </c>
      <c r="N246" t="b">
        <v>1</v>
      </c>
      <c r="O246" t="s">
        <v>47</v>
      </c>
    </row>
    <row r="247" spans="1:15">
      <c r="A247">
        <v>246</v>
      </c>
      <c r="B247" t="s">
        <v>438</v>
      </c>
      <c r="C247" t="s">
        <v>16</v>
      </c>
      <c r="D247" s="9">
        <v>36786</v>
      </c>
      <c r="E247">
        <v>24</v>
      </c>
      <c r="F247" t="s">
        <v>17</v>
      </c>
      <c r="G247">
        <v>4</v>
      </c>
      <c r="H247" t="s">
        <v>439</v>
      </c>
      <c r="I247" t="b">
        <v>0</v>
      </c>
      <c r="K247" s="10">
        <v>0.383333333333333</v>
      </c>
      <c r="L247" s="10">
        <v>0.481944444444444</v>
      </c>
      <c r="M247">
        <v>142</v>
      </c>
      <c r="N247" t="b">
        <v>0</v>
      </c>
    </row>
    <row r="248" spans="1:15">
      <c r="A248">
        <v>247</v>
      </c>
      <c r="B248" t="s">
        <v>216</v>
      </c>
      <c r="C248" t="s">
        <v>25</v>
      </c>
      <c r="D248" s="9">
        <v>31886</v>
      </c>
      <c r="E248">
        <v>37</v>
      </c>
      <c r="F248" t="s">
        <v>21</v>
      </c>
      <c r="G248">
        <v>4</v>
      </c>
      <c r="H248" t="s">
        <v>430</v>
      </c>
      <c r="I248" t="b">
        <v>1</v>
      </c>
      <c r="J248" t="s">
        <v>440</v>
      </c>
      <c r="K248" s="10">
        <v>0.780555555555556</v>
      </c>
      <c r="L248" s="10">
        <v>0.876388888888889</v>
      </c>
      <c r="M248">
        <v>138</v>
      </c>
      <c r="N248" t="b">
        <v>0</v>
      </c>
    </row>
    <row r="249" spans="1:15">
      <c r="A249">
        <v>248</v>
      </c>
      <c r="B249" t="s">
        <v>441</v>
      </c>
      <c r="C249" t="s">
        <v>16</v>
      </c>
      <c r="D249" s="9">
        <v>36755</v>
      </c>
      <c r="E249">
        <v>24</v>
      </c>
      <c r="F249" t="s">
        <v>17</v>
      </c>
      <c r="G249">
        <v>1</v>
      </c>
      <c r="H249" t="s">
        <v>81</v>
      </c>
      <c r="I249" t="b">
        <v>0</v>
      </c>
      <c r="K249" s="10">
        <v>0.624305555555556</v>
      </c>
      <c r="L249" s="10">
        <v>0.745833333333333</v>
      </c>
      <c r="M249">
        <v>175</v>
      </c>
      <c r="N249" t="b">
        <v>1</v>
      </c>
      <c r="O249" t="s">
        <v>28</v>
      </c>
    </row>
    <row r="250" spans="1:15">
      <c r="A250">
        <v>249</v>
      </c>
      <c r="B250" t="s">
        <v>442</v>
      </c>
      <c r="C250" t="s">
        <v>16</v>
      </c>
      <c r="D250" s="9">
        <v>35017</v>
      </c>
      <c r="E250">
        <v>28</v>
      </c>
      <c r="F250" t="s">
        <v>17</v>
      </c>
      <c r="G250">
        <v>5</v>
      </c>
      <c r="H250" t="s">
        <v>347</v>
      </c>
      <c r="I250" t="b">
        <v>1</v>
      </c>
      <c r="J250" t="s">
        <v>443</v>
      </c>
      <c r="K250" s="10">
        <v>0.75</v>
      </c>
      <c r="L250" s="10">
        <v>0.797222222222222</v>
      </c>
      <c r="M250">
        <v>68</v>
      </c>
      <c r="N250" t="b">
        <v>0</v>
      </c>
    </row>
    <row r="251" spans="1:15">
      <c r="A251">
        <v>250</v>
      </c>
      <c r="B251" t="s">
        <v>444</v>
      </c>
      <c r="C251" t="s">
        <v>25</v>
      </c>
      <c r="D251" s="9">
        <v>38956</v>
      </c>
      <c r="E251">
        <v>18</v>
      </c>
      <c r="F251" t="s">
        <v>21</v>
      </c>
      <c r="G251">
        <v>3</v>
      </c>
      <c r="H251" t="s">
        <v>318</v>
      </c>
      <c r="I251" t="b">
        <v>0</v>
      </c>
      <c r="K251" s="10">
        <v>0.559722222222222</v>
      </c>
      <c r="L251" s="10">
        <v>0.683333333333333</v>
      </c>
      <c r="M251">
        <v>178</v>
      </c>
      <c r="N251" t="b">
        <v>0</v>
      </c>
    </row>
    <row r="252" spans="1:15">
      <c r="A252">
        <v>251</v>
      </c>
      <c r="B252" t="s">
        <v>338</v>
      </c>
      <c r="C252" t="s">
        <v>25</v>
      </c>
      <c r="D252" s="9">
        <v>38889</v>
      </c>
      <c r="E252">
        <v>18</v>
      </c>
      <c r="F252" t="s">
        <v>21</v>
      </c>
      <c r="G252">
        <v>2</v>
      </c>
      <c r="H252" t="s">
        <v>195</v>
      </c>
      <c r="I252" t="b">
        <v>1</v>
      </c>
      <c r="J252" t="s">
        <v>445</v>
      </c>
      <c r="K252" s="10">
        <v>0.336805555555556</v>
      </c>
      <c r="L252" s="10">
        <v>0.388888888888889</v>
      </c>
      <c r="M252">
        <v>75</v>
      </c>
      <c r="N252" t="b">
        <v>0</v>
      </c>
    </row>
    <row r="253" spans="1:15">
      <c r="A253">
        <v>252</v>
      </c>
      <c r="B253" t="s">
        <v>446</v>
      </c>
      <c r="C253" t="s">
        <v>16</v>
      </c>
      <c r="D253" s="9">
        <v>33752</v>
      </c>
      <c r="E253">
        <v>32</v>
      </c>
      <c r="F253" t="s">
        <v>17</v>
      </c>
      <c r="G253">
        <v>5</v>
      </c>
      <c r="H253" t="s">
        <v>368</v>
      </c>
      <c r="I253" t="b">
        <v>1</v>
      </c>
      <c r="J253" t="s">
        <v>319</v>
      </c>
      <c r="K253" s="10">
        <v>0.428472222222222</v>
      </c>
      <c r="L253" s="10">
        <v>0.461111111111111</v>
      </c>
      <c r="M253">
        <v>47</v>
      </c>
      <c r="N253" t="b">
        <v>0</v>
      </c>
    </row>
    <row r="254" spans="1:15">
      <c r="A254">
        <v>253</v>
      </c>
      <c r="B254" t="s">
        <v>447</v>
      </c>
      <c r="C254" t="s">
        <v>25</v>
      </c>
      <c r="D254" s="9">
        <v>30616</v>
      </c>
      <c r="E254">
        <v>40</v>
      </c>
      <c r="F254" t="s">
        <v>17</v>
      </c>
      <c r="G254">
        <v>2</v>
      </c>
      <c r="H254" t="s">
        <v>259</v>
      </c>
      <c r="I254" t="b">
        <v>1</v>
      </c>
      <c r="J254" t="s">
        <v>448</v>
      </c>
      <c r="K254" s="10">
        <v>0.60625</v>
      </c>
      <c r="L254" s="10">
        <v>0.676388888888889</v>
      </c>
      <c r="M254">
        <v>101</v>
      </c>
      <c r="N254" t="b">
        <v>1</v>
      </c>
      <c r="O254" t="s">
        <v>47</v>
      </c>
    </row>
    <row r="255" spans="1:15">
      <c r="A255">
        <v>254</v>
      </c>
      <c r="B255" t="s">
        <v>449</v>
      </c>
      <c r="C255" t="s">
        <v>25</v>
      </c>
      <c r="D255" s="9">
        <v>37921</v>
      </c>
      <c r="E255">
        <v>20</v>
      </c>
      <c r="F255" t="s">
        <v>21</v>
      </c>
      <c r="G255">
        <v>4</v>
      </c>
      <c r="H255" t="s">
        <v>168</v>
      </c>
      <c r="I255" t="b">
        <v>0</v>
      </c>
      <c r="K255" s="10">
        <v>0.716666666666667</v>
      </c>
      <c r="L255" s="10">
        <v>0.78125</v>
      </c>
      <c r="M255">
        <v>93</v>
      </c>
      <c r="N255" t="b">
        <v>0</v>
      </c>
    </row>
    <row r="256" spans="1:15">
      <c r="A256">
        <v>255</v>
      </c>
      <c r="B256" t="s">
        <v>450</v>
      </c>
      <c r="C256" t="s">
        <v>25</v>
      </c>
      <c r="D256" s="9">
        <v>37725</v>
      </c>
      <c r="E256">
        <v>21</v>
      </c>
      <c r="F256" t="s">
        <v>17</v>
      </c>
      <c r="G256">
        <v>1</v>
      </c>
      <c r="H256" t="s">
        <v>185</v>
      </c>
      <c r="I256" t="b">
        <v>1</v>
      </c>
      <c r="J256" t="s">
        <v>348</v>
      </c>
      <c r="K256" s="10">
        <v>0.606944444444444</v>
      </c>
      <c r="L256" s="10">
        <v>0.690277777777778</v>
      </c>
      <c r="M256">
        <v>120</v>
      </c>
      <c r="N256" t="b">
        <v>1</v>
      </c>
      <c r="O256" t="s">
        <v>28</v>
      </c>
    </row>
    <row r="257" spans="1:15">
      <c r="A257">
        <v>256</v>
      </c>
      <c r="B257" t="s">
        <v>451</v>
      </c>
      <c r="C257" t="s">
        <v>16</v>
      </c>
      <c r="D257" s="9">
        <v>31399</v>
      </c>
      <c r="E257">
        <v>38</v>
      </c>
      <c r="F257" t="s">
        <v>17</v>
      </c>
      <c r="G257">
        <v>1</v>
      </c>
      <c r="H257" t="s">
        <v>185</v>
      </c>
      <c r="I257" t="b">
        <v>1</v>
      </c>
      <c r="J257" t="s">
        <v>67</v>
      </c>
      <c r="K257" s="10">
        <v>0.734027777777778</v>
      </c>
      <c r="L257" s="10">
        <v>0.769444444444444</v>
      </c>
      <c r="M257">
        <v>51</v>
      </c>
      <c r="N257" t="b">
        <v>1</v>
      </c>
      <c r="O257" t="s">
        <v>28</v>
      </c>
    </row>
    <row r="258" spans="1:15">
      <c r="A258">
        <v>257</v>
      </c>
      <c r="B258" t="s">
        <v>452</v>
      </c>
      <c r="C258" t="s">
        <v>25</v>
      </c>
      <c r="D258" s="9">
        <v>28942</v>
      </c>
      <c r="E258">
        <v>45</v>
      </c>
      <c r="F258" t="s">
        <v>21</v>
      </c>
      <c r="G258">
        <v>2</v>
      </c>
      <c r="H258" t="s">
        <v>272</v>
      </c>
      <c r="I258" t="b">
        <v>1</v>
      </c>
      <c r="J258" t="s">
        <v>453</v>
      </c>
      <c r="K258" s="10">
        <v>0.341666666666667</v>
      </c>
      <c r="L258" s="10">
        <v>0.413194444444444</v>
      </c>
      <c r="M258">
        <v>103</v>
      </c>
      <c r="N258" t="b">
        <v>0</v>
      </c>
    </row>
    <row r="259" spans="1:15">
      <c r="A259">
        <v>258</v>
      </c>
      <c r="B259" t="s">
        <v>454</v>
      </c>
      <c r="C259" t="s">
        <v>25</v>
      </c>
      <c r="D259" s="9">
        <v>37246</v>
      </c>
      <c r="E259">
        <v>22</v>
      </c>
      <c r="F259" t="s">
        <v>21</v>
      </c>
      <c r="G259">
        <v>2</v>
      </c>
      <c r="H259" t="s">
        <v>203</v>
      </c>
      <c r="I259" t="b">
        <v>0</v>
      </c>
      <c r="K259" s="10">
        <v>0.825694444444444</v>
      </c>
      <c r="L259" s="10">
        <v>0.892361111111111</v>
      </c>
      <c r="M259">
        <v>96</v>
      </c>
      <c r="N259" t="b">
        <v>0</v>
      </c>
    </row>
    <row r="260" spans="1:15">
      <c r="A260">
        <v>259</v>
      </c>
      <c r="B260" t="s">
        <v>455</v>
      </c>
      <c r="C260" t="s">
        <v>16</v>
      </c>
      <c r="D260" s="9">
        <v>39210</v>
      </c>
      <c r="E260">
        <v>17</v>
      </c>
      <c r="F260" t="s">
        <v>17</v>
      </c>
      <c r="G260">
        <v>5</v>
      </c>
      <c r="H260" t="s">
        <v>456</v>
      </c>
      <c r="I260" t="b">
        <v>0</v>
      </c>
      <c r="K260" s="10">
        <v>0.418055555555556</v>
      </c>
      <c r="L260" s="10">
        <v>0.479861111111111</v>
      </c>
      <c r="M260">
        <v>89</v>
      </c>
      <c r="N260" t="b">
        <v>1</v>
      </c>
      <c r="O260" t="s">
        <v>23</v>
      </c>
    </row>
    <row r="261" spans="1:15">
      <c r="A261">
        <v>260</v>
      </c>
      <c r="B261" t="s">
        <v>457</v>
      </c>
      <c r="C261" t="s">
        <v>16</v>
      </c>
      <c r="D261" s="9">
        <v>33748</v>
      </c>
      <c r="E261">
        <v>32</v>
      </c>
      <c r="F261" t="s">
        <v>21</v>
      </c>
      <c r="G261">
        <v>5</v>
      </c>
      <c r="H261" t="s">
        <v>458</v>
      </c>
      <c r="I261" t="b">
        <v>0</v>
      </c>
      <c r="K261" s="10">
        <v>0.347222222222222</v>
      </c>
      <c r="L261" s="10">
        <v>0.452777777777778</v>
      </c>
      <c r="M261">
        <v>152</v>
      </c>
      <c r="N261" t="b">
        <v>0</v>
      </c>
    </row>
    <row r="262" spans="1:15">
      <c r="A262">
        <v>261</v>
      </c>
      <c r="B262" t="s">
        <v>459</v>
      </c>
      <c r="C262" t="s">
        <v>25</v>
      </c>
      <c r="D262" s="9">
        <v>29496</v>
      </c>
      <c r="E262">
        <v>44</v>
      </c>
      <c r="F262" t="s">
        <v>21</v>
      </c>
      <c r="G262">
        <v>2</v>
      </c>
      <c r="H262" t="s">
        <v>111</v>
      </c>
      <c r="I262" t="b">
        <v>0</v>
      </c>
      <c r="K262" s="10">
        <v>0.500694444444444</v>
      </c>
      <c r="L262" s="10">
        <v>0.575</v>
      </c>
      <c r="M262">
        <v>107</v>
      </c>
      <c r="N262" t="b">
        <v>0</v>
      </c>
    </row>
    <row r="263" spans="1:15">
      <c r="A263">
        <v>262</v>
      </c>
      <c r="B263" t="s">
        <v>460</v>
      </c>
      <c r="C263" t="s">
        <v>16</v>
      </c>
      <c r="D263" s="9">
        <v>28272</v>
      </c>
      <c r="E263">
        <v>47</v>
      </c>
      <c r="F263" t="s">
        <v>17</v>
      </c>
      <c r="G263">
        <v>2</v>
      </c>
      <c r="H263" t="s">
        <v>461</v>
      </c>
      <c r="I263" t="b">
        <v>1</v>
      </c>
      <c r="J263" t="s">
        <v>462</v>
      </c>
      <c r="K263" s="10">
        <v>0.360416666666667</v>
      </c>
      <c r="L263" s="10">
        <v>0.392361111111111</v>
      </c>
      <c r="M263">
        <v>46</v>
      </c>
      <c r="N263" t="b">
        <v>1</v>
      </c>
      <c r="O263" t="s">
        <v>23</v>
      </c>
    </row>
    <row r="264" spans="1:15">
      <c r="A264">
        <v>263</v>
      </c>
      <c r="B264" t="s">
        <v>463</v>
      </c>
      <c r="C264" t="s">
        <v>16</v>
      </c>
      <c r="D264" s="9">
        <v>29664</v>
      </c>
      <c r="E264">
        <v>43</v>
      </c>
      <c r="F264" t="s">
        <v>21</v>
      </c>
      <c r="G264">
        <v>1</v>
      </c>
      <c r="H264" t="s">
        <v>35</v>
      </c>
      <c r="I264" t="b">
        <v>0</v>
      </c>
      <c r="K264" s="10">
        <v>0.345138888888889</v>
      </c>
      <c r="L264" s="10">
        <v>0.417361111111111</v>
      </c>
      <c r="M264">
        <v>104</v>
      </c>
      <c r="N264" t="b">
        <v>1</v>
      </c>
      <c r="O264" t="s">
        <v>47</v>
      </c>
    </row>
    <row r="265" spans="1:15">
      <c r="A265">
        <v>264</v>
      </c>
      <c r="B265" t="s">
        <v>464</v>
      </c>
      <c r="C265" t="s">
        <v>25</v>
      </c>
      <c r="D265" s="9">
        <v>27946</v>
      </c>
      <c r="E265">
        <v>48</v>
      </c>
      <c r="F265" t="s">
        <v>21</v>
      </c>
      <c r="G265">
        <v>5</v>
      </c>
      <c r="H265" t="s">
        <v>289</v>
      </c>
      <c r="I265" t="b">
        <v>0</v>
      </c>
      <c r="K265" s="10">
        <v>0.654166666666667</v>
      </c>
      <c r="L265" s="10">
        <v>0.693055555555556</v>
      </c>
      <c r="M265">
        <v>56</v>
      </c>
      <c r="N265" t="b">
        <v>1</v>
      </c>
      <c r="O265" t="s">
        <v>50</v>
      </c>
    </row>
    <row r="266" spans="1:15">
      <c r="A266">
        <v>265</v>
      </c>
      <c r="B266" t="s">
        <v>465</v>
      </c>
      <c r="C266" t="s">
        <v>16</v>
      </c>
      <c r="D266" s="9">
        <v>33815</v>
      </c>
      <c r="E266">
        <v>32</v>
      </c>
      <c r="F266" t="s">
        <v>21</v>
      </c>
      <c r="G266">
        <v>5</v>
      </c>
      <c r="H266" t="s">
        <v>183</v>
      </c>
      <c r="I266" t="b">
        <v>0</v>
      </c>
      <c r="K266" s="10">
        <v>0.827777777777778</v>
      </c>
      <c r="L266" s="10">
        <v>0.947222222222222</v>
      </c>
      <c r="M266">
        <v>172</v>
      </c>
      <c r="N266" t="b">
        <v>1</v>
      </c>
      <c r="O266" t="s">
        <v>28</v>
      </c>
    </row>
    <row r="267" spans="1:15">
      <c r="A267">
        <v>266</v>
      </c>
      <c r="B267" t="s">
        <v>466</v>
      </c>
      <c r="C267" t="s">
        <v>16</v>
      </c>
      <c r="D267" s="9">
        <v>31814</v>
      </c>
      <c r="E267">
        <v>37</v>
      </c>
      <c r="F267" t="s">
        <v>21</v>
      </c>
      <c r="G267">
        <v>3</v>
      </c>
      <c r="H267" t="s">
        <v>52</v>
      </c>
      <c r="I267" t="b">
        <v>1</v>
      </c>
      <c r="J267" t="s">
        <v>467</v>
      </c>
      <c r="K267" s="10">
        <v>0.754861111111111</v>
      </c>
      <c r="L267" s="10">
        <v>0.848611111111111</v>
      </c>
      <c r="M267">
        <v>135</v>
      </c>
      <c r="N267" t="b">
        <v>0</v>
      </c>
    </row>
    <row r="268" spans="1:15">
      <c r="A268">
        <v>267</v>
      </c>
      <c r="B268" t="s">
        <v>468</v>
      </c>
      <c r="C268" t="s">
        <v>16</v>
      </c>
      <c r="D268" s="9">
        <v>32275</v>
      </c>
      <c r="E268">
        <v>36</v>
      </c>
      <c r="F268" t="s">
        <v>21</v>
      </c>
      <c r="G268">
        <v>5</v>
      </c>
      <c r="H268" t="s">
        <v>96</v>
      </c>
      <c r="I268" t="b">
        <v>0</v>
      </c>
      <c r="K268" s="10">
        <v>0.48125</v>
      </c>
      <c r="L268" s="10">
        <v>0.583333333333333</v>
      </c>
      <c r="M268">
        <v>147</v>
      </c>
      <c r="N268" t="b">
        <v>0</v>
      </c>
    </row>
    <row r="269" spans="1:15">
      <c r="A269">
        <v>268</v>
      </c>
      <c r="B269" t="s">
        <v>469</v>
      </c>
      <c r="C269" t="s">
        <v>25</v>
      </c>
      <c r="D269" s="9">
        <v>37228</v>
      </c>
      <c r="E269">
        <v>22</v>
      </c>
      <c r="F269" t="s">
        <v>17</v>
      </c>
      <c r="G269">
        <v>4</v>
      </c>
      <c r="H269" t="s">
        <v>470</v>
      </c>
      <c r="I269" t="b">
        <v>0</v>
      </c>
      <c r="K269" s="10">
        <v>0.755555555555556</v>
      </c>
      <c r="L269" s="10">
        <v>0.816666666666667</v>
      </c>
      <c r="M269">
        <v>88</v>
      </c>
      <c r="N269" t="b">
        <v>1</v>
      </c>
      <c r="O269" t="s">
        <v>28</v>
      </c>
    </row>
    <row r="270" spans="1:15">
      <c r="A270">
        <v>269</v>
      </c>
      <c r="B270" t="s">
        <v>471</v>
      </c>
      <c r="C270" t="s">
        <v>25</v>
      </c>
      <c r="D270" s="9">
        <v>32057</v>
      </c>
      <c r="E270">
        <v>36</v>
      </c>
      <c r="F270" t="s">
        <v>17</v>
      </c>
      <c r="G270">
        <v>2</v>
      </c>
      <c r="H270" t="s">
        <v>32</v>
      </c>
      <c r="I270" t="b">
        <v>0</v>
      </c>
      <c r="K270" s="10">
        <v>0.415972222222222</v>
      </c>
      <c r="L270" s="10">
        <v>0.495138888888889</v>
      </c>
      <c r="M270">
        <v>114</v>
      </c>
      <c r="N270" t="b">
        <v>0</v>
      </c>
    </row>
    <row r="271" spans="1:15">
      <c r="A271">
        <v>270</v>
      </c>
      <c r="B271" t="s">
        <v>472</v>
      </c>
      <c r="C271" t="s">
        <v>25</v>
      </c>
      <c r="D271" s="9">
        <v>31107</v>
      </c>
      <c r="E271">
        <v>39</v>
      </c>
      <c r="F271" t="s">
        <v>21</v>
      </c>
      <c r="G271">
        <v>3</v>
      </c>
      <c r="H271" t="s">
        <v>315</v>
      </c>
      <c r="I271" t="b">
        <v>1</v>
      </c>
      <c r="J271" t="s">
        <v>44</v>
      </c>
      <c r="K271" s="10">
        <v>0.638194444444444</v>
      </c>
      <c r="L271" s="10">
        <v>0.66875</v>
      </c>
      <c r="M271">
        <v>44</v>
      </c>
      <c r="N271" t="b">
        <v>1</v>
      </c>
      <c r="O271" t="s">
        <v>28</v>
      </c>
    </row>
    <row r="272" spans="1:15">
      <c r="A272">
        <v>271</v>
      </c>
      <c r="B272" t="s">
        <v>473</v>
      </c>
      <c r="C272" t="s">
        <v>25</v>
      </c>
      <c r="D272" s="9">
        <v>28122</v>
      </c>
      <c r="E272">
        <v>47</v>
      </c>
      <c r="F272" t="s">
        <v>21</v>
      </c>
      <c r="G272">
        <v>3</v>
      </c>
      <c r="H272" t="s">
        <v>150</v>
      </c>
      <c r="I272" t="b">
        <v>0</v>
      </c>
      <c r="K272" s="10">
        <v>0.422222222222222</v>
      </c>
      <c r="L272" s="10">
        <v>0.445138888888889</v>
      </c>
      <c r="M272">
        <v>33</v>
      </c>
      <c r="N272" t="b">
        <v>1</v>
      </c>
      <c r="O272" t="s">
        <v>50</v>
      </c>
    </row>
    <row r="273" spans="1:15">
      <c r="A273">
        <v>272</v>
      </c>
      <c r="B273" t="s">
        <v>474</v>
      </c>
      <c r="C273" t="s">
        <v>25</v>
      </c>
      <c r="D273" s="9">
        <v>27406</v>
      </c>
      <c r="E273">
        <v>49</v>
      </c>
      <c r="F273" t="s">
        <v>17</v>
      </c>
      <c r="G273">
        <v>2</v>
      </c>
      <c r="H273" t="s">
        <v>138</v>
      </c>
      <c r="I273" t="b">
        <v>1</v>
      </c>
      <c r="J273" t="s">
        <v>201</v>
      </c>
      <c r="K273" s="10">
        <v>0.555555555555556</v>
      </c>
      <c r="L273" s="10">
        <v>0.677777777777778</v>
      </c>
      <c r="M273">
        <v>176</v>
      </c>
      <c r="N273" t="b">
        <v>1</v>
      </c>
      <c r="O273" t="s">
        <v>23</v>
      </c>
    </row>
    <row r="274" spans="1:15">
      <c r="A274">
        <v>273</v>
      </c>
      <c r="B274" t="s">
        <v>326</v>
      </c>
      <c r="C274" t="s">
        <v>25</v>
      </c>
      <c r="D274" s="9">
        <v>35426</v>
      </c>
      <c r="E274">
        <v>27</v>
      </c>
      <c r="F274" t="s">
        <v>21</v>
      </c>
      <c r="G274">
        <v>2</v>
      </c>
      <c r="H274" t="s">
        <v>195</v>
      </c>
      <c r="I274" t="b">
        <v>0</v>
      </c>
      <c r="K274" s="10">
        <v>0.474305555555556</v>
      </c>
      <c r="L274" s="10">
        <v>0.559027777777778</v>
      </c>
      <c r="M274">
        <v>122</v>
      </c>
      <c r="N274" t="b">
        <v>1</v>
      </c>
      <c r="O274" t="s">
        <v>23</v>
      </c>
    </row>
    <row r="275" spans="1:15">
      <c r="A275">
        <v>274</v>
      </c>
      <c r="B275" t="s">
        <v>475</v>
      </c>
      <c r="C275" t="s">
        <v>16</v>
      </c>
      <c r="D275" s="9">
        <v>29314</v>
      </c>
      <c r="E275">
        <v>44</v>
      </c>
      <c r="F275" t="s">
        <v>21</v>
      </c>
      <c r="G275">
        <v>2</v>
      </c>
      <c r="H275" t="s">
        <v>101</v>
      </c>
      <c r="I275" t="b">
        <v>1</v>
      </c>
      <c r="J275" t="s">
        <v>356</v>
      </c>
      <c r="K275" s="10">
        <v>0.8125</v>
      </c>
      <c r="L275" s="10">
        <v>0.894444444444444</v>
      </c>
      <c r="M275">
        <v>118</v>
      </c>
      <c r="N275" t="b">
        <v>0</v>
      </c>
    </row>
    <row r="276" spans="1:15">
      <c r="A276">
        <v>275</v>
      </c>
      <c r="B276" t="s">
        <v>476</v>
      </c>
      <c r="C276" t="s">
        <v>25</v>
      </c>
      <c r="D276" s="9">
        <v>40703</v>
      </c>
      <c r="E276">
        <v>13</v>
      </c>
      <c r="F276" t="s">
        <v>21</v>
      </c>
      <c r="G276">
        <v>2</v>
      </c>
      <c r="H276" t="s">
        <v>259</v>
      </c>
      <c r="I276" t="b">
        <v>0</v>
      </c>
      <c r="K276" s="10">
        <v>0.401388888888889</v>
      </c>
      <c r="L276" s="10">
        <v>0.497222222222222</v>
      </c>
      <c r="M276">
        <v>138</v>
      </c>
      <c r="N276" t="b">
        <v>0</v>
      </c>
    </row>
    <row r="277" spans="1:15">
      <c r="A277">
        <v>276</v>
      </c>
      <c r="B277" t="s">
        <v>477</v>
      </c>
      <c r="C277" t="s">
        <v>25</v>
      </c>
      <c r="D277" s="9">
        <v>40270</v>
      </c>
      <c r="E277">
        <v>14</v>
      </c>
      <c r="F277" t="s">
        <v>21</v>
      </c>
      <c r="G277">
        <v>2</v>
      </c>
      <c r="H277" t="s">
        <v>306</v>
      </c>
      <c r="I277" t="b">
        <v>1</v>
      </c>
      <c r="J277" t="s">
        <v>114</v>
      </c>
      <c r="K277" s="10">
        <v>0.472916666666667</v>
      </c>
      <c r="L277" s="10">
        <v>0.520138888888889</v>
      </c>
      <c r="M277">
        <v>68</v>
      </c>
      <c r="N277" t="b">
        <v>0</v>
      </c>
    </row>
    <row r="278" spans="1:15">
      <c r="A278">
        <v>277</v>
      </c>
      <c r="B278" t="s">
        <v>478</v>
      </c>
      <c r="C278" t="s">
        <v>16</v>
      </c>
      <c r="D278" s="9">
        <v>36275</v>
      </c>
      <c r="E278">
        <v>25</v>
      </c>
      <c r="F278" t="s">
        <v>21</v>
      </c>
      <c r="G278">
        <v>2</v>
      </c>
      <c r="H278" t="s">
        <v>210</v>
      </c>
      <c r="I278" t="b">
        <v>0</v>
      </c>
      <c r="K278" s="10">
        <v>0.443055555555556</v>
      </c>
      <c r="L278" s="10">
        <v>0.565972222222222</v>
      </c>
      <c r="M278">
        <v>177</v>
      </c>
      <c r="N278" t="b">
        <v>1</v>
      </c>
      <c r="O278" t="s">
        <v>50</v>
      </c>
    </row>
    <row r="279" spans="1:15">
      <c r="A279">
        <v>278</v>
      </c>
      <c r="B279" t="s">
        <v>479</v>
      </c>
      <c r="C279" t="s">
        <v>25</v>
      </c>
      <c r="D279" s="9">
        <v>33637</v>
      </c>
      <c r="E279">
        <v>32</v>
      </c>
      <c r="F279" t="s">
        <v>17</v>
      </c>
      <c r="G279">
        <v>2</v>
      </c>
      <c r="H279" t="s">
        <v>111</v>
      </c>
      <c r="I279" t="b">
        <v>1</v>
      </c>
      <c r="J279" t="s">
        <v>480</v>
      </c>
      <c r="K279" s="10">
        <v>0.554861111111111</v>
      </c>
      <c r="L279" s="10">
        <v>0.592361111111111</v>
      </c>
      <c r="M279">
        <v>54</v>
      </c>
      <c r="N279" t="b">
        <v>1</v>
      </c>
      <c r="O279" t="s">
        <v>28</v>
      </c>
    </row>
    <row r="280" spans="1:15">
      <c r="A280">
        <v>279</v>
      </c>
      <c r="B280" t="s">
        <v>481</v>
      </c>
      <c r="C280" t="s">
        <v>16</v>
      </c>
      <c r="D280" s="9">
        <v>34622</v>
      </c>
      <c r="E280">
        <v>29</v>
      </c>
      <c r="F280" t="s">
        <v>21</v>
      </c>
      <c r="G280">
        <v>4</v>
      </c>
      <c r="H280" t="s">
        <v>482</v>
      </c>
      <c r="I280" t="b">
        <v>0</v>
      </c>
      <c r="K280" s="10">
        <v>0.446527777777778</v>
      </c>
      <c r="L280" s="10">
        <v>0.520833333333333</v>
      </c>
      <c r="M280">
        <v>107</v>
      </c>
      <c r="N280" t="b">
        <v>1</v>
      </c>
      <c r="O280" t="s">
        <v>50</v>
      </c>
    </row>
    <row r="281" spans="1:15">
      <c r="A281">
        <v>280</v>
      </c>
      <c r="B281" t="s">
        <v>483</v>
      </c>
      <c r="C281" t="s">
        <v>25</v>
      </c>
      <c r="D281" s="9">
        <v>30340</v>
      </c>
      <c r="E281">
        <v>41</v>
      </c>
      <c r="F281" t="s">
        <v>21</v>
      </c>
      <c r="G281">
        <v>2</v>
      </c>
      <c r="H281" t="s">
        <v>69</v>
      </c>
      <c r="I281" t="b">
        <v>1</v>
      </c>
      <c r="J281" t="s">
        <v>303</v>
      </c>
      <c r="K281" s="10">
        <v>0.436805555555556</v>
      </c>
      <c r="L281" s="10">
        <v>0.464583333333333</v>
      </c>
      <c r="M281">
        <v>40</v>
      </c>
      <c r="N281" t="b">
        <v>1</v>
      </c>
      <c r="O281" t="s">
        <v>23</v>
      </c>
    </row>
    <row r="282" spans="1:15">
      <c r="A282">
        <v>281</v>
      </c>
      <c r="B282" t="s">
        <v>484</v>
      </c>
      <c r="C282" t="s">
        <v>25</v>
      </c>
      <c r="D282" s="9">
        <v>37773</v>
      </c>
      <c r="E282">
        <v>21</v>
      </c>
      <c r="F282" t="s">
        <v>17</v>
      </c>
      <c r="G282">
        <v>2</v>
      </c>
      <c r="H282" t="s">
        <v>133</v>
      </c>
      <c r="I282" t="b">
        <v>1</v>
      </c>
      <c r="J282" t="s">
        <v>485</v>
      </c>
      <c r="K282" s="10">
        <v>0.652777777777778</v>
      </c>
      <c r="L282" s="10">
        <v>0.699305555555556</v>
      </c>
      <c r="M282">
        <v>67</v>
      </c>
      <c r="N282" t="b">
        <v>1</v>
      </c>
      <c r="O282" t="s">
        <v>23</v>
      </c>
    </row>
    <row r="283" spans="1:15">
      <c r="A283">
        <v>282</v>
      </c>
      <c r="B283" t="s">
        <v>486</v>
      </c>
      <c r="C283" t="s">
        <v>25</v>
      </c>
      <c r="D283" s="9">
        <v>36347</v>
      </c>
      <c r="E283">
        <v>25</v>
      </c>
      <c r="F283" t="s">
        <v>21</v>
      </c>
      <c r="G283">
        <v>5</v>
      </c>
      <c r="H283" t="s">
        <v>88</v>
      </c>
      <c r="I283" t="b">
        <v>1</v>
      </c>
      <c r="J283" t="s">
        <v>487</v>
      </c>
      <c r="K283" s="10">
        <v>0.517361111111111</v>
      </c>
      <c r="L283" s="10">
        <v>0.559722222222222</v>
      </c>
      <c r="M283">
        <v>61</v>
      </c>
      <c r="N283" t="b">
        <v>0</v>
      </c>
    </row>
    <row r="284" spans="1:15">
      <c r="A284">
        <v>283</v>
      </c>
      <c r="B284" t="s">
        <v>488</v>
      </c>
      <c r="C284" t="s">
        <v>16</v>
      </c>
      <c r="D284" s="9">
        <v>37606</v>
      </c>
      <c r="E284">
        <v>21</v>
      </c>
      <c r="F284" t="s">
        <v>17</v>
      </c>
      <c r="G284">
        <v>2</v>
      </c>
      <c r="H284" t="s">
        <v>55</v>
      </c>
      <c r="I284" t="b">
        <v>1</v>
      </c>
      <c r="J284" t="s">
        <v>489</v>
      </c>
      <c r="K284" s="10">
        <v>0.621527777777778</v>
      </c>
      <c r="L284" s="10">
        <v>0.736111111111111</v>
      </c>
      <c r="M284">
        <v>165</v>
      </c>
      <c r="N284" t="b">
        <v>1</v>
      </c>
      <c r="O284" t="s">
        <v>28</v>
      </c>
    </row>
    <row r="285" spans="1:15">
      <c r="A285">
        <v>284</v>
      </c>
      <c r="B285" t="s">
        <v>490</v>
      </c>
      <c r="C285" t="s">
        <v>16</v>
      </c>
      <c r="D285" s="9">
        <v>40533</v>
      </c>
      <c r="E285">
        <v>13</v>
      </c>
      <c r="F285" t="s">
        <v>21</v>
      </c>
      <c r="G285">
        <v>2</v>
      </c>
      <c r="H285" t="s">
        <v>133</v>
      </c>
      <c r="I285" t="b">
        <v>0</v>
      </c>
      <c r="K285" s="10">
        <v>0.536111111111111</v>
      </c>
      <c r="L285" s="10">
        <v>0.647222222222222</v>
      </c>
      <c r="M285">
        <v>160</v>
      </c>
      <c r="N285" t="b">
        <v>0</v>
      </c>
    </row>
    <row r="286" spans="1:15">
      <c r="A286">
        <v>285</v>
      </c>
      <c r="B286" t="s">
        <v>388</v>
      </c>
      <c r="C286" t="s">
        <v>25</v>
      </c>
      <c r="D286" s="9">
        <v>27919</v>
      </c>
      <c r="E286">
        <v>48</v>
      </c>
      <c r="F286" t="s">
        <v>17</v>
      </c>
      <c r="G286">
        <v>4</v>
      </c>
      <c r="H286" t="s">
        <v>123</v>
      </c>
      <c r="I286" t="b">
        <v>0</v>
      </c>
      <c r="K286" s="10">
        <v>0.564583333333333</v>
      </c>
      <c r="L286" s="10">
        <v>0.588194444444444</v>
      </c>
      <c r="M286">
        <v>34</v>
      </c>
      <c r="N286" t="b">
        <v>0</v>
      </c>
    </row>
    <row r="287" spans="1:15">
      <c r="A287">
        <v>286</v>
      </c>
      <c r="B287" t="s">
        <v>491</v>
      </c>
      <c r="C287" t="s">
        <v>25</v>
      </c>
      <c r="D287" s="9">
        <v>38009</v>
      </c>
      <c r="E287">
        <v>20</v>
      </c>
      <c r="F287" t="s">
        <v>17</v>
      </c>
      <c r="G287">
        <v>5</v>
      </c>
      <c r="H287" t="s">
        <v>127</v>
      </c>
      <c r="I287" t="b">
        <v>0</v>
      </c>
      <c r="K287" s="10">
        <v>0.844444444444444</v>
      </c>
      <c r="L287" s="10">
        <v>0.909027777777778</v>
      </c>
      <c r="M287">
        <v>93</v>
      </c>
      <c r="N287" t="b">
        <v>1</v>
      </c>
      <c r="O287" t="s">
        <v>28</v>
      </c>
    </row>
    <row r="288" spans="1:15">
      <c r="A288">
        <v>287</v>
      </c>
      <c r="B288" t="s">
        <v>492</v>
      </c>
      <c r="C288" t="s">
        <v>25</v>
      </c>
      <c r="D288" s="9">
        <v>32057</v>
      </c>
      <c r="E288">
        <v>36</v>
      </c>
      <c r="F288" t="s">
        <v>17</v>
      </c>
      <c r="G288">
        <v>2</v>
      </c>
      <c r="H288" t="s">
        <v>187</v>
      </c>
      <c r="I288" t="b">
        <v>1</v>
      </c>
      <c r="J288" t="s">
        <v>493</v>
      </c>
      <c r="K288" s="10">
        <v>0.81875</v>
      </c>
      <c r="L288" s="10">
        <v>0.91875</v>
      </c>
      <c r="M288">
        <v>144</v>
      </c>
      <c r="N288" t="b">
        <v>0</v>
      </c>
    </row>
    <row r="289" spans="1:15">
      <c r="A289">
        <v>288</v>
      </c>
      <c r="B289" t="s">
        <v>494</v>
      </c>
      <c r="C289" t="s">
        <v>25</v>
      </c>
      <c r="D289" s="9">
        <v>30114</v>
      </c>
      <c r="E289">
        <v>42</v>
      </c>
      <c r="F289" t="s">
        <v>17</v>
      </c>
      <c r="G289">
        <v>5</v>
      </c>
      <c r="H289" t="s">
        <v>417</v>
      </c>
      <c r="I289" t="b">
        <v>0</v>
      </c>
      <c r="K289" s="10">
        <v>0.729166666666667</v>
      </c>
      <c r="L289" s="10">
        <v>0.839583333333333</v>
      </c>
      <c r="M289">
        <v>159</v>
      </c>
      <c r="N289" t="b">
        <v>0</v>
      </c>
    </row>
    <row r="290" spans="1:15">
      <c r="A290">
        <v>289</v>
      </c>
      <c r="B290" t="s">
        <v>495</v>
      </c>
      <c r="C290" t="s">
        <v>16</v>
      </c>
      <c r="D290" s="9">
        <v>38096</v>
      </c>
      <c r="E290">
        <v>20</v>
      </c>
      <c r="F290" t="s">
        <v>17</v>
      </c>
      <c r="G290">
        <v>3</v>
      </c>
      <c r="H290" t="s">
        <v>325</v>
      </c>
      <c r="I290" t="b">
        <v>1</v>
      </c>
      <c r="J290" t="s">
        <v>174</v>
      </c>
      <c r="K290" s="10">
        <v>0.370138888888889</v>
      </c>
      <c r="L290" s="10">
        <v>0.478472222222222</v>
      </c>
      <c r="M290">
        <v>156</v>
      </c>
      <c r="N290" t="b">
        <v>1</v>
      </c>
      <c r="O290" t="s">
        <v>28</v>
      </c>
    </row>
    <row r="291" spans="1:15">
      <c r="A291">
        <v>290</v>
      </c>
      <c r="B291" t="s">
        <v>496</v>
      </c>
      <c r="C291" t="s">
        <v>16</v>
      </c>
      <c r="D291" s="9">
        <v>35920</v>
      </c>
      <c r="E291">
        <v>26</v>
      </c>
      <c r="F291" t="s">
        <v>21</v>
      </c>
      <c r="G291">
        <v>2</v>
      </c>
      <c r="H291" t="s">
        <v>461</v>
      </c>
      <c r="I291" t="b">
        <v>1</v>
      </c>
      <c r="J291" t="s">
        <v>193</v>
      </c>
      <c r="K291" s="10">
        <v>0.661111111111111</v>
      </c>
      <c r="L291" s="10">
        <v>0.753472222222222</v>
      </c>
      <c r="M291">
        <v>133</v>
      </c>
      <c r="N291" t="b">
        <v>0</v>
      </c>
    </row>
    <row r="292" spans="1:15">
      <c r="A292">
        <v>291</v>
      </c>
      <c r="B292" t="s">
        <v>497</v>
      </c>
      <c r="C292" t="s">
        <v>16</v>
      </c>
      <c r="D292" s="9">
        <v>30065</v>
      </c>
      <c r="E292">
        <v>42</v>
      </c>
      <c r="F292" t="s">
        <v>17</v>
      </c>
      <c r="G292">
        <v>5</v>
      </c>
      <c r="H292" t="s">
        <v>456</v>
      </c>
      <c r="I292" t="b">
        <v>0</v>
      </c>
      <c r="K292" s="10">
        <v>0.409027777777778</v>
      </c>
      <c r="L292" s="10">
        <v>0.479861111111111</v>
      </c>
      <c r="M292">
        <v>102</v>
      </c>
      <c r="N292" t="b">
        <v>0</v>
      </c>
    </row>
    <row r="293" spans="1:15">
      <c r="A293">
        <v>292</v>
      </c>
      <c r="B293" t="s">
        <v>498</v>
      </c>
      <c r="C293" t="s">
        <v>25</v>
      </c>
      <c r="D293" s="9">
        <v>39289</v>
      </c>
      <c r="E293">
        <v>17</v>
      </c>
      <c r="F293" t="s">
        <v>21</v>
      </c>
      <c r="G293">
        <v>1</v>
      </c>
      <c r="H293" t="s">
        <v>59</v>
      </c>
      <c r="I293" t="b">
        <v>0</v>
      </c>
      <c r="K293" s="10">
        <v>0.707638888888889</v>
      </c>
      <c r="L293" s="10">
        <v>0.790277777777778</v>
      </c>
      <c r="M293">
        <v>119</v>
      </c>
      <c r="N293" t="b">
        <v>0</v>
      </c>
    </row>
    <row r="294" spans="1:15">
      <c r="A294">
        <v>293</v>
      </c>
      <c r="B294" t="s">
        <v>499</v>
      </c>
      <c r="C294" t="s">
        <v>16</v>
      </c>
      <c r="D294" s="9">
        <v>35919</v>
      </c>
      <c r="E294">
        <v>26</v>
      </c>
      <c r="F294" t="s">
        <v>17</v>
      </c>
      <c r="G294">
        <v>1</v>
      </c>
      <c r="H294" t="s">
        <v>26</v>
      </c>
      <c r="I294" t="b">
        <v>1</v>
      </c>
      <c r="J294" t="s">
        <v>500</v>
      </c>
      <c r="K294" s="10">
        <v>0.688194444444444</v>
      </c>
      <c r="L294" s="10">
        <v>0.786805555555556</v>
      </c>
      <c r="M294">
        <v>142</v>
      </c>
      <c r="N294" t="b">
        <v>1</v>
      </c>
      <c r="O294" t="s">
        <v>50</v>
      </c>
    </row>
    <row r="295" spans="1:15">
      <c r="A295">
        <v>294</v>
      </c>
      <c r="B295" t="s">
        <v>501</v>
      </c>
      <c r="C295" t="s">
        <v>16</v>
      </c>
      <c r="D295" s="9">
        <v>30561</v>
      </c>
      <c r="E295">
        <v>41</v>
      </c>
      <c r="F295" t="s">
        <v>17</v>
      </c>
      <c r="G295">
        <v>1</v>
      </c>
      <c r="H295" t="s">
        <v>49</v>
      </c>
      <c r="I295" t="b">
        <v>1</v>
      </c>
      <c r="J295" t="s">
        <v>502</v>
      </c>
      <c r="K295" s="10">
        <v>0.551388888888889</v>
      </c>
      <c r="L295" s="10">
        <v>0.622916666666667</v>
      </c>
      <c r="M295">
        <v>103</v>
      </c>
      <c r="N295" t="b">
        <v>0</v>
      </c>
    </row>
    <row r="296" spans="1:15">
      <c r="A296">
        <v>295</v>
      </c>
      <c r="B296" t="s">
        <v>503</v>
      </c>
      <c r="C296" t="s">
        <v>25</v>
      </c>
      <c r="D296" s="9">
        <v>32425</v>
      </c>
      <c r="E296">
        <v>35</v>
      </c>
      <c r="F296" t="s">
        <v>21</v>
      </c>
      <c r="G296">
        <v>3</v>
      </c>
      <c r="H296" t="s">
        <v>504</v>
      </c>
      <c r="I296" t="b">
        <v>0</v>
      </c>
      <c r="K296" s="10">
        <v>0.644444444444444</v>
      </c>
      <c r="L296" s="10">
        <v>0.755555555555556</v>
      </c>
      <c r="M296">
        <v>160</v>
      </c>
      <c r="N296" t="b">
        <v>0</v>
      </c>
    </row>
    <row r="297" spans="1:15">
      <c r="A297">
        <v>296</v>
      </c>
      <c r="B297" t="s">
        <v>505</v>
      </c>
      <c r="C297" t="s">
        <v>16</v>
      </c>
      <c r="D297" s="9">
        <v>36890</v>
      </c>
      <c r="E297">
        <v>23</v>
      </c>
      <c r="F297" t="s">
        <v>21</v>
      </c>
      <c r="G297">
        <v>4</v>
      </c>
      <c r="H297" t="s">
        <v>506</v>
      </c>
      <c r="I297" t="b">
        <v>0</v>
      </c>
      <c r="K297" s="10">
        <v>0.428472222222222</v>
      </c>
      <c r="L297" s="10">
        <v>0.528472222222222</v>
      </c>
      <c r="M297">
        <v>144</v>
      </c>
      <c r="N297" t="b">
        <v>0</v>
      </c>
    </row>
    <row r="298" spans="1:15">
      <c r="A298">
        <v>297</v>
      </c>
      <c r="B298" t="s">
        <v>507</v>
      </c>
      <c r="C298" t="s">
        <v>25</v>
      </c>
      <c r="D298" s="9">
        <v>34463</v>
      </c>
      <c r="E298">
        <v>30</v>
      </c>
      <c r="F298" t="s">
        <v>21</v>
      </c>
      <c r="G298">
        <v>5</v>
      </c>
      <c r="H298" t="s">
        <v>289</v>
      </c>
      <c r="I298" t="b">
        <v>0</v>
      </c>
      <c r="K298" s="10">
        <v>0.728472222222222</v>
      </c>
      <c r="L298" s="10">
        <v>0.815972222222222</v>
      </c>
      <c r="M298">
        <v>126</v>
      </c>
      <c r="N298" t="b">
        <v>1</v>
      </c>
      <c r="O298" t="s">
        <v>47</v>
      </c>
    </row>
    <row r="299" spans="1:15">
      <c r="A299">
        <v>298</v>
      </c>
      <c r="B299" t="s">
        <v>508</v>
      </c>
      <c r="C299" t="s">
        <v>16</v>
      </c>
      <c r="D299" s="9">
        <v>32972</v>
      </c>
      <c r="E299">
        <v>34</v>
      </c>
      <c r="F299" t="s">
        <v>17</v>
      </c>
      <c r="G299">
        <v>2</v>
      </c>
      <c r="H299" t="s">
        <v>509</v>
      </c>
      <c r="I299" t="b">
        <v>0</v>
      </c>
      <c r="K299" s="10">
        <v>0.803472222222222</v>
      </c>
      <c r="L299" s="10">
        <v>0.850694444444445</v>
      </c>
      <c r="M299">
        <v>68</v>
      </c>
      <c r="N299" t="b">
        <v>1</v>
      </c>
      <c r="O299" t="s">
        <v>23</v>
      </c>
    </row>
    <row r="300" spans="1:15">
      <c r="A300">
        <v>299</v>
      </c>
      <c r="B300" t="s">
        <v>510</v>
      </c>
      <c r="C300" t="s">
        <v>16</v>
      </c>
      <c r="D300" s="9">
        <v>29672</v>
      </c>
      <c r="E300">
        <v>43</v>
      </c>
      <c r="F300" t="s">
        <v>17</v>
      </c>
      <c r="G300">
        <v>5</v>
      </c>
      <c r="H300" t="s">
        <v>152</v>
      </c>
      <c r="I300" t="b">
        <v>0</v>
      </c>
      <c r="K300" s="10">
        <v>0.521527777777778</v>
      </c>
      <c r="L300" s="10">
        <v>0.63125</v>
      </c>
      <c r="M300">
        <v>158</v>
      </c>
      <c r="N300" t="b">
        <v>1</v>
      </c>
      <c r="O300" t="s">
        <v>28</v>
      </c>
    </row>
    <row r="301" spans="1:15">
      <c r="A301">
        <v>300</v>
      </c>
      <c r="B301" t="s">
        <v>511</v>
      </c>
      <c r="C301" t="s">
        <v>25</v>
      </c>
      <c r="D301" s="9">
        <v>40733</v>
      </c>
      <c r="E301">
        <v>13</v>
      </c>
      <c r="F301" t="s">
        <v>17</v>
      </c>
      <c r="G301">
        <v>3</v>
      </c>
      <c r="H301" t="s">
        <v>150</v>
      </c>
      <c r="I301" t="b">
        <v>1</v>
      </c>
      <c r="J301" t="s">
        <v>410</v>
      </c>
      <c r="K301" s="10">
        <v>0.620138888888889</v>
      </c>
      <c r="L301" s="10">
        <v>0.670138888888889</v>
      </c>
      <c r="M301">
        <v>72</v>
      </c>
      <c r="N301" t="b">
        <v>0</v>
      </c>
    </row>
    <row r="302" spans="1:15">
      <c r="A302">
        <v>301</v>
      </c>
      <c r="B302" t="s">
        <v>512</v>
      </c>
      <c r="C302" t="s">
        <v>16</v>
      </c>
      <c r="D302" s="9">
        <v>36995</v>
      </c>
      <c r="E302">
        <v>23</v>
      </c>
      <c r="F302" t="s">
        <v>17</v>
      </c>
      <c r="G302">
        <v>3</v>
      </c>
      <c r="H302" t="s">
        <v>513</v>
      </c>
      <c r="I302" t="b">
        <v>1</v>
      </c>
      <c r="J302" t="s">
        <v>514</v>
      </c>
      <c r="K302" s="10">
        <v>0.545833333333333</v>
      </c>
      <c r="L302" s="10">
        <v>0.581944444444444</v>
      </c>
      <c r="M302">
        <v>52</v>
      </c>
      <c r="N302" t="b">
        <v>1</v>
      </c>
      <c r="O302" t="s">
        <v>23</v>
      </c>
    </row>
    <row r="303" spans="1:15">
      <c r="A303">
        <v>302</v>
      </c>
      <c r="B303" t="s">
        <v>515</v>
      </c>
      <c r="C303" t="s">
        <v>25</v>
      </c>
      <c r="D303" s="9">
        <v>28858</v>
      </c>
      <c r="E303">
        <v>45</v>
      </c>
      <c r="F303" t="s">
        <v>21</v>
      </c>
      <c r="G303">
        <v>3</v>
      </c>
      <c r="H303" t="s">
        <v>504</v>
      </c>
      <c r="I303" t="b">
        <v>1</v>
      </c>
      <c r="J303" t="s">
        <v>516</v>
      </c>
      <c r="K303" s="10">
        <v>0.533333333333333</v>
      </c>
      <c r="L303" s="10">
        <v>0.555555555555556</v>
      </c>
      <c r="M303">
        <v>32</v>
      </c>
      <c r="N303" t="b">
        <v>1</v>
      </c>
      <c r="O303" t="s">
        <v>47</v>
      </c>
    </row>
    <row r="304" spans="1:15">
      <c r="A304">
        <v>303</v>
      </c>
      <c r="B304" t="s">
        <v>517</v>
      </c>
      <c r="C304" t="s">
        <v>16</v>
      </c>
      <c r="D304" s="9">
        <v>29974</v>
      </c>
      <c r="E304">
        <v>42</v>
      </c>
      <c r="F304" t="s">
        <v>21</v>
      </c>
      <c r="G304">
        <v>3</v>
      </c>
      <c r="H304" t="s">
        <v>215</v>
      </c>
      <c r="I304" t="b">
        <v>0</v>
      </c>
      <c r="K304" s="10">
        <v>0.563888888888889</v>
      </c>
      <c r="L304" s="10">
        <v>0.610416666666667</v>
      </c>
      <c r="M304">
        <v>67</v>
      </c>
      <c r="N304" t="b">
        <v>1</v>
      </c>
      <c r="O304" t="s">
        <v>50</v>
      </c>
    </row>
    <row r="305" spans="1:15">
      <c r="A305">
        <v>304</v>
      </c>
      <c r="B305" t="s">
        <v>518</v>
      </c>
      <c r="C305" t="s">
        <v>25</v>
      </c>
      <c r="D305" s="9">
        <v>32505</v>
      </c>
      <c r="E305">
        <v>35</v>
      </c>
      <c r="F305" t="s">
        <v>21</v>
      </c>
      <c r="G305">
        <v>1</v>
      </c>
      <c r="H305" t="s">
        <v>46</v>
      </c>
      <c r="I305" t="b">
        <v>0</v>
      </c>
      <c r="K305" s="10">
        <v>0.578472222222222</v>
      </c>
      <c r="L305" s="10">
        <v>0.602777777777778</v>
      </c>
      <c r="M305">
        <v>35</v>
      </c>
      <c r="N305" t="b">
        <v>0</v>
      </c>
    </row>
    <row r="306" spans="1:15">
      <c r="A306">
        <v>305</v>
      </c>
      <c r="B306" t="s">
        <v>519</v>
      </c>
      <c r="C306" t="s">
        <v>25</v>
      </c>
      <c r="D306" s="9">
        <v>36009</v>
      </c>
      <c r="E306">
        <v>26</v>
      </c>
      <c r="F306" t="s">
        <v>21</v>
      </c>
      <c r="G306">
        <v>4</v>
      </c>
      <c r="H306" t="s">
        <v>520</v>
      </c>
      <c r="I306" t="b">
        <v>1</v>
      </c>
      <c r="J306" t="s">
        <v>521</v>
      </c>
      <c r="K306" s="10">
        <v>0.366666666666667</v>
      </c>
      <c r="L306" s="10">
        <v>0.388888888888889</v>
      </c>
      <c r="M306">
        <v>32</v>
      </c>
      <c r="N306" t="b">
        <v>0</v>
      </c>
    </row>
    <row r="307" spans="1:15">
      <c r="A307">
        <v>306</v>
      </c>
      <c r="B307" t="s">
        <v>522</v>
      </c>
      <c r="C307" t="s">
        <v>25</v>
      </c>
      <c r="D307" s="9">
        <v>37922</v>
      </c>
      <c r="E307">
        <v>20</v>
      </c>
      <c r="F307" t="s">
        <v>21</v>
      </c>
      <c r="G307">
        <v>2</v>
      </c>
      <c r="H307" t="s">
        <v>55</v>
      </c>
      <c r="I307" t="b">
        <v>1</v>
      </c>
      <c r="J307" t="s">
        <v>523</v>
      </c>
      <c r="K307" s="10">
        <v>0.490972222222222</v>
      </c>
      <c r="L307" s="10">
        <v>0.575</v>
      </c>
      <c r="M307">
        <v>121</v>
      </c>
      <c r="N307" t="b">
        <v>1</v>
      </c>
      <c r="O307" t="s">
        <v>23</v>
      </c>
    </row>
    <row r="308" spans="1:15">
      <c r="A308">
        <v>307</v>
      </c>
      <c r="B308" t="s">
        <v>524</v>
      </c>
      <c r="C308" t="s">
        <v>16</v>
      </c>
      <c r="D308" s="9">
        <v>33700</v>
      </c>
      <c r="E308">
        <v>32</v>
      </c>
      <c r="F308" t="s">
        <v>21</v>
      </c>
      <c r="G308">
        <v>3</v>
      </c>
      <c r="H308" t="s">
        <v>245</v>
      </c>
      <c r="I308" t="b">
        <v>0</v>
      </c>
      <c r="K308" s="10">
        <v>0.729166666666667</v>
      </c>
      <c r="L308" s="10">
        <v>0.839583333333333</v>
      </c>
      <c r="M308">
        <v>159</v>
      </c>
      <c r="N308" t="b">
        <v>1</v>
      </c>
      <c r="O308" t="s">
        <v>23</v>
      </c>
    </row>
    <row r="309" spans="1:15">
      <c r="A309">
        <v>308</v>
      </c>
      <c r="B309" t="s">
        <v>525</v>
      </c>
      <c r="C309" t="s">
        <v>16</v>
      </c>
      <c r="D309" s="9">
        <v>34152</v>
      </c>
      <c r="E309">
        <v>31</v>
      </c>
      <c r="F309" t="s">
        <v>17</v>
      </c>
      <c r="G309">
        <v>4</v>
      </c>
      <c r="H309" t="s">
        <v>375</v>
      </c>
      <c r="I309" t="b">
        <v>0</v>
      </c>
      <c r="K309" s="10">
        <v>0.495833333333333</v>
      </c>
      <c r="L309" s="10">
        <v>0.577777777777778</v>
      </c>
      <c r="M309">
        <v>118</v>
      </c>
      <c r="N309" t="b">
        <v>0</v>
      </c>
    </row>
    <row r="310" spans="1:15">
      <c r="A310">
        <v>309</v>
      </c>
      <c r="B310" t="s">
        <v>526</v>
      </c>
      <c r="C310" t="s">
        <v>25</v>
      </c>
      <c r="D310" s="9">
        <v>34878</v>
      </c>
      <c r="E310">
        <v>29</v>
      </c>
      <c r="F310" t="s">
        <v>21</v>
      </c>
      <c r="G310">
        <v>3</v>
      </c>
      <c r="H310" t="s">
        <v>136</v>
      </c>
      <c r="I310" t="b">
        <v>0</v>
      </c>
      <c r="K310" s="10">
        <v>0.628472222222222</v>
      </c>
      <c r="L310" s="10">
        <v>0.747916666666667</v>
      </c>
      <c r="M310">
        <v>172</v>
      </c>
      <c r="N310" t="b">
        <v>1</v>
      </c>
      <c r="O310" t="s">
        <v>28</v>
      </c>
    </row>
    <row r="311" spans="1:15">
      <c r="A311">
        <v>310</v>
      </c>
      <c r="B311" t="s">
        <v>527</v>
      </c>
      <c r="C311" t="s">
        <v>25</v>
      </c>
      <c r="D311" s="9">
        <v>32912</v>
      </c>
      <c r="E311">
        <v>34</v>
      </c>
      <c r="F311" t="s">
        <v>21</v>
      </c>
      <c r="G311">
        <v>2</v>
      </c>
      <c r="H311" t="s">
        <v>111</v>
      </c>
      <c r="I311" t="b">
        <v>1</v>
      </c>
      <c r="J311" t="s">
        <v>528</v>
      </c>
      <c r="K311" s="10">
        <v>0.804166666666667</v>
      </c>
      <c r="L311" s="10">
        <v>0.872222222222222</v>
      </c>
      <c r="M311">
        <v>98</v>
      </c>
      <c r="N311" t="b">
        <v>1</v>
      </c>
      <c r="O311" t="s">
        <v>23</v>
      </c>
    </row>
    <row r="312" spans="1:15">
      <c r="A312">
        <v>311</v>
      </c>
      <c r="B312" t="s">
        <v>529</v>
      </c>
      <c r="C312" t="s">
        <v>16</v>
      </c>
      <c r="D312" s="9">
        <v>29422</v>
      </c>
      <c r="E312">
        <v>44</v>
      </c>
      <c r="F312" t="s">
        <v>21</v>
      </c>
      <c r="G312">
        <v>1</v>
      </c>
      <c r="H312" t="s">
        <v>46</v>
      </c>
      <c r="I312" t="b">
        <v>0</v>
      </c>
      <c r="K312" s="10">
        <v>0.736805555555556</v>
      </c>
      <c r="L312" s="10">
        <v>0.832638888888889</v>
      </c>
      <c r="M312">
        <v>138</v>
      </c>
      <c r="N312" t="b">
        <v>1</v>
      </c>
      <c r="O312" t="s">
        <v>23</v>
      </c>
    </row>
    <row r="313" spans="1:15">
      <c r="A313">
        <v>312</v>
      </c>
      <c r="B313" t="s">
        <v>530</v>
      </c>
      <c r="C313" t="s">
        <v>25</v>
      </c>
      <c r="D313" s="9">
        <v>37410</v>
      </c>
      <c r="E313">
        <v>22</v>
      </c>
      <c r="F313" t="s">
        <v>17</v>
      </c>
      <c r="G313">
        <v>5</v>
      </c>
      <c r="H313" t="s">
        <v>347</v>
      </c>
      <c r="I313" t="b">
        <v>1</v>
      </c>
      <c r="J313" t="s">
        <v>114</v>
      </c>
      <c r="K313" s="10">
        <v>0.736805555555556</v>
      </c>
      <c r="L313" s="10">
        <v>0.809027777777778</v>
      </c>
      <c r="M313">
        <v>104</v>
      </c>
      <c r="N313" t="b">
        <v>0</v>
      </c>
    </row>
    <row r="314" spans="1:15">
      <c r="A314">
        <v>313</v>
      </c>
      <c r="B314" t="s">
        <v>531</v>
      </c>
      <c r="C314" t="s">
        <v>25</v>
      </c>
      <c r="D314" s="9">
        <v>27756</v>
      </c>
      <c r="E314">
        <v>48</v>
      </c>
      <c r="F314" t="s">
        <v>21</v>
      </c>
      <c r="G314">
        <v>1</v>
      </c>
      <c r="H314" t="s">
        <v>185</v>
      </c>
      <c r="I314" t="b">
        <v>1</v>
      </c>
      <c r="J314" t="s">
        <v>70</v>
      </c>
      <c r="K314" s="10">
        <v>0.811805555555556</v>
      </c>
      <c r="L314" s="10">
        <v>0.847222222222222</v>
      </c>
      <c r="M314">
        <v>51</v>
      </c>
      <c r="N314" t="b">
        <v>0</v>
      </c>
    </row>
    <row r="315" spans="1:15">
      <c r="A315">
        <v>314</v>
      </c>
      <c r="B315" t="s">
        <v>532</v>
      </c>
      <c r="C315" t="s">
        <v>25</v>
      </c>
      <c r="D315" s="9">
        <v>32208</v>
      </c>
      <c r="E315">
        <v>36</v>
      </c>
      <c r="F315" t="s">
        <v>21</v>
      </c>
      <c r="G315">
        <v>1</v>
      </c>
      <c r="H315" t="s">
        <v>49</v>
      </c>
      <c r="I315" t="b">
        <v>0</v>
      </c>
      <c r="K315" s="10">
        <v>0.805555555555555</v>
      </c>
      <c r="L315" s="10">
        <v>0.858333333333333</v>
      </c>
      <c r="M315">
        <v>76</v>
      </c>
      <c r="N315" t="b">
        <v>0</v>
      </c>
    </row>
    <row r="316" spans="1:15">
      <c r="A316">
        <v>315</v>
      </c>
      <c r="B316" t="s">
        <v>533</v>
      </c>
      <c r="C316" t="s">
        <v>25</v>
      </c>
      <c r="D316" s="9">
        <v>39507</v>
      </c>
      <c r="E316">
        <v>16</v>
      </c>
      <c r="F316" t="s">
        <v>17</v>
      </c>
      <c r="G316">
        <v>1</v>
      </c>
      <c r="H316" t="s">
        <v>59</v>
      </c>
      <c r="I316" t="b">
        <v>1</v>
      </c>
      <c r="J316" t="s">
        <v>107</v>
      </c>
      <c r="K316" s="10">
        <v>0.359722222222222</v>
      </c>
      <c r="L316" s="10">
        <v>0.435416666666667</v>
      </c>
      <c r="M316">
        <v>109</v>
      </c>
      <c r="N316" t="b">
        <v>1</v>
      </c>
      <c r="O316" t="s">
        <v>28</v>
      </c>
    </row>
    <row r="317" spans="1:15">
      <c r="A317">
        <v>316</v>
      </c>
      <c r="B317" t="s">
        <v>534</v>
      </c>
      <c r="C317" t="s">
        <v>25</v>
      </c>
      <c r="D317" s="9">
        <v>40175</v>
      </c>
      <c r="E317">
        <v>14</v>
      </c>
      <c r="F317" t="s">
        <v>21</v>
      </c>
      <c r="G317">
        <v>3</v>
      </c>
      <c r="H317" t="s">
        <v>57</v>
      </c>
      <c r="I317" t="b">
        <v>0</v>
      </c>
      <c r="K317" s="10">
        <v>0.869444444444444</v>
      </c>
      <c r="L317" s="10">
        <v>0.895138888888889</v>
      </c>
      <c r="M317">
        <v>37</v>
      </c>
      <c r="N317" t="b">
        <v>1</v>
      </c>
      <c r="O317" t="s">
        <v>23</v>
      </c>
    </row>
    <row r="318" spans="1:15">
      <c r="A318">
        <v>317</v>
      </c>
      <c r="B318" t="s">
        <v>535</v>
      </c>
      <c r="C318" t="s">
        <v>25</v>
      </c>
      <c r="D318" s="9">
        <v>32413</v>
      </c>
      <c r="E318">
        <v>36</v>
      </c>
      <c r="F318" t="s">
        <v>17</v>
      </c>
      <c r="G318">
        <v>3</v>
      </c>
      <c r="H318" t="s">
        <v>98</v>
      </c>
      <c r="I318" t="b">
        <v>0</v>
      </c>
      <c r="K318" s="10">
        <v>0.4625</v>
      </c>
      <c r="L318" s="10">
        <v>0.548611111111111</v>
      </c>
      <c r="M318">
        <v>124</v>
      </c>
      <c r="N318" t="b">
        <v>1</v>
      </c>
      <c r="O318" t="s">
        <v>23</v>
      </c>
    </row>
    <row r="319" spans="1:15">
      <c r="A319">
        <v>318</v>
      </c>
      <c r="B319" t="s">
        <v>536</v>
      </c>
      <c r="C319" t="s">
        <v>25</v>
      </c>
      <c r="D319" s="9">
        <v>30820</v>
      </c>
      <c r="E319">
        <v>40</v>
      </c>
      <c r="F319" t="s">
        <v>17</v>
      </c>
      <c r="G319">
        <v>2</v>
      </c>
      <c r="H319" t="s">
        <v>101</v>
      </c>
      <c r="I319" t="b">
        <v>0</v>
      </c>
      <c r="K319" s="10">
        <v>0.484027777777778</v>
      </c>
      <c r="L319" s="10">
        <v>0.552777777777778</v>
      </c>
      <c r="M319">
        <v>99</v>
      </c>
      <c r="N319" t="b">
        <v>1</v>
      </c>
      <c r="O319" t="s">
        <v>23</v>
      </c>
    </row>
    <row r="320" spans="1:15">
      <c r="A320">
        <v>319</v>
      </c>
      <c r="B320" t="s">
        <v>537</v>
      </c>
      <c r="C320" t="s">
        <v>25</v>
      </c>
      <c r="D320" s="9">
        <v>33756</v>
      </c>
      <c r="E320">
        <v>32</v>
      </c>
      <c r="F320" t="s">
        <v>17</v>
      </c>
      <c r="G320">
        <v>3</v>
      </c>
      <c r="H320" t="s">
        <v>74</v>
      </c>
      <c r="I320" t="b">
        <v>0</v>
      </c>
      <c r="K320" s="10">
        <v>0.443055555555556</v>
      </c>
      <c r="L320" s="10">
        <v>0.561111111111111</v>
      </c>
      <c r="M320">
        <v>170</v>
      </c>
      <c r="N320" t="b">
        <v>0</v>
      </c>
    </row>
    <row r="321" spans="1:15">
      <c r="A321">
        <v>320</v>
      </c>
      <c r="B321" t="s">
        <v>538</v>
      </c>
      <c r="C321" t="s">
        <v>16</v>
      </c>
      <c r="D321" s="9">
        <v>40931</v>
      </c>
      <c r="E321">
        <v>12</v>
      </c>
      <c r="F321" t="s">
        <v>21</v>
      </c>
      <c r="G321">
        <v>5</v>
      </c>
      <c r="H321" t="s">
        <v>289</v>
      </c>
      <c r="I321" t="b">
        <v>1</v>
      </c>
      <c r="J321" t="s">
        <v>539</v>
      </c>
      <c r="K321" s="10">
        <v>0.4</v>
      </c>
      <c r="L321" s="10">
        <v>0.504166666666667</v>
      </c>
      <c r="M321">
        <v>150</v>
      </c>
      <c r="N321" t="b">
        <v>1</v>
      </c>
      <c r="O321" t="s">
        <v>23</v>
      </c>
    </row>
    <row r="322" spans="1:15">
      <c r="A322">
        <v>321</v>
      </c>
      <c r="B322" t="s">
        <v>540</v>
      </c>
      <c r="C322" t="s">
        <v>25</v>
      </c>
      <c r="D322" s="9">
        <v>35907</v>
      </c>
      <c r="E322">
        <v>26</v>
      </c>
      <c r="F322" t="s">
        <v>17</v>
      </c>
      <c r="G322">
        <v>3</v>
      </c>
      <c r="H322" t="s">
        <v>245</v>
      </c>
      <c r="I322" t="b">
        <v>0</v>
      </c>
      <c r="K322" s="10">
        <v>0.590972222222222</v>
      </c>
      <c r="L322" s="10">
        <v>0.689583333333333</v>
      </c>
      <c r="M322">
        <v>142</v>
      </c>
      <c r="N322" t="b">
        <v>0</v>
      </c>
    </row>
    <row r="323" spans="1:15">
      <c r="A323">
        <v>322</v>
      </c>
      <c r="B323" t="s">
        <v>541</v>
      </c>
      <c r="C323" t="s">
        <v>25</v>
      </c>
      <c r="D323" s="9">
        <v>36833</v>
      </c>
      <c r="E323">
        <v>23</v>
      </c>
      <c r="F323" t="s">
        <v>21</v>
      </c>
      <c r="G323">
        <v>2</v>
      </c>
      <c r="H323" t="s">
        <v>306</v>
      </c>
      <c r="I323" t="b">
        <v>0</v>
      </c>
      <c r="K323" s="10">
        <v>0.845833333333333</v>
      </c>
      <c r="L323" s="10">
        <v>0.893055555555556</v>
      </c>
      <c r="M323">
        <v>68</v>
      </c>
      <c r="N323" t="b">
        <v>1</v>
      </c>
      <c r="O323" t="s">
        <v>23</v>
      </c>
    </row>
    <row r="324" spans="1:15">
      <c r="A324">
        <v>323</v>
      </c>
      <c r="B324" t="s">
        <v>542</v>
      </c>
      <c r="C324" t="s">
        <v>25</v>
      </c>
      <c r="D324" s="9">
        <v>35965</v>
      </c>
      <c r="E324">
        <v>26</v>
      </c>
      <c r="F324" t="s">
        <v>17</v>
      </c>
      <c r="G324">
        <v>5</v>
      </c>
      <c r="H324" t="s">
        <v>277</v>
      </c>
      <c r="I324" t="b">
        <v>1</v>
      </c>
      <c r="J324" t="s">
        <v>543</v>
      </c>
      <c r="K324" s="10">
        <v>0.715972222222222</v>
      </c>
      <c r="L324" s="10">
        <v>0.738888888888889</v>
      </c>
      <c r="M324">
        <v>33</v>
      </c>
      <c r="N324" t="b">
        <v>1</v>
      </c>
      <c r="O324" t="s">
        <v>23</v>
      </c>
    </row>
    <row r="325" spans="1:15">
      <c r="A325">
        <v>324</v>
      </c>
      <c r="B325" t="s">
        <v>544</v>
      </c>
      <c r="C325" t="s">
        <v>16</v>
      </c>
      <c r="D325" s="9">
        <v>34529</v>
      </c>
      <c r="E325">
        <v>30</v>
      </c>
      <c r="F325" t="s">
        <v>21</v>
      </c>
      <c r="G325">
        <v>3</v>
      </c>
      <c r="H325" t="s">
        <v>318</v>
      </c>
      <c r="I325" t="b">
        <v>1</v>
      </c>
      <c r="J325" t="s">
        <v>67</v>
      </c>
      <c r="K325" s="10">
        <v>0.802777777777778</v>
      </c>
      <c r="L325" s="10">
        <v>0.91875</v>
      </c>
      <c r="M325">
        <v>167</v>
      </c>
      <c r="N325" t="b">
        <v>1</v>
      </c>
      <c r="O325" t="s">
        <v>23</v>
      </c>
    </row>
    <row r="326" spans="1:15">
      <c r="A326">
        <v>325</v>
      </c>
      <c r="B326" t="s">
        <v>545</v>
      </c>
      <c r="C326" t="s">
        <v>25</v>
      </c>
      <c r="D326" s="9">
        <v>34749</v>
      </c>
      <c r="E326">
        <v>29</v>
      </c>
      <c r="F326" t="s">
        <v>21</v>
      </c>
      <c r="G326">
        <v>3</v>
      </c>
      <c r="H326" t="s">
        <v>325</v>
      </c>
      <c r="I326" t="b">
        <v>0</v>
      </c>
      <c r="K326" s="10">
        <v>0.440277777777778</v>
      </c>
      <c r="L326" s="10">
        <v>0.500694444444444</v>
      </c>
      <c r="M326">
        <v>87</v>
      </c>
      <c r="N326" t="b">
        <v>0</v>
      </c>
    </row>
    <row r="327" spans="1:15">
      <c r="A327">
        <v>326</v>
      </c>
      <c r="B327" t="s">
        <v>546</v>
      </c>
      <c r="C327" t="s">
        <v>16</v>
      </c>
      <c r="D327" s="9">
        <v>28309</v>
      </c>
      <c r="E327">
        <v>47</v>
      </c>
      <c r="F327" t="s">
        <v>21</v>
      </c>
      <c r="G327">
        <v>3</v>
      </c>
      <c r="H327" t="s">
        <v>241</v>
      </c>
      <c r="I327" t="b">
        <v>0</v>
      </c>
      <c r="K327" s="10">
        <v>0.766666666666667</v>
      </c>
      <c r="L327" s="10">
        <v>0.819444444444445</v>
      </c>
      <c r="M327">
        <v>76</v>
      </c>
      <c r="N327" t="b">
        <v>0</v>
      </c>
    </row>
    <row r="328" spans="1:15">
      <c r="A328">
        <v>327</v>
      </c>
      <c r="B328" t="s">
        <v>547</v>
      </c>
      <c r="C328" t="s">
        <v>16</v>
      </c>
      <c r="D328" s="9">
        <v>40807</v>
      </c>
      <c r="E328">
        <v>13</v>
      </c>
      <c r="F328" t="s">
        <v>21</v>
      </c>
      <c r="G328">
        <v>3</v>
      </c>
      <c r="H328" t="s">
        <v>92</v>
      </c>
      <c r="I328" t="b">
        <v>0</v>
      </c>
      <c r="K328" s="10">
        <v>0.584027777777778</v>
      </c>
      <c r="L328" s="10">
        <v>0.699305555555556</v>
      </c>
      <c r="M328">
        <v>166</v>
      </c>
      <c r="N328" t="b">
        <v>0</v>
      </c>
    </row>
    <row r="329" spans="1:15">
      <c r="A329">
        <v>328</v>
      </c>
      <c r="B329" t="s">
        <v>548</v>
      </c>
      <c r="C329" t="s">
        <v>16</v>
      </c>
      <c r="D329" s="9">
        <v>37529</v>
      </c>
      <c r="E329">
        <v>22</v>
      </c>
      <c r="F329" t="s">
        <v>21</v>
      </c>
      <c r="G329">
        <v>5</v>
      </c>
      <c r="H329" t="s">
        <v>456</v>
      </c>
      <c r="I329" t="b">
        <v>0</v>
      </c>
      <c r="K329" s="10">
        <v>0.577777777777778</v>
      </c>
      <c r="L329" s="10">
        <v>0.649305555555556</v>
      </c>
      <c r="M329">
        <v>103</v>
      </c>
      <c r="N329" t="b">
        <v>0</v>
      </c>
    </row>
    <row r="330" spans="1:15">
      <c r="A330">
        <v>329</v>
      </c>
      <c r="B330" t="s">
        <v>549</v>
      </c>
      <c r="C330" t="s">
        <v>25</v>
      </c>
      <c r="D330" s="9">
        <v>33419</v>
      </c>
      <c r="E330">
        <v>33</v>
      </c>
      <c r="F330" t="s">
        <v>17</v>
      </c>
      <c r="G330">
        <v>4</v>
      </c>
      <c r="H330" t="s">
        <v>61</v>
      </c>
      <c r="I330" t="b">
        <v>1</v>
      </c>
      <c r="J330" t="s">
        <v>33</v>
      </c>
      <c r="K330" s="10">
        <v>0.385416666666667</v>
      </c>
      <c r="L330" s="10">
        <v>0.427777777777778</v>
      </c>
      <c r="M330">
        <v>61</v>
      </c>
      <c r="N330" t="b">
        <v>0</v>
      </c>
    </row>
    <row r="331" spans="1:15">
      <c r="A331">
        <v>330</v>
      </c>
      <c r="B331" t="s">
        <v>550</v>
      </c>
      <c r="C331" t="s">
        <v>16</v>
      </c>
      <c r="D331" s="9">
        <v>35655</v>
      </c>
      <c r="E331">
        <v>27</v>
      </c>
      <c r="F331" t="s">
        <v>21</v>
      </c>
      <c r="G331">
        <v>2</v>
      </c>
      <c r="H331" t="s">
        <v>111</v>
      </c>
      <c r="I331" t="b">
        <v>0</v>
      </c>
      <c r="K331" s="10">
        <v>0.488194444444444</v>
      </c>
      <c r="L331" s="10">
        <v>0.536805555555556</v>
      </c>
      <c r="M331">
        <v>70</v>
      </c>
      <c r="N331" t="b">
        <v>0</v>
      </c>
    </row>
    <row r="332" spans="1:15">
      <c r="A332">
        <v>331</v>
      </c>
      <c r="B332" t="s">
        <v>551</v>
      </c>
      <c r="C332" t="s">
        <v>16</v>
      </c>
      <c r="D332" s="9">
        <v>32726</v>
      </c>
      <c r="E332">
        <v>35</v>
      </c>
      <c r="F332" t="s">
        <v>17</v>
      </c>
      <c r="G332">
        <v>2</v>
      </c>
      <c r="H332" t="s">
        <v>121</v>
      </c>
      <c r="I332" t="b">
        <v>1</v>
      </c>
      <c r="J332" t="s">
        <v>552</v>
      </c>
      <c r="K332" s="10">
        <v>0.691666666666667</v>
      </c>
      <c r="L332" s="10">
        <v>0.7125</v>
      </c>
      <c r="M332">
        <v>30</v>
      </c>
      <c r="N332" t="b">
        <v>0</v>
      </c>
    </row>
    <row r="333" spans="1:15">
      <c r="A333">
        <v>332</v>
      </c>
      <c r="B333" t="s">
        <v>553</v>
      </c>
      <c r="C333" t="s">
        <v>16</v>
      </c>
      <c r="D333" s="9">
        <v>37674</v>
      </c>
      <c r="E333">
        <v>21</v>
      </c>
      <c r="F333" t="s">
        <v>17</v>
      </c>
      <c r="G333">
        <v>3</v>
      </c>
      <c r="H333" t="s">
        <v>79</v>
      </c>
      <c r="I333" t="b">
        <v>1</v>
      </c>
      <c r="J333" t="s">
        <v>107</v>
      </c>
      <c r="K333" s="10">
        <v>0.848611111111111</v>
      </c>
      <c r="L333" s="10">
        <v>0.881944444444445</v>
      </c>
      <c r="M333">
        <v>48</v>
      </c>
      <c r="N333" t="b">
        <v>0</v>
      </c>
    </row>
    <row r="334" spans="1:15">
      <c r="A334">
        <v>333</v>
      </c>
      <c r="B334" t="s">
        <v>554</v>
      </c>
      <c r="C334" t="s">
        <v>25</v>
      </c>
      <c r="D334" s="9">
        <v>30846</v>
      </c>
      <c r="E334">
        <v>40</v>
      </c>
      <c r="F334" t="s">
        <v>17</v>
      </c>
      <c r="G334">
        <v>3</v>
      </c>
      <c r="H334" t="s">
        <v>159</v>
      </c>
      <c r="I334" t="b">
        <v>0</v>
      </c>
      <c r="K334" s="10">
        <v>0.470833333333333</v>
      </c>
      <c r="L334" s="10">
        <v>0.509027777777778</v>
      </c>
      <c r="M334">
        <v>55</v>
      </c>
      <c r="N334" t="b">
        <v>1</v>
      </c>
      <c r="O334" t="s">
        <v>50</v>
      </c>
    </row>
    <row r="335" spans="1:15">
      <c r="A335">
        <v>334</v>
      </c>
      <c r="B335" t="s">
        <v>555</v>
      </c>
      <c r="C335" t="s">
        <v>25</v>
      </c>
      <c r="D335" s="9">
        <v>39996</v>
      </c>
      <c r="E335">
        <v>15</v>
      </c>
      <c r="F335" t="s">
        <v>21</v>
      </c>
      <c r="G335">
        <v>3</v>
      </c>
      <c r="H335" t="s">
        <v>116</v>
      </c>
      <c r="I335" t="b">
        <v>0</v>
      </c>
      <c r="K335" s="10">
        <v>0.728472222222222</v>
      </c>
      <c r="L335" s="10">
        <v>0.768055555555556</v>
      </c>
      <c r="M335">
        <v>57</v>
      </c>
      <c r="N335" t="b">
        <v>0</v>
      </c>
    </row>
    <row r="336" spans="1:15">
      <c r="A336">
        <v>335</v>
      </c>
      <c r="B336" t="s">
        <v>556</v>
      </c>
      <c r="C336" t="s">
        <v>16</v>
      </c>
      <c r="D336" s="9">
        <v>36851</v>
      </c>
      <c r="E336">
        <v>23</v>
      </c>
      <c r="F336" t="s">
        <v>17</v>
      </c>
      <c r="G336">
        <v>3</v>
      </c>
      <c r="H336" t="s">
        <v>159</v>
      </c>
      <c r="I336" t="b">
        <v>0</v>
      </c>
      <c r="K336" s="10">
        <v>0.570833333333333</v>
      </c>
      <c r="L336" s="10">
        <v>0.632638888888889</v>
      </c>
      <c r="M336">
        <v>89</v>
      </c>
      <c r="N336" t="b">
        <v>0</v>
      </c>
    </row>
    <row r="337" spans="1:15">
      <c r="A337">
        <v>336</v>
      </c>
      <c r="B337" t="s">
        <v>557</v>
      </c>
      <c r="C337" t="s">
        <v>16</v>
      </c>
      <c r="D337" s="9">
        <v>27455</v>
      </c>
      <c r="E337">
        <v>49</v>
      </c>
      <c r="F337" t="s">
        <v>21</v>
      </c>
      <c r="G337">
        <v>1</v>
      </c>
      <c r="H337" t="s">
        <v>81</v>
      </c>
      <c r="I337" t="b">
        <v>1</v>
      </c>
      <c r="J337" t="s">
        <v>558</v>
      </c>
      <c r="K337" s="10">
        <v>0.444444444444444</v>
      </c>
      <c r="L337" s="10">
        <v>0.500694444444444</v>
      </c>
      <c r="M337">
        <v>81</v>
      </c>
      <c r="N337" t="b">
        <v>1</v>
      </c>
      <c r="O337" t="s">
        <v>23</v>
      </c>
    </row>
    <row r="338" spans="1:15">
      <c r="A338">
        <v>337</v>
      </c>
      <c r="B338" t="s">
        <v>559</v>
      </c>
      <c r="C338" t="s">
        <v>25</v>
      </c>
      <c r="D338" s="9">
        <v>30054</v>
      </c>
      <c r="E338">
        <v>42</v>
      </c>
      <c r="F338" t="s">
        <v>17</v>
      </c>
      <c r="G338">
        <v>2</v>
      </c>
      <c r="H338" t="s">
        <v>306</v>
      </c>
      <c r="I338" t="b">
        <v>0</v>
      </c>
      <c r="K338" s="10">
        <v>0.765277777777778</v>
      </c>
      <c r="L338" s="10">
        <v>0.876388888888889</v>
      </c>
      <c r="M338">
        <v>160</v>
      </c>
      <c r="N338" t="b">
        <v>1</v>
      </c>
      <c r="O338" t="s">
        <v>23</v>
      </c>
    </row>
    <row r="339" spans="1:15">
      <c r="A339">
        <v>338</v>
      </c>
      <c r="B339" t="s">
        <v>560</v>
      </c>
      <c r="C339" t="s">
        <v>25</v>
      </c>
      <c r="D339" s="9">
        <v>35707</v>
      </c>
      <c r="E339">
        <v>26</v>
      </c>
      <c r="F339" t="s">
        <v>17</v>
      </c>
      <c r="G339">
        <v>3</v>
      </c>
      <c r="H339" t="s">
        <v>57</v>
      </c>
      <c r="I339" t="b">
        <v>1</v>
      </c>
      <c r="J339" t="s">
        <v>174</v>
      </c>
      <c r="K339" s="10">
        <v>0.420833333333333</v>
      </c>
      <c r="L339" s="10">
        <v>0.495833333333333</v>
      </c>
      <c r="M339">
        <v>108</v>
      </c>
      <c r="N339" t="b">
        <v>0</v>
      </c>
    </row>
    <row r="340" spans="1:15">
      <c r="A340">
        <v>339</v>
      </c>
      <c r="B340" t="s">
        <v>561</v>
      </c>
      <c r="C340" t="s">
        <v>16</v>
      </c>
      <c r="D340" s="9">
        <v>30563</v>
      </c>
      <c r="E340">
        <v>41</v>
      </c>
      <c r="F340" t="s">
        <v>21</v>
      </c>
      <c r="G340">
        <v>3</v>
      </c>
      <c r="H340" t="s">
        <v>159</v>
      </c>
      <c r="I340" t="b">
        <v>1</v>
      </c>
      <c r="J340" t="s">
        <v>107</v>
      </c>
      <c r="K340" s="10">
        <v>0.652777777777778</v>
      </c>
      <c r="L340" s="10">
        <v>0.730555555555556</v>
      </c>
      <c r="M340">
        <v>112</v>
      </c>
      <c r="N340" t="b">
        <v>1</v>
      </c>
      <c r="O340" t="s">
        <v>23</v>
      </c>
    </row>
    <row r="341" spans="1:15">
      <c r="A341">
        <v>340</v>
      </c>
      <c r="B341" t="s">
        <v>562</v>
      </c>
      <c r="C341" t="s">
        <v>25</v>
      </c>
      <c r="D341" s="9">
        <v>37337</v>
      </c>
      <c r="E341">
        <v>22</v>
      </c>
      <c r="F341" t="s">
        <v>17</v>
      </c>
      <c r="G341">
        <v>3</v>
      </c>
      <c r="H341" t="s">
        <v>52</v>
      </c>
      <c r="I341" t="b">
        <v>1</v>
      </c>
      <c r="J341" t="s">
        <v>563</v>
      </c>
      <c r="K341" s="10">
        <v>0.785416666666667</v>
      </c>
      <c r="L341" s="10">
        <v>0.869444444444444</v>
      </c>
      <c r="M341">
        <v>121</v>
      </c>
      <c r="N341" t="b">
        <v>1</v>
      </c>
      <c r="O341" t="s">
        <v>47</v>
      </c>
    </row>
    <row r="342" spans="1:15">
      <c r="A342">
        <v>341</v>
      </c>
      <c r="B342" t="s">
        <v>564</v>
      </c>
      <c r="C342" t="s">
        <v>16</v>
      </c>
      <c r="D342" s="9">
        <v>32279</v>
      </c>
      <c r="E342">
        <v>36</v>
      </c>
      <c r="F342" t="s">
        <v>21</v>
      </c>
      <c r="G342">
        <v>4</v>
      </c>
      <c r="H342" t="s">
        <v>219</v>
      </c>
      <c r="I342" t="b">
        <v>0</v>
      </c>
      <c r="K342" s="10">
        <v>0.584722222222222</v>
      </c>
      <c r="L342" s="10">
        <v>0.674305555555556</v>
      </c>
      <c r="M342">
        <v>129</v>
      </c>
      <c r="N342" t="b">
        <v>0</v>
      </c>
    </row>
    <row r="343" spans="1:15">
      <c r="A343">
        <v>342</v>
      </c>
      <c r="B343" t="s">
        <v>565</v>
      </c>
      <c r="C343" t="s">
        <v>25</v>
      </c>
      <c r="D343" s="9">
        <v>36018</v>
      </c>
      <c r="E343">
        <v>26</v>
      </c>
      <c r="F343" t="s">
        <v>21</v>
      </c>
      <c r="G343">
        <v>5</v>
      </c>
      <c r="H343" t="s">
        <v>412</v>
      </c>
      <c r="I343" t="b">
        <v>1</v>
      </c>
      <c r="J343" t="s">
        <v>566</v>
      </c>
      <c r="K343" s="10">
        <v>0.747916666666667</v>
      </c>
      <c r="L343" s="10">
        <v>0.850694444444445</v>
      </c>
      <c r="M343">
        <v>148</v>
      </c>
      <c r="N343" t="b">
        <v>1</v>
      </c>
      <c r="O343" t="s">
        <v>47</v>
      </c>
    </row>
    <row r="344" spans="1:15">
      <c r="A344">
        <v>343</v>
      </c>
      <c r="B344" t="s">
        <v>451</v>
      </c>
      <c r="C344" t="s">
        <v>16</v>
      </c>
      <c r="D344" s="9">
        <v>38632</v>
      </c>
      <c r="E344">
        <v>18</v>
      </c>
      <c r="F344" t="s">
        <v>17</v>
      </c>
      <c r="G344">
        <v>5</v>
      </c>
      <c r="H344" t="s">
        <v>567</v>
      </c>
      <c r="I344" t="b">
        <v>1</v>
      </c>
      <c r="J344" t="s">
        <v>568</v>
      </c>
      <c r="K344" s="10">
        <v>0.411805555555556</v>
      </c>
      <c r="L344" s="10">
        <v>0.468055555555556</v>
      </c>
      <c r="M344">
        <v>81</v>
      </c>
      <c r="N344" t="b">
        <v>1</v>
      </c>
      <c r="O344" t="s">
        <v>28</v>
      </c>
    </row>
    <row r="345" spans="1:15">
      <c r="A345">
        <v>344</v>
      </c>
      <c r="B345" t="s">
        <v>569</v>
      </c>
      <c r="C345" t="s">
        <v>16</v>
      </c>
      <c r="D345" s="9">
        <v>31695</v>
      </c>
      <c r="E345">
        <v>37</v>
      </c>
      <c r="F345" t="s">
        <v>21</v>
      </c>
      <c r="G345">
        <v>4</v>
      </c>
      <c r="H345" t="s">
        <v>61</v>
      </c>
      <c r="I345" t="b">
        <v>1</v>
      </c>
      <c r="J345" t="s">
        <v>230</v>
      </c>
      <c r="K345" s="10">
        <v>0.534722222222222</v>
      </c>
      <c r="L345" s="10">
        <v>0.65</v>
      </c>
      <c r="M345">
        <v>166</v>
      </c>
      <c r="N345" t="b">
        <v>0</v>
      </c>
    </row>
    <row r="346" spans="1:15">
      <c r="A346">
        <v>345</v>
      </c>
      <c r="B346" t="s">
        <v>570</v>
      </c>
      <c r="C346" t="s">
        <v>25</v>
      </c>
      <c r="D346" s="9">
        <v>31277</v>
      </c>
      <c r="E346">
        <v>39</v>
      </c>
      <c r="F346" t="s">
        <v>21</v>
      </c>
      <c r="G346">
        <v>2</v>
      </c>
      <c r="H346" t="s">
        <v>195</v>
      </c>
      <c r="I346" t="b">
        <v>0</v>
      </c>
      <c r="K346" s="10">
        <v>0.604166666666667</v>
      </c>
      <c r="L346" s="10">
        <v>0.728472222222222</v>
      </c>
      <c r="M346">
        <v>179</v>
      </c>
      <c r="N346" t="b">
        <v>1</v>
      </c>
      <c r="O346" t="s">
        <v>28</v>
      </c>
    </row>
    <row r="347" spans="1:15">
      <c r="A347">
        <v>346</v>
      </c>
      <c r="B347" t="s">
        <v>571</v>
      </c>
      <c r="C347" t="s">
        <v>16</v>
      </c>
      <c r="D347" s="9">
        <v>29785</v>
      </c>
      <c r="E347">
        <v>43</v>
      </c>
      <c r="F347" t="s">
        <v>17</v>
      </c>
      <c r="G347">
        <v>3</v>
      </c>
      <c r="H347" t="s">
        <v>247</v>
      </c>
      <c r="I347" t="b">
        <v>1</v>
      </c>
      <c r="J347" t="s">
        <v>19</v>
      </c>
      <c r="K347" s="10">
        <v>0.511805555555556</v>
      </c>
      <c r="L347" s="10">
        <v>0.607638888888889</v>
      </c>
      <c r="M347">
        <v>138</v>
      </c>
      <c r="N347" t="b">
        <v>0</v>
      </c>
    </row>
    <row r="348" spans="1:15">
      <c r="A348">
        <v>347</v>
      </c>
      <c r="B348" t="s">
        <v>572</v>
      </c>
      <c r="C348" t="s">
        <v>16</v>
      </c>
      <c r="D348" s="9">
        <v>31328</v>
      </c>
      <c r="E348">
        <v>38</v>
      </c>
      <c r="F348" t="s">
        <v>21</v>
      </c>
      <c r="G348">
        <v>3</v>
      </c>
      <c r="H348" t="s">
        <v>241</v>
      </c>
      <c r="I348" t="b">
        <v>0</v>
      </c>
      <c r="K348" s="10">
        <v>0.702083333333333</v>
      </c>
      <c r="L348" s="10">
        <v>0.753472222222222</v>
      </c>
      <c r="M348">
        <v>74</v>
      </c>
      <c r="N348" t="b">
        <v>0</v>
      </c>
    </row>
    <row r="349" spans="1:15">
      <c r="A349">
        <v>348</v>
      </c>
      <c r="B349" t="s">
        <v>573</v>
      </c>
      <c r="C349" t="s">
        <v>25</v>
      </c>
      <c r="D349" s="9">
        <v>37804</v>
      </c>
      <c r="E349">
        <v>21</v>
      </c>
      <c r="F349" t="s">
        <v>21</v>
      </c>
      <c r="G349">
        <v>3</v>
      </c>
      <c r="H349" t="s">
        <v>251</v>
      </c>
      <c r="I349" t="b">
        <v>0</v>
      </c>
      <c r="K349" s="10">
        <v>0.540972222222222</v>
      </c>
      <c r="L349" s="10">
        <v>0.584027777777778</v>
      </c>
      <c r="M349">
        <v>62</v>
      </c>
      <c r="N349" t="b">
        <v>0</v>
      </c>
    </row>
    <row r="350" spans="1:15">
      <c r="A350">
        <v>349</v>
      </c>
      <c r="B350" t="s">
        <v>574</v>
      </c>
      <c r="C350" t="s">
        <v>16</v>
      </c>
      <c r="D350" s="9">
        <v>31216</v>
      </c>
      <c r="E350">
        <v>39</v>
      </c>
      <c r="F350" t="s">
        <v>21</v>
      </c>
      <c r="G350">
        <v>2</v>
      </c>
      <c r="H350" t="s">
        <v>138</v>
      </c>
      <c r="I350" t="b">
        <v>0</v>
      </c>
      <c r="K350" s="10">
        <v>0.536805555555556</v>
      </c>
      <c r="L350" s="10">
        <v>0.633333333333333</v>
      </c>
      <c r="M350">
        <v>139</v>
      </c>
      <c r="N350" t="b">
        <v>1</v>
      </c>
      <c r="O350" t="s">
        <v>47</v>
      </c>
    </row>
    <row r="351" spans="1:15">
      <c r="A351">
        <v>350</v>
      </c>
      <c r="B351" t="s">
        <v>575</v>
      </c>
      <c r="C351" t="s">
        <v>16</v>
      </c>
      <c r="D351" s="9">
        <v>32468</v>
      </c>
      <c r="E351">
        <v>35</v>
      </c>
      <c r="F351" t="s">
        <v>21</v>
      </c>
      <c r="G351">
        <v>2</v>
      </c>
      <c r="H351" t="s">
        <v>272</v>
      </c>
      <c r="I351" t="b">
        <v>1</v>
      </c>
      <c r="J351" t="s">
        <v>248</v>
      </c>
      <c r="K351" s="10">
        <v>0.680555555555555</v>
      </c>
      <c r="L351" s="10">
        <v>0.7375</v>
      </c>
      <c r="M351">
        <v>82</v>
      </c>
      <c r="N351" t="b">
        <v>1</v>
      </c>
      <c r="O351" t="s">
        <v>47</v>
      </c>
    </row>
    <row r="352" spans="1:15">
      <c r="A352">
        <v>351</v>
      </c>
      <c r="B352" t="s">
        <v>576</v>
      </c>
      <c r="C352" t="s">
        <v>25</v>
      </c>
      <c r="D352" s="9">
        <v>32446</v>
      </c>
      <c r="E352">
        <v>35</v>
      </c>
      <c r="F352" t="s">
        <v>21</v>
      </c>
      <c r="G352">
        <v>1</v>
      </c>
      <c r="H352" t="s">
        <v>46</v>
      </c>
      <c r="I352" t="b">
        <v>1</v>
      </c>
      <c r="J352" t="s">
        <v>577</v>
      </c>
      <c r="K352" s="10">
        <v>0.810416666666667</v>
      </c>
      <c r="L352" s="10">
        <v>0.856944444444444</v>
      </c>
      <c r="M352">
        <v>67</v>
      </c>
      <c r="N352" t="b">
        <v>0</v>
      </c>
    </row>
    <row r="353" spans="1:15">
      <c r="A353">
        <v>352</v>
      </c>
      <c r="B353" t="s">
        <v>578</v>
      </c>
      <c r="C353" t="s">
        <v>16</v>
      </c>
      <c r="D353" s="9">
        <v>34030</v>
      </c>
      <c r="E353">
        <v>31</v>
      </c>
      <c r="F353" t="s">
        <v>21</v>
      </c>
      <c r="G353">
        <v>1</v>
      </c>
      <c r="H353" t="s">
        <v>26</v>
      </c>
      <c r="I353" t="b">
        <v>1</v>
      </c>
      <c r="J353" t="s">
        <v>62</v>
      </c>
      <c r="K353" s="10">
        <v>0.404166666666667</v>
      </c>
      <c r="L353" s="10">
        <v>0.475694444444444</v>
      </c>
      <c r="M353">
        <v>103</v>
      </c>
      <c r="N353" t="b">
        <v>0</v>
      </c>
    </row>
    <row r="354" spans="1:15">
      <c r="A354">
        <v>353</v>
      </c>
      <c r="B354" t="s">
        <v>579</v>
      </c>
      <c r="C354" t="s">
        <v>16</v>
      </c>
      <c r="D354" s="9">
        <v>39964</v>
      </c>
      <c r="E354">
        <v>15</v>
      </c>
      <c r="F354" t="s">
        <v>17</v>
      </c>
      <c r="G354">
        <v>2</v>
      </c>
      <c r="H354" t="s">
        <v>111</v>
      </c>
      <c r="I354" t="b">
        <v>0</v>
      </c>
      <c r="K354" s="10">
        <v>0.567361111111111</v>
      </c>
      <c r="L354" s="10">
        <v>0.634722222222222</v>
      </c>
      <c r="M354">
        <v>97</v>
      </c>
      <c r="N354" t="b">
        <v>1</v>
      </c>
      <c r="O354" t="s">
        <v>28</v>
      </c>
    </row>
    <row r="355" spans="1:15">
      <c r="A355">
        <v>354</v>
      </c>
      <c r="B355" t="s">
        <v>580</v>
      </c>
      <c r="C355" t="s">
        <v>16</v>
      </c>
      <c r="D355" s="9">
        <v>29377</v>
      </c>
      <c r="E355">
        <v>44</v>
      </c>
      <c r="F355" t="s">
        <v>17</v>
      </c>
      <c r="G355">
        <v>2</v>
      </c>
      <c r="H355" t="s">
        <v>133</v>
      </c>
      <c r="I355" t="b">
        <v>1</v>
      </c>
      <c r="J355" t="s">
        <v>581</v>
      </c>
      <c r="K355" s="10">
        <v>0.717361111111111</v>
      </c>
      <c r="L355" s="10">
        <v>0.740277777777778</v>
      </c>
      <c r="M355">
        <v>33</v>
      </c>
      <c r="N355" t="b">
        <v>0</v>
      </c>
    </row>
    <row r="356" spans="1:15">
      <c r="A356">
        <v>355</v>
      </c>
      <c r="B356" t="s">
        <v>582</v>
      </c>
      <c r="C356" t="s">
        <v>25</v>
      </c>
      <c r="D356" s="9">
        <v>31821</v>
      </c>
      <c r="E356">
        <v>37</v>
      </c>
      <c r="F356" t="s">
        <v>21</v>
      </c>
      <c r="G356">
        <v>1</v>
      </c>
      <c r="H356" t="s">
        <v>59</v>
      </c>
      <c r="I356" t="b">
        <v>1</v>
      </c>
      <c r="J356" t="s">
        <v>583</v>
      </c>
      <c r="K356" s="10">
        <v>0.697916666666667</v>
      </c>
      <c r="L356" s="10">
        <v>0.722222222222222</v>
      </c>
      <c r="M356">
        <v>35</v>
      </c>
      <c r="N356" t="b">
        <v>0</v>
      </c>
    </row>
    <row r="357" spans="1:15">
      <c r="A357">
        <v>356</v>
      </c>
      <c r="B357" t="s">
        <v>584</v>
      </c>
      <c r="C357" t="s">
        <v>25</v>
      </c>
      <c r="D357" s="9">
        <v>33737</v>
      </c>
      <c r="E357">
        <v>32</v>
      </c>
      <c r="F357" t="s">
        <v>21</v>
      </c>
      <c r="G357">
        <v>1</v>
      </c>
      <c r="H357" t="s">
        <v>35</v>
      </c>
      <c r="I357" t="b">
        <v>1</v>
      </c>
      <c r="J357" t="s">
        <v>585</v>
      </c>
      <c r="K357" s="10">
        <v>0.780555555555556</v>
      </c>
      <c r="L357" s="10">
        <v>0.863888888888889</v>
      </c>
      <c r="M357">
        <v>120</v>
      </c>
      <c r="N357" t="b">
        <v>0</v>
      </c>
    </row>
    <row r="358" spans="1:15">
      <c r="A358">
        <v>357</v>
      </c>
      <c r="B358" t="s">
        <v>586</v>
      </c>
      <c r="C358" t="s">
        <v>16</v>
      </c>
      <c r="D358" s="9">
        <v>39341</v>
      </c>
      <c r="E358">
        <v>17</v>
      </c>
      <c r="F358" t="s">
        <v>21</v>
      </c>
      <c r="G358">
        <v>2</v>
      </c>
      <c r="H358" t="s">
        <v>461</v>
      </c>
      <c r="I358" t="b">
        <v>1</v>
      </c>
      <c r="J358" t="s">
        <v>380</v>
      </c>
      <c r="K358" s="10">
        <v>0.871527777777778</v>
      </c>
      <c r="L358" s="10">
        <v>0.892361111111111</v>
      </c>
      <c r="M358">
        <v>30</v>
      </c>
      <c r="N358" t="b">
        <v>0</v>
      </c>
    </row>
    <row r="359" spans="1:15">
      <c r="A359">
        <v>358</v>
      </c>
      <c r="B359" t="s">
        <v>587</v>
      </c>
      <c r="C359" t="s">
        <v>16</v>
      </c>
      <c r="D359" s="9">
        <v>31985</v>
      </c>
      <c r="E359">
        <v>37</v>
      </c>
      <c r="F359" t="s">
        <v>21</v>
      </c>
      <c r="G359">
        <v>1</v>
      </c>
      <c r="H359" t="s">
        <v>185</v>
      </c>
      <c r="I359" t="b">
        <v>1</v>
      </c>
      <c r="J359" t="s">
        <v>588</v>
      </c>
      <c r="K359" s="10">
        <v>0.754166666666667</v>
      </c>
      <c r="L359" s="10">
        <v>0.878472222222222</v>
      </c>
      <c r="M359">
        <v>179</v>
      </c>
      <c r="N359" t="b">
        <v>0</v>
      </c>
    </row>
    <row r="360" spans="1:15">
      <c r="A360">
        <v>359</v>
      </c>
      <c r="B360" t="s">
        <v>589</v>
      </c>
      <c r="C360" t="s">
        <v>16</v>
      </c>
      <c r="D360" s="9">
        <v>36196</v>
      </c>
      <c r="E360">
        <v>25</v>
      </c>
      <c r="F360" t="s">
        <v>21</v>
      </c>
      <c r="G360">
        <v>3</v>
      </c>
      <c r="H360" t="s">
        <v>37</v>
      </c>
      <c r="I360" t="b">
        <v>0</v>
      </c>
      <c r="K360" s="10">
        <v>0.639583333333333</v>
      </c>
      <c r="L360" s="10">
        <v>0.6875</v>
      </c>
      <c r="M360">
        <v>69</v>
      </c>
      <c r="N360" t="b">
        <v>1</v>
      </c>
      <c r="O360" t="s">
        <v>50</v>
      </c>
    </row>
    <row r="361" spans="1:15">
      <c r="A361">
        <v>360</v>
      </c>
      <c r="B361" t="s">
        <v>590</v>
      </c>
      <c r="C361" t="s">
        <v>16</v>
      </c>
      <c r="D361" s="9">
        <v>33726</v>
      </c>
      <c r="E361">
        <v>32</v>
      </c>
      <c r="F361" t="s">
        <v>21</v>
      </c>
      <c r="G361">
        <v>2</v>
      </c>
      <c r="H361" t="s">
        <v>259</v>
      </c>
      <c r="I361" t="b">
        <v>1</v>
      </c>
      <c r="J361" t="s">
        <v>114</v>
      </c>
      <c r="K361" s="10">
        <v>0.711111111111111</v>
      </c>
      <c r="L361" s="10">
        <v>0.759027777777778</v>
      </c>
      <c r="M361">
        <v>69</v>
      </c>
      <c r="N361" t="b">
        <v>1</v>
      </c>
      <c r="O361" t="s">
        <v>47</v>
      </c>
    </row>
    <row r="362" spans="1:15">
      <c r="A362">
        <v>361</v>
      </c>
      <c r="B362" t="s">
        <v>591</v>
      </c>
      <c r="C362" t="s">
        <v>16</v>
      </c>
      <c r="D362" s="9">
        <v>29355</v>
      </c>
      <c r="E362">
        <v>44</v>
      </c>
      <c r="F362" t="s">
        <v>21</v>
      </c>
      <c r="G362">
        <v>5</v>
      </c>
      <c r="H362" t="s">
        <v>283</v>
      </c>
      <c r="I362" t="b">
        <v>1</v>
      </c>
      <c r="J362" t="s">
        <v>217</v>
      </c>
      <c r="K362" s="10">
        <v>0.836111111111111</v>
      </c>
      <c r="L362" s="10">
        <v>0.914583333333333</v>
      </c>
      <c r="M362">
        <v>113</v>
      </c>
      <c r="N362" t="b">
        <v>1</v>
      </c>
      <c r="O362" t="s">
        <v>28</v>
      </c>
    </row>
    <row r="363" spans="1:15">
      <c r="A363">
        <v>362</v>
      </c>
      <c r="B363" t="s">
        <v>592</v>
      </c>
      <c r="C363" t="s">
        <v>16</v>
      </c>
      <c r="D363" s="9">
        <v>31956</v>
      </c>
      <c r="E363">
        <v>37</v>
      </c>
      <c r="F363" t="s">
        <v>17</v>
      </c>
      <c r="G363">
        <v>4</v>
      </c>
      <c r="H363" t="s">
        <v>593</v>
      </c>
      <c r="I363" t="b">
        <v>1</v>
      </c>
      <c r="J363" t="s">
        <v>594</v>
      </c>
      <c r="K363" s="10">
        <v>0.49375</v>
      </c>
      <c r="L363" s="10">
        <v>0.547916666666667</v>
      </c>
      <c r="M363">
        <v>78</v>
      </c>
      <c r="N363" t="b">
        <v>0</v>
      </c>
    </row>
    <row r="364" spans="1:15">
      <c r="A364">
        <v>363</v>
      </c>
      <c r="B364" t="s">
        <v>595</v>
      </c>
      <c r="C364" t="s">
        <v>25</v>
      </c>
      <c r="D364" s="9">
        <v>39138</v>
      </c>
      <c r="E364">
        <v>17</v>
      </c>
      <c r="F364" t="s">
        <v>21</v>
      </c>
      <c r="G364">
        <v>1</v>
      </c>
      <c r="H364" t="s">
        <v>59</v>
      </c>
      <c r="I364" t="b">
        <v>1</v>
      </c>
      <c r="J364" t="s">
        <v>217</v>
      </c>
      <c r="K364" s="10">
        <v>0.511805555555556</v>
      </c>
      <c r="L364" s="10">
        <v>0.580555555555556</v>
      </c>
      <c r="M364">
        <v>99</v>
      </c>
      <c r="N364" t="b">
        <v>1</v>
      </c>
      <c r="O364" t="s">
        <v>23</v>
      </c>
    </row>
    <row r="365" spans="1:15">
      <c r="A365">
        <v>364</v>
      </c>
      <c r="B365" t="s">
        <v>596</v>
      </c>
      <c r="C365" t="s">
        <v>16</v>
      </c>
      <c r="D365" s="9">
        <v>33051</v>
      </c>
      <c r="E365">
        <v>34</v>
      </c>
      <c r="F365" t="s">
        <v>21</v>
      </c>
      <c r="G365">
        <v>3</v>
      </c>
      <c r="H365" t="s">
        <v>130</v>
      </c>
      <c r="I365" t="b">
        <v>1</v>
      </c>
      <c r="J365" t="s">
        <v>93</v>
      </c>
      <c r="K365" s="10">
        <v>0.449305555555556</v>
      </c>
      <c r="L365" s="10">
        <v>0.472916666666667</v>
      </c>
      <c r="M365">
        <v>34</v>
      </c>
      <c r="N365" t="b">
        <v>1</v>
      </c>
      <c r="O365" t="s">
        <v>23</v>
      </c>
    </row>
    <row r="366" spans="1:15">
      <c r="A366">
        <v>365</v>
      </c>
      <c r="B366" t="s">
        <v>597</v>
      </c>
      <c r="C366" t="s">
        <v>16</v>
      </c>
      <c r="D366" s="9">
        <v>37888</v>
      </c>
      <c r="E366">
        <v>21</v>
      </c>
      <c r="F366" t="s">
        <v>17</v>
      </c>
      <c r="G366">
        <v>2</v>
      </c>
      <c r="H366" t="s">
        <v>203</v>
      </c>
      <c r="I366" t="b">
        <v>1</v>
      </c>
      <c r="J366" t="s">
        <v>598</v>
      </c>
      <c r="K366" s="10">
        <v>0.777777777777778</v>
      </c>
      <c r="L366" s="10">
        <v>0.896527777777778</v>
      </c>
      <c r="M366">
        <v>171</v>
      </c>
      <c r="N366" t="b">
        <v>1</v>
      </c>
      <c r="O366" t="s">
        <v>50</v>
      </c>
    </row>
    <row r="367" spans="1:15">
      <c r="A367">
        <v>366</v>
      </c>
      <c r="B367" t="s">
        <v>599</v>
      </c>
      <c r="C367" t="s">
        <v>25</v>
      </c>
      <c r="D367" s="9">
        <v>29376</v>
      </c>
      <c r="E367">
        <v>44</v>
      </c>
      <c r="F367" t="s">
        <v>21</v>
      </c>
      <c r="G367">
        <v>3</v>
      </c>
      <c r="H367" t="s">
        <v>57</v>
      </c>
      <c r="I367" t="b">
        <v>0</v>
      </c>
      <c r="K367" s="10">
        <v>0.438194444444444</v>
      </c>
      <c r="L367" s="10">
        <v>0.540277777777778</v>
      </c>
      <c r="M367">
        <v>147</v>
      </c>
      <c r="N367" t="b">
        <v>1</v>
      </c>
      <c r="O367" t="s">
        <v>23</v>
      </c>
    </row>
    <row r="368" spans="1:15">
      <c r="A368">
        <v>367</v>
      </c>
      <c r="B368" t="s">
        <v>600</v>
      </c>
      <c r="C368" t="s">
        <v>16</v>
      </c>
      <c r="D368" s="9">
        <v>35121</v>
      </c>
      <c r="E368">
        <v>28</v>
      </c>
      <c r="F368" t="s">
        <v>21</v>
      </c>
      <c r="G368">
        <v>2</v>
      </c>
      <c r="H368" t="s">
        <v>101</v>
      </c>
      <c r="I368" t="b">
        <v>1</v>
      </c>
      <c r="J368" t="s">
        <v>601</v>
      </c>
      <c r="K368" s="10">
        <v>0.848611111111111</v>
      </c>
      <c r="L368" s="10">
        <v>0.877777777777778</v>
      </c>
      <c r="M368">
        <v>42</v>
      </c>
      <c r="N368" t="b">
        <v>0</v>
      </c>
    </row>
    <row r="369" spans="1:15">
      <c r="A369">
        <v>368</v>
      </c>
      <c r="B369" t="s">
        <v>602</v>
      </c>
      <c r="C369" t="s">
        <v>25</v>
      </c>
      <c r="D369" s="9">
        <v>37081</v>
      </c>
      <c r="E369">
        <v>23</v>
      </c>
      <c r="F369" t="s">
        <v>17</v>
      </c>
      <c r="G369">
        <v>1</v>
      </c>
      <c r="H369" t="s">
        <v>35</v>
      </c>
      <c r="I369" t="b">
        <v>1</v>
      </c>
      <c r="J369" t="s">
        <v>603</v>
      </c>
      <c r="K369" s="10">
        <v>0.861805555555556</v>
      </c>
      <c r="L369" s="10">
        <v>0.938888888888889</v>
      </c>
      <c r="M369">
        <v>111</v>
      </c>
      <c r="N369" t="b">
        <v>1</v>
      </c>
      <c r="O369" t="s">
        <v>23</v>
      </c>
    </row>
    <row r="370" spans="1:15">
      <c r="A370">
        <v>369</v>
      </c>
      <c r="B370" t="s">
        <v>604</v>
      </c>
      <c r="C370" t="s">
        <v>25</v>
      </c>
      <c r="D370" s="9">
        <v>34828</v>
      </c>
      <c r="E370">
        <v>29</v>
      </c>
      <c r="F370" t="s">
        <v>17</v>
      </c>
      <c r="G370">
        <v>1</v>
      </c>
      <c r="H370" t="s">
        <v>46</v>
      </c>
      <c r="I370" t="b">
        <v>1</v>
      </c>
      <c r="J370" t="s">
        <v>605</v>
      </c>
      <c r="K370" s="10">
        <v>0.723611111111111</v>
      </c>
      <c r="L370" s="10">
        <v>0.840972222222222</v>
      </c>
      <c r="M370">
        <v>169</v>
      </c>
      <c r="N370" t="b">
        <v>1</v>
      </c>
      <c r="O370" t="s">
        <v>47</v>
      </c>
    </row>
    <row r="371" spans="1:15">
      <c r="A371">
        <v>370</v>
      </c>
      <c r="B371" t="s">
        <v>606</v>
      </c>
      <c r="C371" t="s">
        <v>16</v>
      </c>
      <c r="D371" s="9">
        <v>35069</v>
      </c>
      <c r="E371">
        <v>28</v>
      </c>
      <c r="F371" t="s">
        <v>17</v>
      </c>
      <c r="G371">
        <v>1</v>
      </c>
      <c r="H371" t="s">
        <v>81</v>
      </c>
      <c r="I371" t="b">
        <v>1</v>
      </c>
      <c r="J371" t="s">
        <v>607</v>
      </c>
      <c r="K371" s="10">
        <v>0.547222222222222</v>
      </c>
      <c r="L371" s="10">
        <v>0.663888888888889</v>
      </c>
      <c r="M371">
        <v>168</v>
      </c>
      <c r="N371" t="b">
        <v>1</v>
      </c>
      <c r="O371" t="s">
        <v>50</v>
      </c>
    </row>
    <row r="372" spans="1:15">
      <c r="A372">
        <v>371</v>
      </c>
      <c r="B372" t="s">
        <v>608</v>
      </c>
      <c r="C372" t="s">
        <v>25</v>
      </c>
      <c r="D372" s="9">
        <v>37766</v>
      </c>
      <c r="E372">
        <v>21</v>
      </c>
      <c r="F372" t="s">
        <v>17</v>
      </c>
      <c r="G372">
        <v>2</v>
      </c>
      <c r="H372" t="s">
        <v>72</v>
      </c>
      <c r="I372" t="b">
        <v>0</v>
      </c>
      <c r="K372" s="10">
        <v>0.840277777777778</v>
      </c>
      <c r="L372" s="10">
        <v>0.904166666666667</v>
      </c>
      <c r="M372">
        <v>92</v>
      </c>
      <c r="N372" t="b">
        <v>0</v>
      </c>
    </row>
    <row r="373" spans="1:15">
      <c r="A373">
        <v>372</v>
      </c>
      <c r="B373" t="s">
        <v>609</v>
      </c>
      <c r="C373" t="s">
        <v>16</v>
      </c>
      <c r="D373" s="9">
        <v>28773</v>
      </c>
      <c r="E373">
        <v>45</v>
      </c>
      <c r="F373" t="s">
        <v>17</v>
      </c>
      <c r="G373">
        <v>5</v>
      </c>
      <c r="H373" t="s">
        <v>88</v>
      </c>
      <c r="I373" t="b">
        <v>1</v>
      </c>
      <c r="J373" t="s">
        <v>610</v>
      </c>
      <c r="K373" s="10">
        <v>0.470833333333333</v>
      </c>
      <c r="L373" s="10">
        <v>0.492361111111111</v>
      </c>
      <c r="M373">
        <v>31</v>
      </c>
      <c r="N373" t="b">
        <v>1</v>
      </c>
      <c r="O373" t="s">
        <v>47</v>
      </c>
    </row>
    <row r="374" spans="1:15">
      <c r="A374">
        <v>373</v>
      </c>
      <c r="B374" t="s">
        <v>611</v>
      </c>
      <c r="C374" t="s">
        <v>16</v>
      </c>
      <c r="D374" s="9">
        <v>33476</v>
      </c>
      <c r="E374">
        <v>33</v>
      </c>
      <c r="F374" t="s">
        <v>17</v>
      </c>
      <c r="G374">
        <v>2</v>
      </c>
      <c r="H374" t="s">
        <v>138</v>
      </c>
      <c r="I374" t="b">
        <v>1</v>
      </c>
      <c r="J374" t="s">
        <v>83</v>
      </c>
      <c r="K374" s="10">
        <v>0.369444444444444</v>
      </c>
      <c r="L374" s="10">
        <v>0.4875</v>
      </c>
      <c r="M374">
        <v>170</v>
      </c>
      <c r="N374" t="b">
        <v>0</v>
      </c>
    </row>
    <row r="375" spans="1:15">
      <c r="A375">
        <v>374</v>
      </c>
      <c r="B375" t="s">
        <v>612</v>
      </c>
      <c r="C375" t="s">
        <v>16</v>
      </c>
      <c r="D375" s="9">
        <v>31032</v>
      </c>
      <c r="E375">
        <v>39</v>
      </c>
      <c r="F375" t="s">
        <v>17</v>
      </c>
      <c r="G375">
        <v>2</v>
      </c>
      <c r="H375" t="s">
        <v>69</v>
      </c>
      <c r="I375" t="b">
        <v>1</v>
      </c>
      <c r="J375" t="s">
        <v>230</v>
      </c>
      <c r="K375" s="10">
        <v>0.738194444444444</v>
      </c>
      <c r="L375" s="10">
        <v>0.759027777777778</v>
      </c>
      <c r="M375">
        <v>30</v>
      </c>
      <c r="N375" t="b">
        <v>1</v>
      </c>
      <c r="O375" t="s">
        <v>23</v>
      </c>
    </row>
    <row r="376" spans="1:15">
      <c r="A376">
        <v>375</v>
      </c>
      <c r="B376" t="s">
        <v>613</v>
      </c>
      <c r="C376" t="s">
        <v>25</v>
      </c>
      <c r="D376" s="9">
        <v>36143</v>
      </c>
      <c r="E376">
        <v>25</v>
      </c>
      <c r="F376" t="s">
        <v>17</v>
      </c>
      <c r="G376">
        <v>2</v>
      </c>
      <c r="H376" t="s">
        <v>195</v>
      </c>
      <c r="I376" t="b">
        <v>0</v>
      </c>
      <c r="K376" s="10">
        <v>0.704166666666667</v>
      </c>
      <c r="L376" s="10">
        <v>0.775</v>
      </c>
      <c r="M376">
        <v>102</v>
      </c>
      <c r="N376" t="b">
        <v>1</v>
      </c>
      <c r="O376" t="s">
        <v>28</v>
      </c>
    </row>
    <row r="377" spans="1:15">
      <c r="A377">
        <v>376</v>
      </c>
      <c r="B377" t="s">
        <v>614</v>
      </c>
      <c r="C377" t="s">
        <v>16</v>
      </c>
      <c r="D377" s="9">
        <v>34909</v>
      </c>
      <c r="E377">
        <v>29</v>
      </c>
      <c r="F377" t="s">
        <v>17</v>
      </c>
      <c r="G377">
        <v>3</v>
      </c>
      <c r="H377" t="s">
        <v>295</v>
      </c>
      <c r="I377" t="b">
        <v>1</v>
      </c>
      <c r="J377" t="s">
        <v>44</v>
      </c>
      <c r="K377" s="10">
        <v>0.844444444444444</v>
      </c>
      <c r="L377" s="10">
        <v>0.920138888888889</v>
      </c>
      <c r="M377">
        <v>109</v>
      </c>
      <c r="N377" t="b">
        <v>0</v>
      </c>
    </row>
    <row r="378" spans="1:15">
      <c r="A378">
        <v>377</v>
      </c>
      <c r="B378" t="s">
        <v>615</v>
      </c>
      <c r="C378" t="s">
        <v>25</v>
      </c>
      <c r="D378" s="9">
        <v>33159</v>
      </c>
      <c r="E378">
        <v>33</v>
      </c>
      <c r="F378" t="s">
        <v>17</v>
      </c>
      <c r="G378">
        <v>3</v>
      </c>
      <c r="H378" t="s">
        <v>92</v>
      </c>
      <c r="I378" t="b">
        <v>0</v>
      </c>
      <c r="K378" s="10">
        <v>0.608333333333333</v>
      </c>
      <c r="L378" s="10">
        <v>0.720833333333333</v>
      </c>
      <c r="M378">
        <v>162</v>
      </c>
      <c r="N378" t="b">
        <v>1</v>
      </c>
      <c r="O378" t="s">
        <v>28</v>
      </c>
    </row>
    <row r="379" spans="1:15">
      <c r="A379">
        <v>378</v>
      </c>
      <c r="B379" t="s">
        <v>616</v>
      </c>
      <c r="C379" t="s">
        <v>25</v>
      </c>
      <c r="D379" s="9">
        <v>30916</v>
      </c>
      <c r="E379">
        <v>40</v>
      </c>
      <c r="F379" t="s">
        <v>17</v>
      </c>
      <c r="G379">
        <v>2</v>
      </c>
      <c r="H379" t="s">
        <v>72</v>
      </c>
      <c r="I379" t="b">
        <v>1</v>
      </c>
      <c r="J379" t="s">
        <v>617</v>
      </c>
      <c r="K379" s="10">
        <v>0.786111111111111</v>
      </c>
      <c r="L379" s="10">
        <v>0.870833333333333</v>
      </c>
      <c r="M379">
        <v>122</v>
      </c>
      <c r="N379" t="b">
        <v>0</v>
      </c>
    </row>
    <row r="380" spans="1:15">
      <c r="A380">
        <v>379</v>
      </c>
      <c r="B380" t="s">
        <v>618</v>
      </c>
      <c r="C380" t="s">
        <v>16</v>
      </c>
      <c r="D380" s="9">
        <v>40244</v>
      </c>
      <c r="E380">
        <v>14</v>
      </c>
      <c r="F380" t="s">
        <v>17</v>
      </c>
      <c r="G380">
        <v>3</v>
      </c>
      <c r="H380" t="s">
        <v>241</v>
      </c>
      <c r="I380" t="b">
        <v>0</v>
      </c>
      <c r="K380" s="10">
        <v>0.353472222222222</v>
      </c>
      <c r="L380" s="10">
        <v>0.382638888888889</v>
      </c>
      <c r="M380">
        <v>42</v>
      </c>
      <c r="N380" t="b">
        <v>0</v>
      </c>
    </row>
    <row r="381" spans="1:15">
      <c r="A381">
        <v>380</v>
      </c>
      <c r="B381" t="s">
        <v>619</v>
      </c>
      <c r="C381" t="s">
        <v>25</v>
      </c>
      <c r="D381" s="9">
        <v>29739</v>
      </c>
      <c r="E381">
        <v>43</v>
      </c>
      <c r="F381" t="s">
        <v>21</v>
      </c>
      <c r="G381">
        <v>1</v>
      </c>
      <c r="H381" t="s">
        <v>46</v>
      </c>
      <c r="I381" t="b">
        <v>0</v>
      </c>
      <c r="K381" s="10">
        <v>0.818055555555556</v>
      </c>
      <c r="L381" s="10">
        <v>0.938888888888889</v>
      </c>
      <c r="M381">
        <v>174</v>
      </c>
      <c r="N381" t="b">
        <v>0</v>
      </c>
    </row>
    <row r="382" spans="1:15">
      <c r="A382">
        <v>381</v>
      </c>
      <c r="B382" t="s">
        <v>620</v>
      </c>
      <c r="C382" t="s">
        <v>25</v>
      </c>
      <c r="D382" s="9">
        <v>36001</v>
      </c>
      <c r="E382">
        <v>26</v>
      </c>
      <c r="F382" t="s">
        <v>17</v>
      </c>
      <c r="G382">
        <v>5</v>
      </c>
      <c r="H382" t="s">
        <v>192</v>
      </c>
      <c r="I382" t="b">
        <v>0</v>
      </c>
      <c r="K382" s="10">
        <v>0.750694444444444</v>
      </c>
      <c r="L382" s="10">
        <v>0.781944444444444</v>
      </c>
      <c r="M382">
        <v>45</v>
      </c>
      <c r="N382" t="b">
        <v>0</v>
      </c>
    </row>
    <row r="383" spans="1:15">
      <c r="A383">
        <v>382</v>
      </c>
      <c r="B383" t="s">
        <v>621</v>
      </c>
      <c r="C383" t="s">
        <v>25</v>
      </c>
      <c r="D383" s="9">
        <v>28830</v>
      </c>
      <c r="E383">
        <v>45</v>
      </c>
      <c r="F383" t="s">
        <v>17</v>
      </c>
      <c r="G383">
        <v>2</v>
      </c>
      <c r="H383" t="s">
        <v>69</v>
      </c>
      <c r="I383" t="b">
        <v>1</v>
      </c>
      <c r="J383" t="s">
        <v>230</v>
      </c>
      <c r="K383" s="10">
        <v>0.597222222222222</v>
      </c>
      <c r="L383" s="10">
        <v>0.661111111111111</v>
      </c>
      <c r="M383">
        <v>92</v>
      </c>
      <c r="N383" t="b">
        <v>1</v>
      </c>
      <c r="O383" t="s">
        <v>50</v>
      </c>
    </row>
    <row r="384" spans="1:15">
      <c r="A384">
        <v>383</v>
      </c>
      <c r="B384" t="s">
        <v>622</v>
      </c>
      <c r="C384" t="s">
        <v>16</v>
      </c>
      <c r="D384" s="9">
        <v>36035</v>
      </c>
      <c r="E384">
        <v>26</v>
      </c>
      <c r="F384" t="s">
        <v>21</v>
      </c>
      <c r="G384">
        <v>2</v>
      </c>
      <c r="H384" t="s">
        <v>69</v>
      </c>
      <c r="I384" t="b">
        <v>0</v>
      </c>
      <c r="K384" s="10">
        <v>0.851388888888889</v>
      </c>
      <c r="L384" s="10">
        <v>0.923611111111111</v>
      </c>
      <c r="M384">
        <v>104</v>
      </c>
      <c r="N384" t="b">
        <v>1</v>
      </c>
      <c r="O384" t="s">
        <v>23</v>
      </c>
    </row>
    <row r="385" spans="1:15">
      <c r="A385">
        <v>384</v>
      </c>
      <c r="B385" t="s">
        <v>623</v>
      </c>
      <c r="C385" t="s">
        <v>16</v>
      </c>
      <c r="D385" s="9">
        <v>35958</v>
      </c>
      <c r="E385">
        <v>26</v>
      </c>
      <c r="F385" t="s">
        <v>17</v>
      </c>
      <c r="G385">
        <v>3</v>
      </c>
      <c r="H385" t="s">
        <v>106</v>
      </c>
      <c r="I385" t="b">
        <v>1</v>
      </c>
      <c r="J385" t="s">
        <v>624</v>
      </c>
      <c r="K385" s="10">
        <v>0.732638888888889</v>
      </c>
      <c r="L385" s="10">
        <v>0.772222222222222</v>
      </c>
      <c r="M385">
        <v>57</v>
      </c>
      <c r="N385" t="b">
        <v>0</v>
      </c>
    </row>
    <row r="386" spans="1:15">
      <c r="A386">
        <v>385</v>
      </c>
      <c r="B386" t="s">
        <v>625</v>
      </c>
      <c r="C386" t="s">
        <v>16</v>
      </c>
      <c r="D386" s="9">
        <v>39459</v>
      </c>
      <c r="E386">
        <v>16</v>
      </c>
      <c r="F386" t="s">
        <v>17</v>
      </c>
      <c r="G386">
        <v>3</v>
      </c>
      <c r="H386" t="s">
        <v>150</v>
      </c>
      <c r="I386" t="b">
        <v>1</v>
      </c>
      <c r="J386" t="s">
        <v>626</v>
      </c>
      <c r="K386" s="10">
        <v>0.53125</v>
      </c>
      <c r="L386" s="10">
        <v>0.604861111111111</v>
      </c>
      <c r="M386">
        <v>106</v>
      </c>
      <c r="N386" t="b">
        <v>1</v>
      </c>
      <c r="O386" t="s">
        <v>50</v>
      </c>
    </row>
    <row r="387" spans="1:15">
      <c r="A387">
        <v>386</v>
      </c>
      <c r="B387" t="s">
        <v>627</v>
      </c>
      <c r="C387" t="s">
        <v>25</v>
      </c>
      <c r="D387" s="9">
        <v>27554</v>
      </c>
      <c r="E387">
        <v>49</v>
      </c>
      <c r="F387" t="s">
        <v>17</v>
      </c>
      <c r="G387">
        <v>1</v>
      </c>
      <c r="H387" t="s">
        <v>35</v>
      </c>
      <c r="I387" t="b">
        <v>1</v>
      </c>
      <c r="J387" t="s">
        <v>628</v>
      </c>
      <c r="K387" s="10">
        <v>0.545833333333333</v>
      </c>
      <c r="L387" s="10">
        <v>0.58125</v>
      </c>
      <c r="M387">
        <v>51</v>
      </c>
      <c r="N387" t="b">
        <v>1</v>
      </c>
      <c r="O387" t="s">
        <v>50</v>
      </c>
    </row>
    <row r="388" spans="1:15">
      <c r="A388">
        <v>387</v>
      </c>
      <c r="B388" t="s">
        <v>629</v>
      </c>
      <c r="C388" t="s">
        <v>25</v>
      </c>
      <c r="D388" s="9">
        <v>36041</v>
      </c>
      <c r="E388">
        <v>26</v>
      </c>
      <c r="F388" t="s">
        <v>17</v>
      </c>
      <c r="G388">
        <v>2</v>
      </c>
      <c r="H388" t="s">
        <v>138</v>
      </c>
      <c r="I388" t="b">
        <v>1</v>
      </c>
      <c r="J388" t="s">
        <v>453</v>
      </c>
      <c r="K388" s="10">
        <v>0.797222222222222</v>
      </c>
      <c r="L388" s="10">
        <v>0.893055555555556</v>
      </c>
      <c r="M388">
        <v>138</v>
      </c>
      <c r="N388" t="b">
        <v>1</v>
      </c>
      <c r="O388" t="s">
        <v>47</v>
      </c>
    </row>
    <row r="389" spans="1:15">
      <c r="A389">
        <v>388</v>
      </c>
      <c r="B389" t="s">
        <v>630</v>
      </c>
      <c r="C389" t="s">
        <v>25</v>
      </c>
      <c r="D389" s="9">
        <v>38428</v>
      </c>
      <c r="E389">
        <v>19</v>
      </c>
      <c r="F389" t="s">
        <v>21</v>
      </c>
      <c r="G389">
        <v>2</v>
      </c>
      <c r="H389" t="s">
        <v>101</v>
      </c>
      <c r="I389" t="b">
        <v>1</v>
      </c>
      <c r="J389" t="s">
        <v>631</v>
      </c>
      <c r="K389" s="10">
        <v>0.849305555555556</v>
      </c>
      <c r="L389" s="10">
        <v>0.894444444444444</v>
      </c>
      <c r="M389">
        <v>65</v>
      </c>
      <c r="N389" t="b">
        <v>1</v>
      </c>
      <c r="O389" t="s">
        <v>47</v>
      </c>
    </row>
    <row r="390" spans="1:15">
      <c r="A390">
        <v>389</v>
      </c>
      <c r="B390" t="s">
        <v>632</v>
      </c>
      <c r="C390" t="s">
        <v>16</v>
      </c>
      <c r="D390" s="9">
        <v>33035</v>
      </c>
      <c r="E390">
        <v>34</v>
      </c>
      <c r="F390" t="s">
        <v>17</v>
      </c>
      <c r="G390">
        <v>1</v>
      </c>
      <c r="H390" t="s">
        <v>59</v>
      </c>
      <c r="I390" t="b">
        <v>1</v>
      </c>
      <c r="J390" t="s">
        <v>124</v>
      </c>
      <c r="K390" s="10">
        <v>0.747916666666667</v>
      </c>
      <c r="L390" s="10">
        <v>0.790972222222222</v>
      </c>
      <c r="M390">
        <v>62</v>
      </c>
      <c r="N390" t="b">
        <v>1</v>
      </c>
      <c r="O390" t="s">
        <v>23</v>
      </c>
    </row>
    <row r="391" spans="1:15">
      <c r="A391">
        <v>390</v>
      </c>
      <c r="B391" t="s">
        <v>633</v>
      </c>
      <c r="C391" t="s">
        <v>16</v>
      </c>
      <c r="D391" s="9">
        <v>41164</v>
      </c>
      <c r="E391">
        <v>12</v>
      </c>
      <c r="F391" t="s">
        <v>21</v>
      </c>
      <c r="G391">
        <v>3</v>
      </c>
      <c r="H391" t="s">
        <v>148</v>
      </c>
      <c r="I391" t="b">
        <v>0</v>
      </c>
      <c r="K391" s="10">
        <v>0.374305555555556</v>
      </c>
      <c r="L391" s="10">
        <v>0.400694444444444</v>
      </c>
      <c r="M391">
        <v>38</v>
      </c>
      <c r="N391" t="b">
        <v>1</v>
      </c>
      <c r="O391" t="s">
        <v>50</v>
      </c>
    </row>
    <row r="392" spans="1:15">
      <c r="A392">
        <v>391</v>
      </c>
      <c r="B392" t="s">
        <v>634</v>
      </c>
      <c r="C392" t="s">
        <v>16</v>
      </c>
      <c r="D392" s="9">
        <v>35832</v>
      </c>
      <c r="E392">
        <v>26</v>
      </c>
      <c r="F392" t="s">
        <v>21</v>
      </c>
      <c r="G392">
        <v>5</v>
      </c>
      <c r="H392" t="s">
        <v>192</v>
      </c>
      <c r="I392" t="b">
        <v>0</v>
      </c>
      <c r="K392" s="10">
        <v>0.565277777777778</v>
      </c>
      <c r="L392" s="10">
        <v>0.656944444444444</v>
      </c>
      <c r="M392">
        <v>132</v>
      </c>
      <c r="N392" t="b">
        <v>0</v>
      </c>
    </row>
    <row r="393" spans="1:15">
      <c r="A393">
        <v>392</v>
      </c>
      <c r="B393" t="s">
        <v>635</v>
      </c>
      <c r="C393" t="s">
        <v>16</v>
      </c>
      <c r="D393" s="9">
        <v>31185</v>
      </c>
      <c r="E393">
        <v>39</v>
      </c>
      <c r="F393" t="s">
        <v>21</v>
      </c>
      <c r="G393">
        <v>2</v>
      </c>
      <c r="H393" t="s">
        <v>259</v>
      </c>
      <c r="I393" t="b">
        <v>1</v>
      </c>
      <c r="J393" t="s">
        <v>93</v>
      </c>
      <c r="K393" s="10">
        <v>0.350694444444444</v>
      </c>
      <c r="L393" s="10">
        <v>0.447222222222222</v>
      </c>
      <c r="M393">
        <v>139</v>
      </c>
      <c r="N393" t="b">
        <v>1</v>
      </c>
      <c r="O393" t="s">
        <v>47</v>
      </c>
    </row>
    <row r="394" spans="1:15">
      <c r="A394">
        <v>393</v>
      </c>
      <c r="B394" t="s">
        <v>636</v>
      </c>
      <c r="C394" t="s">
        <v>16</v>
      </c>
      <c r="D394" s="9">
        <v>30556</v>
      </c>
      <c r="E394">
        <v>41</v>
      </c>
      <c r="F394" t="s">
        <v>21</v>
      </c>
      <c r="G394">
        <v>4</v>
      </c>
      <c r="H394" t="s">
        <v>637</v>
      </c>
      <c r="I394" t="b">
        <v>1</v>
      </c>
      <c r="J394" t="s">
        <v>638</v>
      </c>
      <c r="K394" s="10">
        <v>0.422916666666667</v>
      </c>
      <c r="L394" s="10">
        <v>0.520833333333333</v>
      </c>
      <c r="M394">
        <v>141</v>
      </c>
      <c r="N394" t="b">
        <v>0</v>
      </c>
    </row>
    <row r="395" spans="1:15">
      <c r="A395">
        <v>394</v>
      </c>
      <c r="B395" t="s">
        <v>639</v>
      </c>
      <c r="C395" t="s">
        <v>16</v>
      </c>
      <c r="D395" s="9">
        <v>39216</v>
      </c>
      <c r="E395">
        <v>17</v>
      </c>
      <c r="F395" t="s">
        <v>17</v>
      </c>
      <c r="G395">
        <v>2</v>
      </c>
      <c r="H395" t="s">
        <v>40</v>
      </c>
      <c r="I395" t="b">
        <v>0</v>
      </c>
      <c r="K395" s="10">
        <v>0.395833333333333</v>
      </c>
      <c r="L395" s="10">
        <v>0.485416666666667</v>
      </c>
      <c r="M395">
        <v>129</v>
      </c>
      <c r="N395" t="b">
        <v>1</v>
      </c>
      <c r="O395" t="s">
        <v>50</v>
      </c>
    </row>
    <row r="396" spans="1:15">
      <c r="A396">
        <v>395</v>
      </c>
      <c r="B396" t="s">
        <v>640</v>
      </c>
      <c r="C396" t="s">
        <v>16</v>
      </c>
      <c r="D396" s="9">
        <v>34999</v>
      </c>
      <c r="E396">
        <v>28</v>
      </c>
      <c r="F396" t="s">
        <v>21</v>
      </c>
      <c r="G396">
        <v>3</v>
      </c>
      <c r="H396" t="s">
        <v>315</v>
      </c>
      <c r="I396" t="b">
        <v>0</v>
      </c>
      <c r="K396" s="10">
        <v>0.832638888888889</v>
      </c>
      <c r="L396" s="10">
        <v>0.874305555555556</v>
      </c>
      <c r="M396">
        <v>60</v>
      </c>
      <c r="N396" t="b">
        <v>1</v>
      </c>
      <c r="O396" t="s">
        <v>23</v>
      </c>
    </row>
    <row r="397" spans="1:15">
      <c r="A397">
        <v>396</v>
      </c>
      <c r="B397" t="s">
        <v>641</v>
      </c>
      <c r="C397" t="s">
        <v>16</v>
      </c>
      <c r="D397" s="9">
        <v>31729</v>
      </c>
      <c r="E397">
        <v>37</v>
      </c>
      <c r="F397" t="s">
        <v>17</v>
      </c>
      <c r="G397">
        <v>3</v>
      </c>
      <c r="H397" t="s">
        <v>315</v>
      </c>
      <c r="I397" t="b">
        <v>0</v>
      </c>
      <c r="K397" s="10">
        <v>0.547222222222222</v>
      </c>
      <c r="L397" s="10">
        <v>0.593055555555556</v>
      </c>
      <c r="M397">
        <v>66</v>
      </c>
      <c r="N397" t="b">
        <v>0</v>
      </c>
    </row>
    <row r="398" spans="1:15">
      <c r="A398">
        <v>397</v>
      </c>
      <c r="B398" t="s">
        <v>642</v>
      </c>
      <c r="C398" t="s">
        <v>16</v>
      </c>
      <c r="D398" s="9">
        <v>33407</v>
      </c>
      <c r="E398">
        <v>33</v>
      </c>
      <c r="F398" t="s">
        <v>21</v>
      </c>
      <c r="G398">
        <v>3</v>
      </c>
      <c r="H398" t="s">
        <v>52</v>
      </c>
      <c r="I398" t="b">
        <v>0</v>
      </c>
      <c r="K398" s="10">
        <v>0.365972222222222</v>
      </c>
      <c r="L398" s="10">
        <v>0.420138888888889</v>
      </c>
      <c r="M398">
        <v>78</v>
      </c>
      <c r="N398" t="b">
        <v>0</v>
      </c>
    </row>
    <row r="399" spans="1:15">
      <c r="A399">
        <v>398</v>
      </c>
      <c r="B399" t="s">
        <v>643</v>
      </c>
      <c r="C399" t="s">
        <v>16</v>
      </c>
      <c r="D399" s="9">
        <v>29034</v>
      </c>
      <c r="E399">
        <v>45</v>
      </c>
      <c r="F399" t="s">
        <v>17</v>
      </c>
      <c r="G399">
        <v>2</v>
      </c>
      <c r="H399" t="s">
        <v>306</v>
      </c>
      <c r="I399" t="b">
        <v>1</v>
      </c>
      <c r="J399" t="s">
        <v>114</v>
      </c>
      <c r="K399" s="10">
        <v>0.442361111111111</v>
      </c>
      <c r="L399" s="10">
        <v>0.494444444444444</v>
      </c>
      <c r="M399">
        <v>75</v>
      </c>
      <c r="N399" t="b">
        <v>1</v>
      </c>
      <c r="O399" t="s">
        <v>50</v>
      </c>
    </row>
    <row r="400" spans="1:15">
      <c r="A400">
        <v>399</v>
      </c>
      <c r="B400" t="s">
        <v>644</v>
      </c>
      <c r="C400" t="s">
        <v>25</v>
      </c>
      <c r="D400" s="9">
        <v>39150</v>
      </c>
      <c r="E400">
        <v>17</v>
      </c>
      <c r="F400" t="s">
        <v>17</v>
      </c>
      <c r="G400">
        <v>2</v>
      </c>
      <c r="H400" t="s">
        <v>40</v>
      </c>
      <c r="I400" t="b">
        <v>0</v>
      </c>
      <c r="K400" s="10">
        <v>0.359722222222222</v>
      </c>
      <c r="L400" s="10">
        <v>0.414583333333333</v>
      </c>
      <c r="M400">
        <v>79</v>
      </c>
      <c r="N400" t="b">
        <v>1</v>
      </c>
      <c r="O400" t="s">
        <v>28</v>
      </c>
    </row>
    <row r="401" spans="1:15">
      <c r="A401">
        <v>400</v>
      </c>
      <c r="B401" t="s">
        <v>645</v>
      </c>
      <c r="C401" t="s">
        <v>25</v>
      </c>
      <c r="D401" s="9">
        <v>34652</v>
      </c>
      <c r="E401">
        <v>29</v>
      </c>
      <c r="F401" t="s">
        <v>21</v>
      </c>
      <c r="G401">
        <v>3</v>
      </c>
      <c r="H401" t="s">
        <v>161</v>
      </c>
      <c r="I401" t="b">
        <v>1</v>
      </c>
      <c r="J401" t="s">
        <v>646</v>
      </c>
      <c r="K401" s="10">
        <v>0.543055555555556</v>
      </c>
      <c r="L401" s="10">
        <v>0.631944444444444</v>
      </c>
      <c r="M401">
        <v>128</v>
      </c>
      <c r="N401" t="b">
        <v>0</v>
      </c>
    </row>
    <row r="402" spans="1:15">
      <c r="A402">
        <v>401</v>
      </c>
      <c r="B402" t="s">
        <v>647</v>
      </c>
      <c r="C402" t="s">
        <v>16</v>
      </c>
      <c r="D402" s="9">
        <v>38271</v>
      </c>
      <c r="E402">
        <v>19</v>
      </c>
      <c r="F402" t="s">
        <v>17</v>
      </c>
      <c r="G402">
        <v>1</v>
      </c>
      <c r="H402" t="s">
        <v>81</v>
      </c>
      <c r="I402" t="b">
        <v>0</v>
      </c>
      <c r="K402" s="10">
        <v>0.744444444444444</v>
      </c>
      <c r="L402" s="10">
        <v>0.774305555555555</v>
      </c>
      <c r="M402">
        <v>43</v>
      </c>
      <c r="N402" t="b">
        <v>1</v>
      </c>
      <c r="O402" t="s">
        <v>50</v>
      </c>
    </row>
    <row r="403" spans="1:15">
      <c r="A403">
        <v>402</v>
      </c>
      <c r="B403" t="s">
        <v>648</v>
      </c>
      <c r="C403" t="s">
        <v>16</v>
      </c>
      <c r="D403" s="9">
        <v>39254</v>
      </c>
      <c r="E403">
        <v>17</v>
      </c>
      <c r="F403" t="s">
        <v>17</v>
      </c>
      <c r="G403">
        <v>2</v>
      </c>
      <c r="H403" t="s">
        <v>306</v>
      </c>
      <c r="I403" t="b">
        <v>1</v>
      </c>
      <c r="J403" t="s">
        <v>649</v>
      </c>
      <c r="K403" s="10">
        <v>0.706944444444444</v>
      </c>
      <c r="L403" s="10">
        <v>0.757638888888889</v>
      </c>
      <c r="M403">
        <v>73</v>
      </c>
      <c r="N403" t="b">
        <v>0</v>
      </c>
    </row>
    <row r="404" spans="1:15">
      <c r="A404">
        <v>403</v>
      </c>
      <c r="B404" t="s">
        <v>650</v>
      </c>
      <c r="C404" t="s">
        <v>16</v>
      </c>
      <c r="D404" s="9">
        <v>39420</v>
      </c>
      <c r="E404">
        <v>16</v>
      </c>
      <c r="F404" t="s">
        <v>17</v>
      </c>
      <c r="G404">
        <v>3</v>
      </c>
      <c r="H404" t="s">
        <v>164</v>
      </c>
      <c r="I404" t="b">
        <v>0</v>
      </c>
      <c r="K404" s="10">
        <v>0.635416666666667</v>
      </c>
      <c r="L404" s="10">
        <v>0.675694444444444</v>
      </c>
      <c r="M404">
        <v>58</v>
      </c>
      <c r="N404" t="b">
        <v>1</v>
      </c>
      <c r="O404" t="s">
        <v>23</v>
      </c>
    </row>
    <row r="405" spans="1:15">
      <c r="A405">
        <v>404</v>
      </c>
      <c r="B405" t="s">
        <v>651</v>
      </c>
      <c r="C405" t="s">
        <v>16</v>
      </c>
      <c r="D405" s="9">
        <v>40034</v>
      </c>
      <c r="E405">
        <v>15</v>
      </c>
      <c r="F405" t="s">
        <v>17</v>
      </c>
      <c r="G405">
        <v>3</v>
      </c>
      <c r="H405" t="s">
        <v>513</v>
      </c>
      <c r="I405" t="b">
        <v>1</v>
      </c>
      <c r="J405" t="s">
        <v>552</v>
      </c>
      <c r="K405" s="10">
        <v>0.459722222222222</v>
      </c>
      <c r="L405" s="10">
        <v>0.488888888888889</v>
      </c>
      <c r="M405">
        <v>42</v>
      </c>
      <c r="N405" t="b">
        <v>1</v>
      </c>
      <c r="O405" t="s">
        <v>23</v>
      </c>
    </row>
    <row r="406" spans="1:15">
      <c r="A406">
        <v>405</v>
      </c>
      <c r="B406" t="s">
        <v>652</v>
      </c>
      <c r="C406" t="s">
        <v>25</v>
      </c>
      <c r="D406" s="9">
        <v>35525</v>
      </c>
      <c r="E406">
        <v>27</v>
      </c>
      <c r="F406" t="s">
        <v>17</v>
      </c>
      <c r="G406">
        <v>2</v>
      </c>
      <c r="H406" t="s">
        <v>210</v>
      </c>
      <c r="I406" t="b">
        <v>1</v>
      </c>
      <c r="J406" t="s">
        <v>287</v>
      </c>
      <c r="K406" s="10">
        <v>0.690972222222222</v>
      </c>
      <c r="L406" s="10">
        <v>0.793055555555556</v>
      </c>
      <c r="M406">
        <v>147</v>
      </c>
      <c r="N406" t="b">
        <v>1</v>
      </c>
      <c r="O406" t="s">
        <v>47</v>
      </c>
    </row>
    <row r="407" spans="1:15">
      <c r="A407">
        <v>406</v>
      </c>
      <c r="B407" t="s">
        <v>653</v>
      </c>
      <c r="C407" t="s">
        <v>16</v>
      </c>
      <c r="D407" s="9">
        <v>35957</v>
      </c>
      <c r="E407">
        <v>26</v>
      </c>
      <c r="F407" t="s">
        <v>21</v>
      </c>
      <c r="G407">
        <v>4</v>
      </c>
      <c r="H407" t="s">
        <v>520</v>
      </c>
      <c r="I407" t="b">
        <v>1</v>
      </c>
      <c r="J407" t="s">
        <v>654</v>
      </c>
      <c r="K407" s="10">
        <v>0.54375</v>
      </c>
      <c r="L407" s="10">
        <v>0.584027777777778</v>
      </c>
      <c r="M407">
        <v>58</v>
      </c>
      <c r="N407" t="b">
        <v>1</v>
      </c>
      <c r="O407" t="s">
        <v>23</v>
      </c>
    </row>
    <row r="408" spans="1:15">
      <c r="A408">
        <v>407</v>
      </c>
      <c r="B408" t="s">
        <v>655</v>
      </c>
      <c r="C408" t="s">
        <v>16</v>
      </c>
      <c r="D408" s="9">
        <v>37527</v>
      </c>
      <c r="E408">
        <v>22</v>
      </c>
      <c r="F408" t="s">
        <v>21</v>
      </c>
      <c r="G408">
        <v>3</v>
      </c>
      <c r="H408" t="s">
        <v>321</v>
      </c>
      <c r="I408" t="b">
        <v>1</v>
      </c>
      <c r="J408" t="s">
        <v>626</v>
      </c>
      <c r="K408" s="10">
        <v>0.728472222222222</v>
      </c>
      <c r="L408" s="10">
        <v>0.805555555555555</v>
      </c>
      <c r="M408">
        <v>111</v>
      </c>
      <c r="N408" t="b">
        <v>0</v>
      </c>
    </row>
    <row r="409" spans="1:15">
      <c r="A409">
        <v>408</v>
      </c>
      <c r="B409" t="s">
        <v>584</v>
      </c>
      <c r="C409" t="s">
        <v>25</v>
      </c>
      <c r="D409" s="9">
        <v>37248</v>
      </c>
      <c r="E409">
        <v>22</v>
      </c>
      <c r="F409" t="s">
        <v>17</v>
      </c>
      <c r="G409">
        <v>1</v>
      </c>
      <c r="H409" t="s">
        <v>26</v>
      </c>
      <c r="I409" t="b">
        <v>0</v>
      </c>
      <c r="K409" s="10">
        <v>0.479861111111111</v>
      </c>
      <c r="L409" s="10">
        <v>0.525694444444444</v>
      </c>
      <c r="M409">
        <v>66</v>
      </c>
      <c r="N409" t="b">
        <v>1</v>
      </c>
      <c r="O409" t="s">
        <v>23</v>
      </c>
    </row>
    <row r="410" spans="1:15">
      <c r="A410">
        <v>409</v>
      </c>
      <c r="B410" t="s">
        <v>656</v>
      </c>
      <c r="C410" t="s">
        <v>16</v>
      </c>
      <c r="D410" s="9">
        <v>38340</v>
      </c>
      <c r="E410">
        <v>19</v>
      </c>
      <c r="F410" t="s">
        <v>21</v>
      </c>
      <c r="G410">
        <v>3</v>
      </c>
      <c r="H410" t="s">
        <v>79</v>
      </c>
      <c r="I410" t="b">
        <v>0</v>
      </c>
      <c r="K410" s="10">
        <v>0.754861111111111</v>
      </c>
      <c r="L410" s="10">
        <v>0.838888888888889</v>
      </c>
      <c r="M410">
        <v>121</v>
      </c>
      <c r="N410" t="b">
        <v>1</v>
      </c>
      <c r="O410" t="s">
        <v>47</v>
      </c>
    </row>
    <row r="411" spans="1:15">
      <c r="A411">
        <v>410</v>
      </c>
      <c r="B411" t="s">
        <v>657</v>
      </c>
      <c r="C411" t="s">
        <v>25</v>
      </c>
      <c r="D411" s="9">
        <v>28946</v>
      </c>
      <c r="E411">
        <v>45</v>
      </c>
      <c r="F411" t="s">
        <v>17</v>
      </c>
      <c r="G411">
        <v>3</v>
      </c>
      <c r="H411" t="s">
        <v>241</v>
      </c>
      <c r="I411" t="b">
        <v>0</v>
      </c>
      <c r="K411" s="10">
        <v>0.472222222222222</v>
      </c>
      <c r="L411" s="10">
        <v>0.506944444444444</v>
      </c>
      <c r="M411">
        <v>50</v>
      </c>
      <c r="N411" t="b">
        <v>1</v>
      </c>
      <c r="O411" t="s">
        <v>28</v>
      </c>
    </row>
    <row r="412" spans="1:15">
      <c r="A412">
        <v>411</v>
      </c>
      <c r="B412" t="s">
        <v>658</v>
      </c>
      <c r="C412" t="s">
        <v>16</v>
      </c>
      <c r="D412" s="9">
        <v>29460</v>
      </c>
      <c r="E412">
        <v>44</v>
      </c>
      <c r="F412" t="s">
        <v>21</v>
      </c>
      <c r="G412">
        <v>2</v>
      </c>
      <c r="H412" t="s">
        <v>111</v>
      </c>
      <c r="I412" t="b">
        <v>0</v>
      </c>
      <c r="K412" s="10">
        <v>0.495138888888889</v>
      </c>
      <c r="L412" s="10">
        <v>0.615277777777778</v>
      </c>
      <c r="M412">
        <v>173</v>
      </c>
      <c r="N412" t="b">
        <v>0</v>
      </c>
    </row>
    <row r="413" spans="1:15">
      <c r="A413">
        <v>412</v>
      </c>
      <c r="B413" t="s">
        <v>659</v>
      </c>
      <c r="C413" t="s">
        <v>25</v>
      </c>
      <c r="D413" s="9">
        <v>31025</v>
      </c>
      <c r="E413">
        <v>39</v>
      </c>
      <c r="F413" t="s">
        <v>21</v>
      </c>
      <c r="G413">
        <v>2</v>
      </c>
      <c r="H413" t="s">
        <v>306</v>
      </c>
      <c r="I413" t="b">
        <v>1</v>
      </c>
      <c r="J413" t="s">
        <v>660</v>
      </c>
      <c r="K413" s="10">
        <v>0.793055555555556</v>
      </c>
      <c r="L413" s="10">
        <v>0.819444444444445</v>
      </c>
      <c r="M413">
        <v>38</v>
      </c>
      <c r="N413" t="b">
        <v>1</v>
      </c>
      <c r="O413" t="s">
        <v>23</v>
      </c>
    </row>
    <row r="414" spans="1:15">
      <c r="A414">
        <v>413</v>
      </c>
      <c r="B414" t="s">
        <v>661</v>
      </c>
      <c r="C414" t="s">
        <v>25</v>
      </c>
      <c r="D414" s="9">
        <v>34268</v>
      </c>
      <c r="E414">
        <v>30</v>
      </c>
      <c r="F414" t="s">
        <v>17</v>
      </c>
      <c r="G414">
        <v>1</v>
      </c>
      <c r="H414" t="s">
        <v>81</v>
      </c>
      <c r="I414" t="b">
        <v>1</v>
      </c>
      <c r="J414" t="s">
        <v>662</v>
      </c>
      <c r="K414" s="10">
        <v>0.359722222222222</v>
      </c>
      <c r="L414" s="10">
        <v>0.461805555555556</v>
      </c>
      <c r="M414">
        <v>147</v>
      </c>
      <c r="N414" t="b">
        <v>1</v>
      </c>
      <c r="O414" t="s">
        <v>28</v>
      </c>
    </row>
    <row r="415" spans="1:15">
      <c r="A415">
        <v>414</v>
      </c>
      <c r="B415" t="s">
        <v>663</v>
      </c>
      <c r="C415" t="s">
        <v>16</v>
      </c>
      <c r="D415" s="9">
        <v>34700</v>
      </c>
      <c r="E415">
        <v>29</v>
      </c>
      <c r="F415" t="s">
        <v>21</v>
      </c>
      <c r="G415">
        <v>1</v>
      </c>
      <c r="H415" t="s">
        <v>185</v>
      </c>
      <c r="I415" t="b">
        <v>1</v>
      </c>
      <c r="J415" t="s">
        <v>664</v>
      </c>
      <c r="K415" s="10">
        <v>0.518055555555556</v>
      </c>
      <c r="L415" s="10">
        <v>0.596527777777778</v>
      </c>
      <c r="M415">
        <v>113</v>
      </c>
      <c r="N415" t="b">
        <v>0</v>
      </c>
    </row>
    <row r="416" spans="1:15">
      <c r="A416">
        <v>415</v>
      </c>
      <c r="B416" t="s">
        <v>625</v>
      </c>
      <c r="C416" t="s">
        <v>16</v>
      </c>
      <c r="D416" s="9">
        <v>34694</v>
      </c>
      <c r="E416">
        <v>29</v>
      </c>
      <c r="F416" t="s">
        <v>17</v>
      </c>
      <c r="G416">
        <v>1</v>
      </c>
      <c r="H416" t="s">
        <v>26</v>
      </c>
      <c r="I416" t="b">
        <v>0</v>
      </c>
      <c r="K416" s="10">
        <v>0.704166666666667</v>
      </c>
      <c r="L416" s="10">
        <v>0.775694444444444</v>
      </c>
      <c r="M416">
        <v>103</v>
      </c>
      <c r="N416" t="b">
        <v>1</v>
      </c>
      <c r="O416" t="s">
        <v>23</v>
      </c>
    </row>
    <row r="417" spans="1:15">
      <c r="A417">
        <v>416</v>
      </c>
      <c r="B417" t="s">
        <v>665</v>
      </c>
      <c r="C417" t="s">
        <v>25</v>
      </c>
      <c r="D417" s="9">
        <v>32154</v>
      </c>
      <c r="E417">
        <v>36</v>
      </c>
      <c r="F417" t="s">
        <v>17</v>
      </c>
      <c r="G417">
        <v>3</v>
      </c>
      <c r="H417" t="s">
        <v>325</v>
      </c>
      <c r="I417" t="b">
        <v>1</v>
      </c>
      <c r="J417" t="s">
        <v>666</v>
      </c>
      <c r="K417" s="10">
        <v>0.817361111111111</v>
      </c>
      <c r="L417" s="10">
        <v>0.863888888888889</v>
      </c>
      <c r="M417">
        <v>67</v>
      </c>
      <c r="N417" t="b">
        <v>0</v>
      </c>
    </row>
    <row r="418" spans="1:15">
      <c r="A418">
        <v>417</v>
      </c>
      <c r="B418" t="s">
        <v>667</v>
      </c>
      <c r="C418" t="s">
        <v>16</v>
      </c>
      <c r="D418" s="9">
        <v>39388</v>
      </c>
      <c r="E418">
        <v>16</v>
      </c>
      <c r="F418" t="s">
        <v>21</v>
      </c>
      <c r="G418">
        <v>3</v>
      </c>
      <c r="H418" t="s">
        <v>161</v>
      </c>
      <c r="I418" t="b">
        <v>1</v>
      </c>
      <c r="J418" t="s">
        <v>598</v>
      </c>
      <c r="K418" s="10">
        <v>0.620138888888889</v>
      </c>
      <c r="L418" s="10">
        <v>0.686111111111111</v>
      </c>
      <c r="M418">
        <v>95</v>
      </c>
      <c r="N418" t="b">
        <v>0</v>
      </c>
    </row>
    <row r="419" spans="1:15">
      <c r="A419">
        <v>418</v>
      </c>
      <c r="B419" t="s">
        <v>668</v>
      </c>
      <c r="C419" t="s">
        <v>16</v>
      </c>
      <c r="D419" s="9">
        <v>27662</v>
      </c>
      <c r="E419">
        <v>49</v>
      </c>
      <c r="F419" t="s">
        <v>17</v>
      </c>
      <c r="G419">
        <v>3</v>
      </c>
      <c r="H419" t="s">
        <v>247</v>
      </c>
      <c r="I419" t="b">
        <v>0</v>
      </c>
      <c r="K419" s="10">
        <v>0.817361111111111</v>
      </c>
      <c r="L419" s="10">
        <v>0.886111111111111</v>
      </c>
      <c r="M419">
        <v>99</v>
      </c>
      <c r="N419" t="b">
        <v>0</v>
      </c>
    </row>
    <row r="420" spans="1:15">
      <c r="A420">
        <v>419</v>
      </c>
      <c r="B420" t="s">
        <v>569</v>
      </c>
      <c r="C420" t="s">
        <v>16</v>
      </c>
      <c r="D420" s="9">
        <v>38317</v>
      </c>
      <c r="E420">
        <v>19</v>
      </c>
      <c r="F420" t="s">
        <v>17</v>
      </c>
      <c r="G420">
        <v>3</v>
      </c>
      <c r="H420" t="s">
        <v>43</v>
      </c>
      <c r="I420" t="b">
        <v>1</v>
      </c>
      <c r="J420" t="s">
        <v>19</v>
      </c>
      <c r="K420" s="10">
        <v>0.439583333333333</v>
      </c>
      <c r="L420" s="10">
        <v>0.511805555555556</v>
      </c>
      <c r="M420">
        <v>104</v>
      </c>
      <c r="N420" t="b">
        <v>0</v>
      </c>
    </row>
    <row r="421" spans="1:15">
      <c r="A421">
        <v>420</v>
      </c>
      <c r="B421" t="s">
        <v>669</v>
      </c>
      <c r="C421" t="s">
        <v>25</v>
      </c>
      <c r="D421" s="9">
        <v>28548</v>
      </c>
      <c r="E421">
        <v>46</v>
      </c>
      <c r="F421" t="s">
        <v>17</v>
      </c>
      <c r="G421">
        <v>2</v>
      </c>
      <c r="H421" t="s">
        <v>509</v>
      </c>
      <c r="I421" t="b">
        <v>0</v>
      </c>
      <c r="K421" s="10">
        <v>0.477083333333333</v>
      </c>
      <c r="L421" s="10">
        <v>0.588888888888889</v>
      </c>
      <c r="M421">
        <v>161</v>
      </c>
      <c r="N421" t="b">
        <v>1</v>
      </c>
      <c r="O421" t="s">
        <v>50</v>
      </c>
    </row>
    <row r="422" spans="1:15">
      <c r="A422">
        <v>421</v>
      </c>
      <c r="B422" t="s">
        <v>670</v>
      </c>
      <c r="C422" t="s">
        <v>16</v>
      </c>
      <c r="D422" s="9">
        <v>35804</v>
      </c>
      <c r="E422">
        <v>26</v>
      </c>
      <c r="F422" t="s">
        <v>21</v>
      </c>
      <c r="G422">
        <v>3</v>
      </c>
      <c r="H422" t="s">
        <v>318</v>
      </c>
      <c r="I422" t="b">
        <v>0</v>
      </c>
      <c r="K422" s="10">
        <v>0.620833333333333</v>
      </c>
      <c r="L422" s="10">
        <v>0.699305555555556</v>
      </c>
      <c r="M422">
        <v>113</v>
      </c>
      <c r="N422" t="b">
        <v>1</v>
      </c>
      <c r="O422" t="s">
        <v>23</v>
      </c>
    </row>
    <row r="423" spans="1:15">
      <c r="A423">
        <v>422</v>
      </c>
      <c r="B423" t="s">
        <v>671</v>
      </c>
      <c r="C423" t="s">
        <v>16</v>
      </c>
      <c r="D423" s="9">
        <v>33014</v>
      </c>
      <c r="E423">
        <v>34</v>
      </c>
      <c r="F423" t="s">
        <v>21</v>
      </c>
      <c r="G423">
        <v>4</v>
      </c>
      <c r="H423" t="s">
        <v>672</v>
      </c>
      <c r="I423" t="b">
        <v>0</v>
      </c>
      <c r="K423" s="10">
        <v>0.531944444444444</v>
      </c>
      <c r="L423" s="10">
        <v>0.622222222222222</v>
      </c>
      <c r="M423">
        <v>130</v>
      </c>
      <c r="N423" t="b">
        <v>0</v>
      </c>
    </row>
    <row r="424" spans="1:15">
      <c r="A424">
        <v>423</v>
      </c>
      <c r="B424" t="s">
        <v>673</v>
      </c>
      <c r="C424" t="s">
        <v>16</v>
      </c>
      <c r="D424" s="9">
        <v>31885</v>
      </c>
      <c r="E424">
        <v>37</v>
      </c>
      <c r="F424" t="s">
        <v>17</v>
      </c>
      <c r="G424">
        <v>5</v>
      </c>
      <c r="H424" t="s">
        <v>368</v>
      </c>
      <c r="I424" t="b">
        <v>1</v>
      </c>
      <c r="J424" t="s">
        <v>674</v>
      </c>
      <c r="K424" s="10">
        <v>0.783333333333333</v>
      </c>
      <c r="L424" s="10">
        <v>0.814583333333333</v>
      </c>
      <c r="M424">
        <v>45</v>
      </c>
      <c r="N424" t="b">
        <v>1</v>
      </c>
      <c r="O424" t="s">
        <v>23</v>
      </c>
    </row>
    <row r="425" spans="1:15">
      <c r="A425">
        <v>424</v>
      </c>
      <c r="B425" t="s">
        <v>76</v>
      </c>
      <c r="C425" t="s">
        <v>16</v>
      </c>
      <c r="D425" s="9">
        <v>37348</v>
      </c>
      <c r="E425">
        <v>22</v>
      </c>
      <c r="F425" t="s">
        <v>17</v>
      </c>
      <c r="G425">
        <v>1</v>
      </c>
      <c r="H425" t="s">
        <v>49</v>
      </c>
      <c r="I425" t="b">
        <v>1</v>
      </c>
      <c r="J425" t="s">
        <v>67</v>
      </c>
      <c r="K425" s="10">
        <v>0.51875</v>
      </c>
      <c r="L425" s="10">
        <v>0.599305555555556</v>
      </c>
      <c r="M425">
        <v>116</v>
      </c>
      <c r="N425" t="b">
        <v>0</v>
      </c>
    </row>
    <row r="426" spans="1:15">
      <c r="A426">
        <v>425</v>
      </c>
      <c r="B426" t="s">
        <v>675</v>
      </c>
      <c r="C426" t="s">
        <v>25</v>
      </c>
      <c r="D426" s="9">
        <v>30439</v>
      </c>
      <c r="E426">
        <v>41</v>
      </c>
      <c r="F426" t="s">
        <v>17</v>
      </c>
      <c r="G426">
        <v>5</v>
      </c>
      <c r="H426" t="s">
        <v>456</v>
      </c>
      <c r="I426" t="b">
        <v>0</v>
      </c>
      <c r="K426" s="10">
        <v>0.68125</v>
      </c>
      <c r="L426" s="10">
        <v>0.769444444444444</v>
      </c>
      <c r="M426">
        <v>127</v>
      </c>
      <c r="N426" t="b">
        <v>1</v>
      </c>
      <c r="O426" t="s">
        <v>23</v>
      </c>
    </row>
    <row r="427" spans="1:15">
      <c r="A427">
        <v>426</v>
      </c>
      <c r="B427" t="s">
        <v>676</v>
      </c>
      <c r="C427" t="s">
        <v>16</v>
      </c>
      <c r="D427" s="9">
        <v>31237</v>
      </c>
      <c r="E427">
        <v>39</v>
      </c>
      <c r="F427" t="s">
        <v>17</v>
      </c>
      <c r="G427">
        <v>2</v>
      </c>
      <c r="H427" t="s">
        <v>32</v>
      </c>
      <c r="I427" t="b">
        <v>0</v>
      </c>
      <c r="K427" s="10">
        <v>0.836111111111111</v>
      </c>
      <c r="L427" s="10">
        <v>0.913888888888889</v>
      </c>
      <c r="M427">
        <v>112</v>
      </c>
      <c r="N427" t="b">
        <v>0</v>
      </c>
    </row>
    <row r="428" spans="1:15">
      <c r="A428">
        <v>427</v>
      </c>
      <c r="B428" t="s">
        <v>677</v>
      </c>
      <c r="C428" t="s">
        <v>25</v>
      </c>
      <c r="D428" s="9">
        <v>40300</v>
      </c>
      <c r="E428">
        <v>14</v>
      </c>
      <c r="F428" t="s">
        <v>17</v>
      </c>
      <c r="G428">
        <v>3</v>
      </c>
      <c r="H428" t="s">
        <v>65</v>
      </c>
      <c r="I428" t="b">
        <v>0</v>
      </c>
      <c r="K428" s="10">
        <v>0.670138888888889</v>
      </c>
      <c r="L428" s="10">
        <v>0.74375</v>
      </c>
      <c r="M428">
        <v>106</v>
      </c>
      <c r="N428" t="b">
        <v>1</v>
      </c>
      <c r="O428" t="s">
        <v>28</v>
      </c>
    </row>
    <row r="429" spans="1:15">
      <c r="A429">
        <v>428</v>
      </c>
      <c r="B429" t="s">
        <v>678</v>
      </c>
      <c r="C429" t="s">
        <v>16</v>
      </c>
      <c r="D429" s="9">
        <v>39651</v>
      </c>
      <c r="E429">
        <v>16</v>
      </c>
      <c r="F429" t="s">
        <v>21</v>
      </c>
      <c r="G429">
        <v>3</v>
      </c>
      <c r="H429" t="s">
        <v>161</v>
      </c>
      <c r="I429" t="b">
        <v>1</v>
      </c>
      <c r="J429" t="s">
        <v>67</v>
      </c>
      <c r="K429" s="10">
        <v>0.5875</v>
      </c>
      <c r="L429" s="10">
        <v>0.623611111111111</v>
      </c>
      <c r="M429">
        <v>52</v>
      </c>
      <c r="N429" t="b">
        <v>0</v>
      </c>
    </row>
    <row r="430" spans="1:15">
      <c r="A430">
        <v>429</v>
      </c>
      <c r="B430" t="s">
        <v>679</v>
      </c>
      <c r="C430" t="s">
        <v>25</v>
      </c>
      <c r="D430" s="9">
        <v>34078</v>
      </c>
      <c r="E430">
        <v>31</v>
      </c>
      <c r="F430" t="s">
        <v>21</v>
      </c>
      <c r="G430">
        <v>2</v>
      </c>
      <c r="H430" t="s">
        <v>133</v>
      </c>
      <c r="I430" t="b">
        <v>1</v>
      </c>
      <c r="J430" t="s">
        <v>201</v>
      </c>
      <c r="K430" s="10">
        <v>0.747916666666667</v>
      </c>
      <c r="L430" s="10">
        <v>0.794444444444444</v>
      </c>
      <c r="M430">
        <v>67</v>
      </c>
      <c r="N430" t="b">
        <v>1</v>
      </c>
      <c r="O430" t="s">
        <v>47</v>
      </c>
    </row>
    <row r="431" spans="1:15">
      <c r="A431">
        <v>430</v>
      </c>
      <c r="B431" t="s">
        <v>680</v>
      </c>
      <c r="C431" t="s">
        <v>16</v>
      </c>
      <c r="D431" s="9">
        <v>36135</v>
      </c>
      <c r="E431">
        <v>25</v>
      </c>
      <c r="F431" t="s">
        <v>21</v>
      </c>
      <c r="G431">
        <v>2</v>
      </c>
      <c r="H431" t="s">
        <v>166</v>
      </c>
      <c r="I431" t="b">
        <v>0</v>
      </c>
      <c r="K431" s="10">
        <v>0.633333333333333</v>
      </c>
      <c r="L431" s="10">
        <v>0.74375</v>
      </c>
      <c r="M431">
        <v>159</v>
      </c>
      <c r="N431" t="b">
        <v>1</v>
      </c>
      <c r="O431" t="s">
        <v>23</v>
      </c>
    </row>
    <row r="432" spans="1:15">
      <c r="A432">
        <v>431</v>
      </c>
      <c r="B432" t="s">
        <v>681</v>
      </c>
      <c r="C432" t="s">
        <v>25</v>
      </c>
      <c r="D432" s="9">
        <v>34166</v>
      </c>
      <c r="E432">
        <v>31</v>
      </c>
      <c r="F432" t="s">
        <v>17</v>
      </c>
      <c r="G432">
        <v>2</v>
      </c>
      <c r="H432" t="s">
        <v>189</v>
      </c>
      <c r="I432" t="b">
        <v>1</v>
      </c>
      <c r="J432" t="s">
        <v>174</v>
      </c>
      <c r="K432" s="10">
        <v>0.667361111111111</v>
      </c>
      <c r="L432" s="10">
        <v>0.727083333333333</v>
      </c>
      <c r="M432">
        <v>86</v>
      </c>
      <c r="N432" t="b">
        <v>0</v>
      </c>
    </row>
    <row r="433" spans="1:15">
      <c r="A433">
        <v>432</v>
      </c>
      <c r="B433" t="s">
        <v>582</v>
      </c>
      <c r="C433" t="s">
        <v>25</v>
      </c>
      <c r="D433" s="9">
        <v>34344</v>
      </c>
      <c r="E433">
        <v>30</v>
      </c>
      <c r="F433" t="s">
        <v>21</v>
      </c>
      <c r="G433">
        <v>5</v>
      </c>
      <c r="H433" t="s">
        <v>347</v>
      </c>
      <c r="I433" t="b">
        <v>1</v>
      </c>
      <c r="J433" t="s">
        <v>131</v>
      </c>
      <c r="K433" s="10">
        <v>0.455555555555556</v>
      </c>
      <c r="L433" s="10">
        <v>0.563194444444444</v>
      </c>
      <c r="M433">
        <v>155</v>
      </c>
      <c r="N433" t="b">
        <v>1</v>
      </c>
      <c r="O433" t="s">
        <v>47</v>
      </c>
    </row>
    <row r="434" spans="1:15">
      <c r="A434">
        <v>433</v>
      </c>
      <c r="B434" t="s">
        <v>682</v>
      </c>
      <c r="C434" t="s">
        <v>16</v>
      </c>
      <c r="D434" s="9">
        <v>28153</v>
      </c>
      <c r="E434">
        <v>47</v>
      </c>
      <c r="F434" t="s">
        <v>17</v>
      </c>
      <c r="G434">
        <v>3</v>
      </c>
      <c r="H434" t="s">
        <v>245</v>
      </c>
      <c r="I434" t="b">
        <v>0</v>
      </c>
      <c r="K434" s="10">
        <v>0.61875</v>
      </c>
      <c r="L434" s="10">
        <v>0.721527777777778</v>
      </c>
      <c r="M434">
        <v>148</v>
      </c>
      <c r="N434" t="b">
        <v>0</v>
      </c>
    </row>
    <row r="435" spans="1:15">
      <c r="A435">
        <v>434</v>
      </c>
      <c r="B435" t="s">
        <v>683</v>
      </c>
      <c r="C435" t="s">
        <v>16</v>
      </c>
      <c r="D435" s="9">
        <v>34818</v>
      </c>
      <c r="E435">
        <v>29</v>
      </c>
      <c r="F435" t="s">
        <v>21</v>
      </c>
      <c r="G435">
        <v>5</v>
      </c>
      <c r="H435" t="s">
        <v>127</v>
      </c>
      <c r="I435" t="b">
        <v>0</v>
      </c>
      <c r="K435" s="10">
        <v>0.759722222222222</v>
      </c>
      <c r="L435" s="10">
        <v>0.880555555555556</v>
      </c>
      <c r="M435">
        <v>174</v>
      </c>
      <c r="N435" t="b">
        <v>0</v>
      </c>
    </row>
    <row r="436" spans="1:15">
      <c r="A436">
        <v>435</v>
      </c>
      <c r="B436" t="s">
        <v>684</v>
      </c>
      <c r="C436" t="s">
        <v>16</v>
      </c>
      <c r="D436" s="9">
        <v>29696</v>
      </c>
      <c r="E436">
        <v>43</v>
      </c>
      <c r="F436" t="s">
        <v>21</v>
      </c>
      <c r="G436">
        <v>1</v>
      </c>
      <c r="H436" t="s">
        <v>59</v>
      </c>
      <c r="I436" t="b">
        <v>1</v>
      </c>
      <c r="J436" t="s">
        <v>201</v>
      </c>
      <c r="K436" s="10">
        <v>0.613888888888889</v>
      </c>
      <c r="L436" s="10">
        <v>0.721527777777778</v>
      </c>
      <c r="M436">
        <v>155</v>
      </c>
      <c r="N436" t="b">
        <v>1</v>
      </c>
      <c r="O436" t="s">
        <v>23</v>
      </c>
    </row>
    <row r="437" spans="1:15">
      <c r="A437">
        <v>436</v>
      </c>
      <c r="B437" t="s">
        <v>685</v>
      </c>
      <c r="C437" t="s">
        <v>25</v>
      </c>
      <c r="D437" s="9">
        <v>37013</v>
      </c>
      <c r="E437">
        <v>23</v>
      </c>
      <c r="F437" t="s">
        <v>21</v>
      </c>
      <c r="G437">
        <v>1</v>
      </c>
      <c r="H437" t="s">
        <v>26</v>
      </c>
      <c r="I437" t="b">
        <v>0</v>
      </c>
      <c r="K437" s="10">
        <v>0.477777777777778</v>
      </c>
      <c r="L437" s="10">
        <v>0.54375</v>
      </c>
      <c r="M437">
        <v>95</v>
      </c>
      <c r="N437" t="b">
        <v>1</v>
      </c>
      <c r="O437" t="s">
        <v>28</v>
      </c>
    </row>
    <row r="438" spans="1:15">
      <c r="A438">
        <v>437</v>
      </c>
      <c r="B438" t="s">
        <v>686</v>
      </c>
      <c r="C438" t="s">
        <v>25</v>
      </c>
      <c r="D438" s="9">
        <v>35665</v>
      </c>
      <c r="E438">
        <v>27</v>
      </c>
      <c r="F438" t="s">
        <v>17</v>
      </c>
      <c r="G438">
        <v>2</v>
      </c>
      <c r="H438" t="s">
        <v>40</v>
      </c>
      <c r="I438" t="b">
        <v>1</v>
      </c>
      <c r="J438" t="s">
        <v>687</v>
      </c>
      <c r="K438" s="10">
        <v>0.686805555555556</v>
      </c>
      <c r="L438" s="10">
        <v>0.79375</v>
      </c>
      <c r="M438">
        <v>154</v>
      </c>
      <c r="N438" t="b">
        <v>0</v>
      </c>
    </row>
    <row r="439" spans="1:15">
      <c r="A439">
        <v>438</v>
      </c>
      <c r="B439" t="s">
        <v>688</v>
      </c>
      <c r="C439" t="s">
        <v>25</v>
      </c>
      <c r="D439" s="9">
        <v>32926</v>
      </c>
      <c r="E439">
        <v>34</v>
      </c>
      <c r="F439" t="s">
        <v>17</v>
      </c>
      <c r="G439">
        <v>2</v>
      </c>
      <c r="H439" t="s">
        <v>259</v>
      </c>
      <c r="I439" t="b">
        <v>0</v>
      </c>
      <c r="K439" s="10">
        <v>0.720833333333333</v>
      </c>
      <c r="L439" s="10">
        <v>0.832638888888889</v>
      </c>
      <c r="M439">
        <v>161</v>
      </c>
      <c r="N439" t="b">
        <v>1</v>
      </c>
      <c r="O439" t="s">
        <v>28</v>
      </c>
    </row>
    <row r="440" spans="1:15">
      <c r="A440">
        <v>439</v>
      </c>
      <c r="B440" t="s">
        <v>689</v>
      </c>
      <c r="C440" t="s">
        <v>25</v>
      </c>
      <c r="D440" s="9">
        <v>40897</v>
      </c>
      <c r="E440">
        <v>12</v>
      </c>
      <c r="F440" t="s">
        <v>21</v>
      </c>
      <c r="G440">
        <v>2</v>
      </c>
      <c r="H440" t="s">
        <v>69</v>
      </c>
      <c r="I440" t="b">
        <v>1</v>
      </c>
      <c r="J440" t="s">
        <v>19</v>
      </c>
      <c r="K440" s="10">
        <v>0.581944444444444</v>
      </c>
      <c r="L440" s="10">
        <v>0.672916666666667</v>
      </c>
      <c r="M440">
        <v>131</v>
      </c>
      <c r="N440" t="b">
        <v>1</v>
      </c>
      <c r="O440" t="s">
        <v>23</v>
      </c>
    </row>
    <row r="441" spans="1:15">
      <c r="A441">
        <v>440</v>
      </c>
      <c r="B441" t="s">
        <v>690</v>
      </c>
      <c r="C441" t="s">
        <v>25</v>
      </c>
      <c r="D441" s="9">
        <v>32047</v>
      </c>
      <c r="E441">
        <v>37</v>
      </c>
      <c r="F441" t="s">
        <v>17</v>
      </c>
      <c r="G441">
        <v>1</v>
      </c>
      <c r="H441" t="s">
        <v>81</v>
      </c>
      <c r="I441" t="b">
        <v>1</v>
      </c>
      <c r="J441" t="s">
        <v>691</v>
      </c>
      <c r="K441" s="10">
        <v>0.548611111111111</v>
      </c>
      <c r="L441" s="10">
        <v>0.652083333333333</v>
      </c>
      <c r="M441">
        <v>149</v>
      </c>
      <c r="N441" t="b">
        <v>0</v>
      </c>
    </row>
    <row r="442" spans="1:15">
      <c r="A442">
        <v>441</v>
      </c>
      <c r="B442" t="s">
        <v>692</v>
      </c>
      <c r="C442" t="s">
        <v>16</v>
      </c>
      <c r="D442" s="9">
        <v>31495</v>
      </c>
      <c r="E442">
        <v>38</v>
      </c>
      <c r="F442" t="s">
        <v>21</v>
      </c>
      <c r="G442">
        <v>3</v>
      </c>
      <c r="H442" t="s">
        <v>130</v>
      </c>
      <c r="I442" t="b">
        <v>1</v>
      </c>
      <c r="J442" t="s">
        <v>693</v>
      </c>
      <c r="K442" s="10">
        <v>0.695138888888889</v>
      </c>
      <c r="L442" s="10">
        <v>0.817361111111111</v>
      </c>
      <c r="M442">
        <v>176</v>
      </c>
      <c r="N442" t="b">
        <v>0</v>
      </c>
    </row>
    <row r="443" spans="1:15">
      <c r="A443">
        <v>442</v>
      </c>
      <c r="B443" t="s">
        <v>694</v>
      </c>
      <c r="C443" t="s">
        <v>16</v>
      </c>
      <c r="D443" s="9">
        <v>34471</v>
      </c>
      <c r="E443">
        <v>30</v>
      </c>
      <c r="F443" t="s">
        <v>21</v>
      </c>
      <c r="G443">
        <v>1</v>
      </c>
      <c r="H443" t="s">
        <v>81</v>
      </c>
      <c r="I443" t="b">
        <v>0</v>
      </c>
      <c r="K443" s="10">
        <v>0.588888888888889</v>
      </c>
      <c r="L443" s="10">
        <v>0.667361111111111</v>
      </c>
      <c r="M443">
        <v>113</v>
      </c>
      <c r="N443" t="b">
        <v>1</v>
      </c>
      <c r="O443" t="s">
        <v>50</v>
      </c>
    </row>
    <row r="444" spans="1:15">
      <c r="A444">
        <v>443</v>
      </c>
      <c r="B444" t="s">
        <v>695</v>
      </c>
      <c r="C444" t="s">
        <v>16</v>
      </c>
      <c r="D444" s="9">
        <v>36110</v>
      </c>
      <c r="E444">
        <v>25</v>
      </c>
      <c r="F444" t="s">
        <v>21</v>
      </c>
      <c r="G444">
        <v>2</v>
      </c>
      <c r="H444" t="s">
        <v>306</v>
      </c>
      <c r="I444" t="b">
        <v>1</v>
      </c>
      <c r="J444" t="s">
        <v>691</v>
      </c>
      <c r="K444" s="10">
        <v>0.582638888888889</v>
      </c>
      <c r="L444" s="10">
        <v>0.613194444444444</v>
      </c>
      <c r="M444">
        <v>44</v>
      </c>
      <c r="N444" t="b">
        <v>1</v>
      </c>
      <c r="O444" t="s">
        <v>47</v>
      </c>
    </row>
    <row r="445" spans="1:15">
      <c r="A445">
        <v>444</v>
      </c>
      <c r="B445" t="s">
        <v>696</v>
      </c>
      <c r="C445" t="s">
        <v>25</v>
      </c>
      <c r="D445" s="9">
        <v>27448</v>
      </c>
      <c r="E445">
        <v>49</v>
      </c>
      <c r="F445" t="s">
        <v>21</v>
      </c>
      <c r="G445">
        <v>2</v>
      </c>
      <c r="H445" t="s">
        <v>461</v>
      </c>
      <c r="I445" t="b">
        <v>0</v>
      </c>
      <c r="K445" s="10">
        <v>0.777777777777778</v>
      </c>
      <c r="L445" s="10">
        <v>0.885416666666667</v>
      </c>
      <c r="M445">
        <v>155</v>
      </c>
      <c r="N445" t="b">
        <v>1</v>
      </c>
      <c r="O445" t="s">
        <v>50</v>
      </c>
    </row>
    <row r="446" spans="1:15">
      <c r="A446">
        <v>445</v>
      </c>
      <c r="B446" t="s">
        <v>697</v>
      </c>
      <c r="C446" t="s">
        <v>16</v>
      </c>
      <c r="D446" s="9">
        <v>32609</v>
      </c>
      <c r="E446">
        <v>35</v>
      </c>
      <c r="F446" t="s">
        <v>17</v>
      </c>
      <c r="G446">
        <v>1</v>
      </c>
      <c r="H446" t="s">
        <v>26</v>
      </c>
      <c r="I446" t="b">
        <v>0</v>
      </c>
      <c r="K446" s="10">
        <v>0.508333333333333</v>
      </c>
      <c r="L446" s="10">
        <v>0.60625</v>
      </c>
      <c r="M446">
        <v>141</v>
      </c>
      <c r="N446" t="b">
        <v>0</v>
      </c>
    </row>
    <row r="447" spans="1:15">
      <c r="A447">
        <v>446</v>
      </c>
      <c r="B447" t="s">
        <v>698</v>
      </c>
      <c r="C447" t="s">
        <v>16</v>
      </c>
      <c r="D447" s="9">
        <v>30290</v>
      </c>
      <c r="E447">
        <v>41</v>
      </c>
      <c r="F447" t="s">
        <v>21</v>
      </c>
      <c r="G447">
        <v>2</v>
      </c>
      <c r="H447" t="s">
        <v>189</v>
      </c>
      <c r="I447" t="b">
        <v>1</v>
      </c>
      <c r="J447" t="s">
        <v>699</v>
      </c>
      <c r="K447" s="10">
        <v>0.5875</v>
      </c>
      <c r="L447" s="10">
        <v>0.706944444444444</v>
      </c>
      <c r="M447">
        <v>172</v>
      </c>
      <c r="N447" t="b">
        <v>1</v>
      </c>
      <c r="O447" t="s">
        <v>47</v>
      </c>
    </row>
    <row r="448" spans="1:15">
      <c r="A448">
        <v>447</v>
      </c>
      <c r="B448" t="s">
        <v>700</v>
      </c>
      <c r="C448" t="s">
        <v>25</v>
      </c>
      <c r="D448" s="9">
        <v>33337</v>
      </c>
      <c r="E448">
        <v>33</v>
      </c>
      <c r="F448" t="s">
        <v>17</v>
      </c>
      <c r="G448">
        <v>3</v>
      </c>
      <c r="H448" t="s">
        <v>57</v>
      </c>
      <c r="I448" t="b">
        <v>0</v>
      </c>
      <c r="K448" s="10">
        <v>0.384722222222222</v>
      </c>
      <c r="L448" s="10">
        <v>0.433333333333333</v>
      </c>
      <c r="M448">
        <v>70</v>
      </c>
      <c r="N448" t="b">
        <v>0</v>
      </c>
    </row>
    <row r="449" spans="1:15">
      <c r="A449">
        <v>448</v>
      </c>
      <c r="B449" t="s">
        <v>701</v>
      </c>
      <c r="C449" t="s">
        <v>16</v>
      </c>
      <c r="D449" s="9">
        <v>35624</v>
      </c>
      <c r="E449">
        <v>27</v>
      </c>
      <c r="F449" t="s">
        <v>17</v>
      </c>
      <c r="G449">
        <v>2</v>
      </c>
      <c r="H449" t="s">
        <v>461</v>
      </c>
      <c r="I449" t="b">
        <v>0</v>
      </c>
      <c r="K449" s="10">
        <v>0.723611111111111</v>
      </c>
      <c r="L449" s="10">
        <v>0.752777777777778</v>
      </c>
      <c r="M449">
        <v>42</v>
      </c>
      <c r="N449" t="b">
        <v>0</v>
      </c>
    </row>
    <row r="450" spans="1:15">
      <c r="A450">
        <v>449</v>
      </c>
      <c r="B450" t="s">
        <v>702</v>
      </c>
      <c r="C450" t="s">
        <v>16</v>
      </c>
      <c r="D450" s="9">
        <v>38921</v>
      </c>
      <c r="E450">
        <v>18</v>
      </c>
      <c r="F450" t="s">
        <v>21</v>
      </c>
      <c r="G450">
        <v>3</v>
      </c>
      <c r="H450" t="s">
        <v>266</v>
      </c>
      <c r="I450" t="b">
        <v>1</v>
      </c>
      <c r="J450" t="s">
        <v>83</v>
      </c>
      <c r="K450" s="10">
        <v>0.779861111111111</v>
      </c>
      <c r="L450" s="10">
        <v>0.870138888888889</v>
      </c>
      <c r="M450">
        <v>130</v>
      </c>
      <c r="N450" t="b">
        <v>0</v>
      </c>
    </row>
    <row r="451" spans="1:15">
      <c r="A451">
        <v>450</v>
      </c>
      <c r="B451" t="s">
        <v>703</v>
      </c>
      <c r="C451" t="s">
        <v>25</v>
      </c>
      <c r="D451" s="9">
        <v>38892</v>
      </c>
      <c r="E451">
        <v>18</v>
      </c>
      <c r="F451" t="s">
        <v>17</v>
      </c>
      <c r="G451">
        <v>4</v>
      </c>
      <c r="H451" t="s">
        <v>704</v>
      </c>
      <c r="I451" t="b">
        <v>1</v>
      </c>
      <c r="J451" t="s">
        <v>705</v>
      </c>
      <c r="K451" s="10">
        <v>0.797222222222222</v>
      </c>
      <c r="L451" s="10">
        <v>0.847916666666667</v>
      </c>
      <c r="M451">
        <v>73</v>
      </c>
      <c r="N451" t="b">
        <v>0</v>
      </c>
    </row>
    <row r="452" spans="1:15">
      <c r="A452">
        <v>451</v>
      </c>
      <c r="B452" t="s">
        <v>706</v>
      </c>
      <c r="C452" t="s">
        <v>16</v>
      </c>
      <c r="D452" s="9">
        <v>34433</v>
      </c>
      <c r="E452">
        <v>30</v>
      </c>
      <c r="F452" t="s">
        <v>17</v>
      </c>
      <c r="G452">
        <v>4</v>
      </c>
      <c r="H452" t="s">
        <v>18</v>
      </c>
      <c r="I452" t="b">
        <v>1</v>
      </c>
      <c r="J452" t="s">
        <v>44</v>
      </c>
      <c r="K452" s="10">
        <v>0.602083333333333</v>
      </c>
      <c r="L452" s="10">
        <v>0.709027777777778</v>
      </c>
      <c r="M452">
        <v>154</v>
      </c>
      <c r="N452" t="b">
        <v>1</v>
      </c>
      <c r="O452" t="s">
        <v>47</v>
      </c>
    </row>
    <row r="453" spans="1:15">
      <c r="A453">
        <v>452</v>
      </c>
      <c r="B453" t="s">
        <v>707</v>
      </c>
      <c r="C453" t="s">
        <v>16</v>
      </c>
      <c r="D453" s="9">
        <v>31214</v>
      </c>
      <c r="E453">
        <v>39</v>
      </c>
      <c r="F453" t="s">
        <v>21</v>
      </c>
      <c r="G453">
        <v>4</v>
      </c>
      <c r="H453" t="s">
        <v>593</v>
      </c>
      <c r="I453" t="b">
        <v>1</v>
      </c>
      <c r="J453" t="s">
        <v>708</v>
      </c>
      <c r="K453" s="10">
        <v>0.68125</v>
      </c>
      <c r="L453" s="10">
        <v>0.79375</v>
      </c>
      <c r="M453">
        <v>162</v>
      </c>
      <c r="N453" t="b">
        <v>1</v>
      </c>
      <c r="O453" t="s">
        <v>47</v>
      </c>
    </row>
    <row r="454" spans="1:15">
      <c r="A454">
        <v>453</v>
      </c>
      <c r="B454" t="s">
        <v>709</v>
      </c>
      <c r="C454" t="s">
        <v>16</v>
      </c>
      <c r="D454" s="9">
        <v>34418</v>
      </c>
      <c r="E454">
        <v>30</v>
      </c>
      <c r="F454" t="s">
        <v>21</v>
      </c>
      <c r="G454">
        <v>3</v>
      </c>
      <c r="H454" t="s">
        <v>150</v>
      </c>
      <c r="I454" t="b">
        <v>1</v>
      </c>
      <c r="J454" t="s">
        <v>710</v>
      </c>
      <c r="K454" s="10">
        <v>0.775</v>
      </c>
      <c r="L454" s="10">
        <v>0.815972222222222</v>
      </c>
      <c r="M454">
        <v>59</v>
      </c>
      <c r="N454" t="b">
        <v>1</v>
      </c>
      <c r="O454" t="s">
        <v>47</v>
      </c>
    </row>
    <row r="455" spans="1:15">
      <c r="A455">
        <v>454</v>
      </c>
      <c r="B455" t="s">
        <v>711</v>
      </c>
      <c r="C455" t="s">
        <v>16</v>
      </c>
      <c r="D455" s="9">
        <v>36170</v>
      </c>
      <c r="E455">
        <v>25</v>
      </c>
      <c r="F455" t="s">
        <v>17</v>
      </c>
      <c r="G455">
        <v>4</v>
      </c>
      <c r="H455" t="s">
        <v>439</v>
      </c>
      <c r="I455" t="b">
        <v>1</v>
      </c>
      <c r="J455" t="s">
        <v>217</v>
      </c>
      <c r="K455" s="10">
        <v>0.759722222222222</v>
      </c>
      <c r="L455" s="10">
        <v>0.872222222222222</v>
      </c>
      <c r="M455">
        <v>162</v>
      </c>
      <c r="N455" t="b">
        <v>1</v>
      </c>
      <c r="O455" t="s">
        <v>23</v>
      </c>
    </row>
    <row r="456" spans="1:15">
      <c r="A456">
        <v>455</v>
      </c>
      <c r="B456" t="s">
        <v>712</v>
      </c>
      <c r="C456" t="s">
        <v>16</v>
      </c>
      <c r="D456" s="9">
        <v>39587</v>
      </c>
      <c r="E456">
        <v>16</v>
      </c>
      <c r="F456" t="s">
        <v>21</v>
      </c>
      <c r="G456">
        <v>1</v>
      </c>
      <c r="H456" t="s">
        <v>59</v>
      </c>
      <c r="I456" t="b">
        <v>1</v>
      </c>
      <c r="J456" t="s">
        <v>89</v>
      </c>
      <c r="K456" s="10">
        <v>0.834722222222222</v>
      </c>
      <c r="L456" s="10">
        <v>0.886805555555556</v>
      </c>
      <c r="M456">
        <v>75</v>
      </c>
      <c r="N456" t="b">
        <v>1</v>
      </c>
      <c r="O456" t="s">
        <v>28</v>
      </c>
    </row>
    <row r="457" spans="1:15">
      <c r="A457">
        <v>456</v>
      </c>
      <c r="B457" t="s">
        <v>713</v>
      </c>
      <c r="C457" t="s">
        <v>25</v>
      </c>
      <c r="D457" s="9">
        <v>34329</v>
      </c>
      <c r="E457">
        <v>30</v>
      </c>
      <c r="F457" t="s">
        <v>21</v>
      </c>
      <c r="G457">
        <v>3</v>
      </c>
      <c r="H457" t="s">
        <v>116</v>
      </c>
      <c r="I457" t="b">
        <v>1</v>
      </c>
      <c r="J457" t="s">
        <v>714</v>
      </c>
      <c r="K457" s="10">
        <v>0.621527777777778</v>
      </c>
      <c r="L457" s="10">
        <v>0.64375</v>
      </c>
      <c r="M457">
        <v>32</v>
      </c>
      <c r="N457" t="b">
        <v>1</v>
      </c>
      <c r="O457" t="s">
        <v>23</v>
      </c>
    </row>
    <row r="458" spans="1:15">
      <c r="A458">
        <v>457</v>
      </c>
      <c r="B458" t="s">
        <v>715</v>
      </c>
      <c r="C458" t="s">
        <v>16</v>
      </c>
      <c r="D458" s="9">
        <v>30394</v>
      </c>
      <c r="E458">
        <v>41</v>
      </c>
      <c r="F458" t="s">
        <v>17</v>
      </c>
      <c r="G458">
        <v>1</v>
      </c>
      <c r="H458" t="s">
        <v>59</v>
      </c>
      <c r="I458" t="b">
        <v>0</v>
      </c>
      <c r="K458" s="10">
        <v>0.68125</v>
      </c>
      <c r="L458" s="10">
        <v>0.713194444444444</v>
      </c>
      <c r="M458">
        <v>46</v>
      </c>
      <c r="N458" t="b">
        <v>1</v>
      </c>
      <c r="O458" t="s">
        <v>50</v>
      </c>
    </row>
    <row r="459" spans="1:15">
      <c r="A459">
        <v>458</v>
      </c>
      <c r="B459" t="s">
        <v>716</v>
      </c>
      <c r="C459" t="s">
        <v>16</v>
      </c>
      <c r="D459" s="9">
        <v>31457</v>
      </c>
      <c r="E459">
        <v>38</v>
      </c>
      <c r="F459" t="s">
        <v>21</v>
      </c>
      <c r="G459">
        <v>3</v>
      </c>
      <c r="H459" t="s">
        <v>164</v>
      </c>
      <c r="I459" t="b">
        <v>1</v>
      </c>
      <c r="J459" t="s">
        <v>717</v>
      </c>
      <c r="K459" s="10">
        <v>0.484027777777778</v>
      </c>
      <c r="L459" s="10">
        <v>0.542361111111111</v>
      </c>
      <c r="M459">
        <v>84</v>
      </c>
      <c r="N459" t="b">
        <v>1</v>
      </c>
      <c r="O459" t="s">
        <v>47</v>
      </c>
    </row>
    <row r="460" spans="1:15">
      <c r="A460">
        <v>459</v>
      </c>
      <c r="B460" t="s">
        <v>718</v>
      </c>
      <c r="C460" t="s">
        <v>25</v>
      </c>
      <c r="D460" s="9">
        <v>28551</v>
      </c>
      <c r="E460">
        <v>46</v>
      </c>
      <c r="F460" t="s">
        <v>21</v>
      </c>
      <c r="G460">
        <v>3</v>
      </c>
      <c r="H460" t="s">
        <v>130</v>
      </c>
      <c r="I460" t="b">
        <v>0</v>
      </c>
      <c r="K460" s="10">
        <v>0.769444444444444</v>
      </c>
      <c r="L460" s="10">
        <v>0.873611111111111</v>
      </c>
      <c r="M460">
        <v>150</v>
      </c>
      <c r="N460" t="b">
        <v>1</v>
      </c>
      <c r="O460" t="s">
        <v>47</v>
      </c>
    </row>
    <row r="461" spans="1:15">
      <c r="A461">
        <v>460</v>
      </c>
      <c r="B461" t="s">
        <v>719</v>
      </c>
      <c r="C461" t="s">
        <v>16</v>
      </c>
      <c r="D461" s="9">
        <v>35053</v>
      </c>
      <c r="E461">
        <v>28</v>
      </c>
      <c r="F461" t="s">
        <v>17</v>
      </c>
      <c r="G461">
        <v>4</v>
      </c>
      <c r="H461" t="s">
        <v>430</v>
      </c>
      <c r="I461" t="b">
        <v>0</v>
      </c>
      <c r="K461" s="10">
        <v>0.390277777777778</v>
      </c>
      <c r="L461" s="10">
        <v>0.478472222222222</v>
      </c>
      <c r="M461">
        <v>127</v>
      </c>
      <c r="N461" t="b">
        <v>1</v>
      </c>
      <c r="O461" t="s">
        <v>47</v>
      </c>
    </row>
    <row r="462" spans="1:15">
      <c r="A462">
        <v>461</v>
      </c>
      <c r="B462" t="s">
        <v>720</v>
      </c>
      <c r="C462" t="s">
        <v>25</v>
      </c>
      <c r="D462" s="9">
        <v>39987</v>
      </c>
      <c r="E462">
        <v>15</v>
      </c>
      <c r="F462" t="s">
        <v>17</v>
      </c>
      <c r="G462">
        <v>2</v>
      </c>
      <c r="H462" t="s">
        <v>166</v>
      </c>
      <c r="I462" t="b">
        <v>1</v>
      </c>
      <c r="J462" t="s">
        <v>721</v>
      </c>
      <c r="K462" s="10">
        <v>0.796527777777778</v>
      </c>
      <c r="L462" s="10">
        <v>0.846527777777778</v>
      </c>
      <c r="M462">
        <v>72</v>
      </c>
      <c r="N462" t="b">
        <v>0</v>
      </c>
    </row>
    <row r="463" spans="1:15">
      <c r="A463">
        <v>462</v>
      </c>
      <c r="B463" t="s">
        <v>722</v>
      </c>
      <c r="C463" t="s">
        <v>25</v>
      </c>
      <c r="D463" s="9">
        <v>36312</v>
      </c>
      <c r="E463">
        <v>25</v>
      </c>
      <c r="F463" t="s">
        <v>17</v>
      </c>
      <c r="G463">
        <v>2</v>
      </c>
      <c r="H463" t="s">
        <v>133</v>
      </c>
      <c r="I463" t="b">
        <v>0</v>
      </c>
      <c r="K463" s="10">
        <v>0.454861111111111</v>
      </c>
      <c r="L463" s="10">
        <v>0.577083333333333</v>
      </c>
      <c r="M463">
        <v>176</v>
      </c>
      <c r="N463" t="b">
        <v>0</v>
      </c>
    </row>
    <row r="464" spans="1:15">
      <c r="A464">
        <v>463</v>
      </c>
      <c r="B464" t="s">
        <v>723</v>
      </c>
      <c r="C464" t="s">
        <v>16</v>
      </c>
      <c r="D464" s="9">
        <v>38829</v>
      </c>
      <c r="E464">
        <v>18</v>
      </c>
      <c r="F464" t="s">
        <v>21</v>
      </c>
      <c r="G464">
        <v>2</v>
      </c>
      <c r="H464" t="s">
        <v>461</v>
      </c>
      <c r="I464" t="b">
        <v>0</v>
      </c>
      <c r="K464" s="10">
        <v>0.760416666666667</v>
      </c>
      <c r="L464" s="10">
        <v>0.788194444444445</v>
      </c>
      <c r="M464">
        <v>40</v>
      </c>
      <c r="N464" t="b">
        <v>0</v>
      </c>
    </row>
    <row r="465" spans="1:15">
      <c r="A465">
        <v>464</v>
      </c>
      <c r="B465" t="s">
        <v>724</v>
      </c>
      <c r="C465" t="s">
        <v>16</v>
      </c>
      <c r="D465" s="9">
        <v>31675</v>
      </c>
      <c r="E465">
        <v>38</v>
      </c>
      <c r="F465" t="s">
        <v>17</v>
      </c>
      <c r="G465">
        <v>4</v>
      </c>
      <c r="H465" t="s">
        <v>725</v>
      </c>
      <c r="I465" t="b">
        <v>1</v>
      </c>
      <c r="J465" t="s">
        <v>139</v>
      </c>
      <c r="K465" s="10">
        <v>0.870833333333333</v>
      </c>
      <c r="L465" s="10">
        <v>0.904861111111111</v>
      </c>
      <c r="M465">
        <v>49</v>
      </c>
      <c r="N465" t="b">
        <v>1</v>
      </c>
      <c r="O465" t="s">
        <v>50</v>
      </c>
    </row>
    <row r="466" spans="1:15">
      <c r="A466">
        <v>465</v>
      </c>
      <c r="B466" t="s">
        <v>726</v>
      </c>
      <c r="C466" t="s">
        <v>16</v>
      </c>
      <c r="D466" s="9">
        <v>37193</v>
      </c>
      <c r="E466">
        <v>22</v>
      </c>
      <c r="F466" t="s">
        <v>21</v>
      </c>
      <c r="G466">
        <v>4</v>
      </c>
      <c r="H466" t="s">
        <v>506</v>
      </c>
      <c r="I466" t="b">
        <v>0</v>
      </c>
      <c r="K466" s="10">
        <v>0.60625</v>
      </c>
      <c r="L466" s="10">
        <v>0.667361111111111</v>
      </c>
      <c r="M466">
        <v>88</v>
      </c>
      <c r="N466" t="b">
        <v>0</v>
      </c>
    </row>
    <row r="467" spans="1:15">
      <c r="A467">
        <v>466</v>
      </c>
      <c r="B467" t="s">
        <v>727</v>
      </c>
      <c r="C467" t="s">
        <v>16</v>
      </c>
      <c r="D467" s="9">
        <v>29233</v>
      </c>
      <c r="E467">
        <v>44</v>
      </c>
      <c r="F467" t="s">
        <v>17</v>
      </c>
      <c r="G467">
        <v>3</v>
      </c>
      <c r="H467" t="s">
        <v>74</v>
      </c>
      <c r="I467" t="b">
        <v>0</v>
      </c>
      <c r="K467" s="10">
        <v>0.740972222222222</v>
      </c>
      <c r="L467" s="10">
        <v>0.854166666666667</v>
      </c>
      <c r="M467">
        <v>163</v>
      </c>
      <c r="N467" t="b">
        <v>1</v>
      </c>
      <c r="O467" t="s">
        <v>47</v>
      </c>
    </row>
    <row r="468" spans="1:15">
      <c r="A468">
        <v>467</v>
      </c>
      <c r="B468" t="s">
        <v>728</v>
      </c>
      <c r="C468" t="s">
        <v>25</v>
      </c>
      <c r="D468" s="9">
        <v>40205</v>
      </c>
      <c r="E468">
        <v>14</v>
      </c>
      <c r="F468" t="s">
        <v>17</v>
      </c>
      <c r="G468">
        <v>5</v>
      </c>
      <c r="H468" t="s">
        <v>104</v>
      </c>
      <c r="I468" t="b">
        <v>1</v>
      </c>
      <c r="J468" t="s">
        <v>729</v>
      </c>
      <c r="K468" s="10">
        <v>0.350694444444444</v>
      </c>
      <c r="L468" s="10">
        <v>0.43125</v>
      </c>
      <c r="M468">
        <v>116</v>
      </c>
      <c r="N468" t="b">
        <v>1</v>
      </c>
      <c r="O468" t="s">
        <v>28</v>
      </c>
    </row>
    <row r="469" spans="1:15">
      <c r="A469">
        <v>468</v>
      </c>
      <c r="B469" t="s">
        <v>730</v>
      </c>
      <c r="C469" t="s">
        <v>16</v>
      </c>
      <c r="D469" s="9">
        <v>30344</v>
      </c>
      <c r="E469">
        <v>41</v>
      </c>
      <c r="F469" t="s">
        <v>17</v>
      </c>
      <c r="G469">
        <v>3</v>
      </c>
      <c r="H469" t="s">
        <v>159</v>
      </c>
      <c r="I469" t="b">
        <v>0</v>
      </c>
      <c r="K469" s="10">
        <v>0.413888888888889</v>
      </c>
      <c r="L469" s="10">
        <v>0.444444444444444</v>
      </c>
      <c r="M469">
        <v>44</v>
      </c>
      <c r="N469" t="b">
        <v>1</v>
      </c>
      <c r="O469" t="s">
        <v>23</v>
      </c>
    </row>
    <row r="470" spans="1:15">
      <c r="A470">
        <v>469</v>
      </c>
      <c r="B470" t="s">
        <v>731</v>
      </c>
      <c r="C470" t="s">
        <v>25</v>
      </c>
      <c r="D470" s="9">
        <v>33045</v>
      </c>
      <c r="E470">
        <v>34</v>
      </c>
      <c r="F470" t="s">
        <v>17</v>
      </c>
      <c r="G470">
        <v>2</v>
      </c>
      <c r="H470" t="s">
        <v>55</v>
      </c>
      <c r="I470" t="b">
        <v>1</v>
      </c>
      <c r="J470" t="s">
        <v>660</v>
      </c>
      <c r="K470" s="10">
        <v>0.56875</v>
      </c>
      <c r="L470" s="10">
        <v>0.681944444444444</v>
      </c>
      <c r="M470">
        <v>163</v>
      </c>
      <c r="N470" t="b">
        <v>1</v>
      </c>
      <c r="O470" t="s">
        <v>47</v>
      </c>
    </row>
    <row r="471" spans="1:15">
      <c r="A471">
        <v>470</v>
      </c>
      <c r="B471" t="s">
        <v>732</v>
      </c>
      <c r="C471" t="s">
        <v>25</v>
      </c>
      <c r="D471" s="9">
        <v>36075</v>
      </c>
      <c r="E471">
        <v>25</v>
      </c>
      <c r="F471" t="s">
        <v>17</v>
      </c>
      <c r="G471">
        <v>1</v>
      </c>
      <c r="H471" t="s">
        <v>59</v>
      </c>
      <c r="I471" t="b">
        <v>1</v>
      </c>
      <c r="J471" t="s">
        <v>654</v>
      </c>
      <c r="K471" s="10">
        <v>0.53125</v>
      </c>
      <c r="L471" s="10">
        <v>0.586805555555556</v>
      </c>
      <c r="M471">
        <v>80</v>
      </c>
      <c r="N471" t="b">
        <v>1</v>
      </c>
      <c r="O471" t="s">
        <v>23</v>
      </c>
    </row>
    <row r="472" spans="1:15">
      <c r="A472">
        <v>471</v>
      </c>
      <c r="B472" t="s">
        <v>733</v>
      </c>
      <c r="C472" t="s">
        <v>16</v>
      </c>
      <c r="D472" s="9">
        <v>27873</v>
      </c>
      <c r="E472">
        <v>48</v>
      </c>
      <c r="F472" t="s">
        <v>21</v>
      </c>
      <c r="G472">
        <v>1</v>
      </c>
      <c r="H472" t="s">
        <v>26</v>
      </c>
      <c r="I472" t="b">
        <v>0</v>
      </c>
      <c r="K472" s="10">
        <v>0.445833333333333</v>
      </c>
      <c r="L472" s="10">
        <v>0.541666666666667</v>
      </c>
      <c r="M472">
        <v>138</v>
      </c>
      <c r="N472" t="b">
        <v>1</v>
      </c>
      <c r="O472" t="s">
        <v>23</v>
      </c>
    </row>
    <row r="473" spans="1:15">
      <c r="A473">
        <v>472</v>
      </c>
      <c r="B473" t="s">
        <v>734</v>
      </c>
      <c r="C473" t="s">
        <v>25</v>
      </c>
      <c r="D473" s="9">
        <v>28857</v>
      </c>
      <c r="E473">
        <v>45</v>
      </c>
      <c r="F473" t="s">
        <v>21</v>
      </c>
      <c r="G473">
        <v>1</v>
      </c>
      <c r="H473" t="s">
        <v>35</v>
      </c>
      <c r="I473" t="b">
        <v>1</v>
      </c>
      <c r="J473" t="s">
        <v>610</v>
      </c>
      <c r="K473" s="10">
        <v>0.396527777777778</v>
      </c>
      <c r="L473" s="10">
        <v>0.423611111111111</v>
      </c>
      <c r="M473">
        <v>39</v>
      </c>
      <c r="N473" t="b">
        <v>0</v>
      </c>
    </row>
    <row r="474" spans="1:15">
      <c r="A474">
        <v>473</v>
      </c>
      <c r="B474" t="s">
        <v>735</v>
      </c>
      <c r="C474" t="s">
        <v>25</v>
      </c>
      <c r="D474" s="9">
        <v>37943</v>
      </c>
      <c r="E474">
        <v>20</v>
      </c>
      <c r="F474" t="s">
        <v>21</v>
      </c>
      <c r="G474">
        <v>4</v>
      </c>
      <c r="H474" t="s">
        <v>672</v>
      </c>
      <c r="I474" t="b">
        <v>1</v>
      </c>
      <c r="J474" t="s">
        <v>736</v>
      </c>
      <c r="K474" s="10">
        <v>0.406944444444444</v>
      </c>
      <c r="L474" s="10">
        <v>0.488194444444444</v>
      </c>
      <c r="M474">
        <v>117</v>
      </c>
      <c r="N474" t="b">
        <v>1</v>
      </c>
      <c r="O474" t="s">
        <v>28</v>
      </c>
    </row>
    <row r="475" spans="1:15">
      <c r="A475">
        <v>474</v>
      </c>
      <c r="B475" t="s">
        <v>737</v>
      </c>
      <c r="C475" t="s">
        <v>25</v>
      </c>
      <c r="D475" s="9">
        <v>33453</v>
      </c>
      <c r="E475">
        <v>33</v>
      </c>
      <c r="F475" t="s">
        <v>21</v>
      </c>
      <c r="G475">
        <v>3</v>
      </c>
      <c r="H475" t="s">
        <v>504</v>
      </c>
      <c r="I475" t="b">
        <v>1</v>
      </c>
      <c r="J475" t="s">
        <v>738</v>
      </c>
      <c r="K475" s="10">
        <v>0.707638888888889</v>
      </c>
      <c r="L475" s="10">
        <v>0.809027777777778</v>
      </c>
      <c r="M475">
        <v>146</v>
      </c>
      <c r="N475" t="b">
        <v>1</v>
      </c>
      <c r="O475" t="s">
        <v>47</v>
      </c>
    </row>
    <row r="476" spans="1:15">
      <c r="A476">
        <v>475</v>
      </c>
      <c r="B476" t="s">
        <v>739</v>
      </c>
      <c r="C476" t="s">
        <v>25</v>
      </c>
      <c r="D476" s="9">
        <v>36985</v>
      </c>
      <c r="E476">
        <v>23</v>
      </c>
      <c r="F476" t="s">
        <v>21</v>
      </c>
      <c r="G476">
        <v>2</v>
      </c>
      <c r="H476" t="s">
        <v>187</v>
      </c>
      <c r="I476" t="b">
        <v>0</v>
      </c>
      <c r="K476" s="10">
        <v>0.497222222222222</v>
      </c>
      <c r="L476" s="10">
        <v>0.542361111111111</v>
      </c>
      <c r="M476">
        <v>65</v>
      </c>
      <c r="N476" t="b">
        <v>1</v>
      </c>
      <c r="O476" t="s">
        <v>47</v>
      </c>
    </row>
    <row r="477" spans="1:15">
      <c r="A477">
        <v>476</v>
      </c>
      <c r="B477" t="s">
        <v>740</v>
      </c>
      <c r="C477" t="s">
        <v>25</v>
      </c>
      <c r="D477" s="9">
        <v>37081</v>
      </c>
      <c r="E477">
        <v>23</v>
      </c>
      <c r="F477" t="s">
        <v>21</v>
      </c>
      <c r="G477">
        <v>2</v>
      </c>
      <c r="H477" t="s">
        <v>272</v>
      </c>
      <c r="I477" t="b">
        <v>1</v>
      </c>
      <c r="J477" t="s">
        <v>741</v>
      </c>
      <c r="K477" s="10">
        <v>0.734027777777778</v>
      </c>
      <c r="L477" s="10">
        <v>0.823611111111111</v>
      </c>
      <c r="M477">
        <v>129</v>
      </c>
      <c r="N477" t="b">
        <v>1</v>
      </c>
      <c r="O477" t="s">
        <v>28</v>
      </c>
    </row>
    <row r="478" spans="1:15">
      <c r="A478">
        <v>477</v>
      </c>
      <c r="B478" t="s">
        <v>742</v>
      </c>
      <c r="C478" t="s">
        <v>16</v>
      </c>
      <c r="D478" s="9">
        <v>37324</v>
      </c>
      <c r="E478">
        <v>22</v>
      </c>
      <c r="F478" t="s">
        <v>17</v>
      </c>
      <c r="G478">
        <v>1</v>
      </c>
      <c r="H478" t="s">
        <v>26</v>
      </c>
      <c r="I478" t="b">
        <v>0</v>
      </c>
      <c r="K478" s="10">
        <v>0.404861111111111</v>
      </c>
      <c r="L478" s="10">
        <v>0.520138888888889</v>
      </c>
      <c r="M478">
        <v>166</v>
      </c>
      <c r="N478" t="b">
        <v>0</v>
      </c>
    </row>
    <row r="479" spans="1:15">
      <c r="A479">
        <v>478</v>
      </c>
      <c r="B479" t="s">
        <v>743</v>
      </c>
      <c r="C479" t="s">
        <v>16</v>
      </c>
      <c r="D479" s="9">
        <v>29525</v>
      </c>
      <c r="E479">
        <v>43</v>
      </c>
      <c r="F479" t="s">
        <v>21</v>
      </c>
      <c r="G479">
        <v>3</v>
      </c>
      <c r="H479" t="s">
        <v>92</v>
      </c>
      <c r="I479" t="b">
        <v>0</v>
      </c>
      <c r="K479" s="10">
        <v>0.497222222222222</v>
      </c>
      <c r="L479" s="10">
        <v>0.530555555555556</v>
      </c>
      <c r="M479">
        <v>48</v>
      </c>
      <c r="N479" t="b">
        <v>1</v>
      </c>
      <c r="O479" t="s">
        <v>28</v>
      </c>
    </row>
    <row r="480" spans="1:15">
      <c r="A480">
        <v>479</v>
      </c>
      <c r="B480" t="s">
        <v>744</v>
      </c>
      <c r="C480" t="s">
        <v>25</v>
      </c>
      <c r="D480" s="9">
        <v>40260</v>
      </c>
      <c r="E480">
        <v>14</v>
      </c>
      <c r="F480" t="s">
        <v>17</v>
      </c>
      <c r="G480">
        <v>2</v>
      </c>
      <c r="H480" t="s">
        <v>306</v>
      </c>
      <c r="I480" t="b">
        <v>0</v>
      </c>
      <c r="K480" s="10">
        <v>0.515972222222222</v>
      </c>
      <c r="L480" s="10">
        <v>0.621527777777778</v>
      </c>
      <c r="M480">
        <v>152</v>
      </c>
      <c r="N480" t="b">
        <v>1</v>
      </c>
      <c r="O480" t="s">
        <v>23</v>
      </c>
    </row>
    <row r="481" spans="1:15">
      <c r="A481">
        <v>480</v>
      </c>
      <c r="B481" t="s">
        <v>745</v>
      </c>
      <c r="C481" t="s">
        <v>25</v>
      </c>
      <c r="D481" s="9">
        <v>36732</v>
      </c>
      <c r="E481">
        <v>24</v>
      </c>
      <c r="F481" t="s">
        <v>17</v>
      </c>
      <c r="G481">
        <v>2</v>
      </c>
      <c r="H481" t="s">
        <v>203</v>
      </c>
      <c r="I481" t="b">
        <v>1</v>
      </c>
      <c r="J481" t="s">
        <v>746</v>
      </c>
      <c r="K481" s="10">
        <v>0.490277777777778</v>
      </c>
      <c r="L481" s="10">
        <v>0.578472222222222</v>
      </c>
      <c r="M481">
        <v>127</v>
      </c>
      <c r="N481" t="b">
        <v>0</v>
      </c>
    </row>
    <row r="482" spans="1:15">
      <c r="A482">
        <v>481</v>
      </c>
      <c r="B482" t="s">
        <v>747</v>
      </c>
      <c r="C482" t="s">
        <v>16</v>
      </c>
      <c r="D482" s="9">
        <v>28940</v>
      </c>
      <c r="E482">
        <v>45</v>
      </c>
      <c r="F482" t="s">
        <v>21</v>
      </c>
      <c r="G482">
        <v>1</v>
      </c>
      <c r="H482" t="s">
        <v>26</v>
      </c>
      <c r="I482" t="b">
        <v>0</v>
      </c>
      <c r="K482" s="10">
        <v>0.861111111111111</v>
      </c>
      <c r="L482" s="10">
        <v>0.936111111111111</v>
      </c>
      <c r="M482">
        <v>108</v>
      </c>
      <c r="N482" t="b">
        <v>0</v>
      </c>
    </row>
    <row r="483" spans="1:15">
      <c r="A483">
        <v>482</v>
      </c>
      <c r="B483" t="s">
        <v>748</v>
      </c>
      <c r="C483" t="s">
        <v>25</v>
      </c>
      <c r="D483" s="9">
        <v>38560</v>
      </c>
      <c r="E483">
        <v>19</v>
      </c>
      <c r="F483" t="s">
        <v>17</v>
      </c>
      <c r="G483">
        <v>2</v>
      </c>
      <c r="H483" t="s">
        <v>189</v>
      </c>
      <c r="I483" t="b">
        <v>1</v>
      </c>
      <c r="J483" t="s">
        <v>114</v>
      </c>
      <c r="K483" s="10">
        <v>0.534722222222222</v>
      </c>
      <c r="L483" s="10">
        <v>0.561805555555556</v>
      </c>
      <c r="M483">
        <v>39</v>
      </c>
      <c r="N483" t="b">
        <v>0</v>
      </c>
    </row>
    <row r="484" spans="1:15">
      <c r="A484">
        <v>483</v>
      </c>
      <c r="B484" t="s">
        <v>611</v>
      </c>
      <c r="C484" t="s">
        <v>16</v>
      </c>
      <c r="D484" s="9">
        <v>35871</v>
      </c>
      <c r="E484">
        <v>26</v>
      </c>
      <c r="F484" t="s">
        <v>17</v>
      </c>
      <c r="G484">
        <v>3</v>
      </c>
      <c r="H484" t="s">
        <v>98</v>
      </c>
      <c r="I484" t="b">
        <v>1</v>
      </c>
      <c r="J484" t="s">
        <v>83</v>
      </c>
      <c r="K484" s="10">
        <v>0.778472222222222</v>
      </c>
      <c r="L484" s="10">
        <v>0.822222222222222</v>
      </c>
      <c r="M484">
        <v>63</v>
      </c>
      <c r="N484" t="b">
        <v>1</v>
      </c>
      <c r="O484" t="s">
        <v>28</v>
      </c>
    </row>
    <row r="485" spans="1:15">
      <c r="A485">
        <v>484</v>
      </c>
      <c r="B485" t="s">
        <v>749</v>
      </c>
      <c r="C485" t="s">
        <v>25</v>
      </c>
      <c r="D485" s="9">
        <v>35188</v>
      </c>
      <c r="E485">
        <v>28</v>
      </c>
      <c r="F485" t="s">
        <v>21</v>
      </c>
      <c r="G485">
        <v>2</v>
      </c>
      <c r="H485" t="s">
        <v>166</v>
      </c>
      <c r="I485" t="b">
        <v>0</v>
      </c>
      <c r="K485" s="10">
        <v>0.591666666666667</v>
      </c>
      <c r="L485" s="10">
        <v>0.6875</v>
      </c>
      <c r="M485">
        <v>138</v>
      </c>
      <c r="N485" t="b">
        <v>0</v>
      </c>
    </row>
    <row r="486" spans="1:15">
      <c r="A486">
        <v>485</v>
      </c>
      <c r="B486" t="s">
        <v>750</v>
      </c>
      <c r="C486" t="s">
        <v>25</v>
      </c>
      <c r="D486" s="9">
        <v>28945</v>
      </c>
      <c r="E486">
        <v>45</v>
      </c>
      <c r="F486" t="s">
        <v>21</v>
      </c>
      <c r="G486">
        <v>1</v>
      </c>
      <c r="H486" t="s">
        <v>35</v>
      </c>
      <c r="I486" t="b">
        <v>1</v>
      </c>
      <c r="J486" t="s">
        <v>201</v>
      </c>
      <c r="K486" s="10">
        <v>0.754861111111111</v>
      </c>
      <c r="L486" s="10">
        <v>0.877777777777778</v>
      </c>
      <c r="M486">
        <v>177</v>
      </c>
      <c r="N486" t="b">
        <v>0</v>
      </c>
    </row>
    <row r="487" spans="1:15">
      <c r="A487">
        <v>486</v>
      </c>
      <c r="B487" t="s">
        <v>370</v>
      </c>
      <c r="C487" t="s">
        <v>25</v>
      </c>
      <c r="D487" s="9">
        <v>27653</v>
      </c>
      <c r="E487">
        <v>49</v>
      </c>
      <c r="F487" t="s">
        <v>21</v>
      </c>
      <c r="G487">
        <v>3</v>
      </c>
      <c r="H487" t="s">
        <v>57</v>
      </c>
      <c r="I487" t="b">
        <v>1</v>
      </c>
      <c r="J487" t="s">
        <v>751</v>
      </c>
      <c r="K487" s="10">
        <v>0.715277777777778</v>
      </c>
      <c r="L487" s="10">
        <v>0.779861111111111</v>
      </c>
      <c r="M487">
        <v>93</v>
      </c>
      <c r="N487" t="b">
        <v>1</v>
      </c>
      <c r="O487" t="s">
        <v>28</v>
      </c>
    </row>
    <row r="488" spans="1:15">
      <c r="A488">
        <v>487</v>
      </c>
      <c r="B488" t="s">
        <v>752</v>
      </c>
      <c r="C488" t="s">
        <v>16</v>
      </c>
      <c r="D488" s="9">
        <v>35848</v>
      </c>
      <c r="E488">
        <v>26</v>
      </c>
      <c r="F488" t="s">
        <v>21</v>
      </c>
      <c r="G488">
        <v>2</v>
      </c>
      <c r="H488" t="s">
        <v>203</v>
      </c>
      <c r="I488" t="b">
        <v>1</v>
      </c>
      <c r="J488" t="s">
        <v>753</v>
      </c>
      <c r="K488" s="10">
        <v>0.655555555555556</v>
      </c>
      <c r="L488" s="10">
        <v>0.780555555555556</v>
      </c>
      <c r="M488">
        <v>180</v>
      </c>
      <c r="N488" t="b">
        <v>1</v>
      </c>
      <c r="O488" t="s">
        <v>23</v>
      </c>
    </row>
    <row r="489" spans="1:15">
      <c r="A489">
        <v>488</v>
      </c>
      <c r="B489" t="s">
        <v>754</v>
      </c>
      <c r="C489" t="s">
        <v>25</v>
      </c>
      <c r="D489" s="9">
        <v>29701</v>
      </c>
      <c r="E489">
        <v>43</v>
      </c>
      <c r="F489" t="s">
        <v>17</v>
      </c>
      <c r="G489">
        <v>5</v>
      </c>
      <c r="H489" t="s">
        <v>96</v>
      </c>
      <c r="I489" t="b">
        <v>0</v>
      </c>
      <c r="K489" s="10">
        <v>0.744444444444444</v>
      </c>
      <c r="L489" s="10">
        <v>0.822222222222222</v>
      </c>
      <c r="M489">
        <v>112</v>
      </c>
      <c r="N489" t="b">
        <v>1</v>
      </c>
      <c r="O489" t="s">
        <v>28</v>
      </c>
    </row>
    <row r="490" spans="1:15">
      <c r="A490">
        <v>489</v>
      </c>
      <c r="B490" t="s">
        <v>755</v>
      </c>
      <c r="C490" t="s">
        <v>25</v>
      </c>
      <c r="D490" s="9">
        <v>33519</v>
      </c>
      <c r="E490">
        <v>32</v>
      </c>
      <c r="F490" t="s">
        <v>17</v>
      </c>
      <c r="G490">
        <v>2</v>
      </c>
      <c r="H490" t="s">
        <v>195</v>
      </c>
      <c r="I490" t="b">
        <v>0</v>
      </c>
      <c r="K490" s="10">
        <v>0.529166666666667</v>
      </c>
      <c r="L490" s="10">
        <v>0.628472222222222</v>
      </c>
      <c r="M490">
        <v>143</v>
      </c>
      <c r="N490" t="b">
        <v>1</v>
      </c>
      <c r="O490" t="s">
        <v>28</v>
      </c>
    </row>
    <row r="491" spans="1:15">
      <c r="A491">
        <v>490</v>
      </c>
      <c r="B491" t="s">
        <v>756</v>
      </c>
      <c r="C491" t="s">
        <v>16</v>
      </c>
      <c r="D491" s="9">
        <v>35230</v>
      </c>
      <c r="E491">
        <v>28</v>
      </c>
      <c r="F491" t="s">
        <v>21</v>
      </c>
      <c r="G491">
        <v>3</v>
      </c>
      <c r="H491" t="s">
        <v>266</v>
      </c>
      <c r="I491" t="b">
        <v>0</v>
      </c>
      <c r="K491" s="10">
        <v>0.413194444444444</v>
      </c>
      <c r="L491" s="10">
        <v>0.507638888888889</v>
      </c>
      <c r="M491">
        <v>136</v>
      </c>
      <c r="N491" t="b">
        <v>1</v>
      </c>
      <c r="O491" t="s">
        <v>23</v>
      </c>
    </row>
    <row r="492" spans="1:15">
      <c r="A492">
        <v>491</v>
      </c>
      <c r="B492" t="s">
        <v>757</v>
      </c>
      <c r="C492" t="s">
        <v>16</v>
      </c>
      <c r="D492" s="9">
        <v>27593</v>
      </c>
      <c r="E492">
        <v>49</v>
      </c>
      <c r="F492" t="s">
        <v>17</v>
      </c>
      <c r="G492">
        <v>1</v>
      </c>
      <c r="H492" t="s">
        <v>26</v>
      </c>
      <c r="I492" t="b">
        <v>1</v>
      </c>
      <c r="J492" t="s">
        <v>217</v>
      </c>
      <c r="K492" s="10">
        <v>0.3375</v>
      </c>
      <c r="L492" s="10">
        <v>0.364583333333333</v>
      </c>
      <c r="M492">
        <v>39</v>
      </c>
      <c r="N492" t="b">
        <v>1</v>
      </c>
      <c r="O492" t="s">
        <v>47</v>
      </c>
    </row>
    <row r="493" spans="1:15">
      <c r="A493">
        <v>492</v>
      </c>
      <c r="B493" t="s">
        <v>758</v>
      </c>
      <c r="C493" t="s">
        <v>25</v>
      </c>
      <c r="D493" s="9">
        <v>39405</v>
      </c>
      <c r="E493">
        <v>16</v>
      </c>
      <c r="F493" t="s">
        <v>21</v>
      </c>
      <c r="G493">
        <v>2</v>
      </c>
      <c r="H493" t="s">
        <v>72</v>
      </c>
      <c r="I493" t="b">
        <v>0</v>
      </c>
      <c r="K493" s="10">
        <v>0.488194444444444</v>
      </c>
      <c r="L493" s="10">
        <v>0.597916666666667</v>
      </c>
      <c r="M493">
        <v>158</v>
      </c>
      <c r="N493" t="b">
        <v>0</v>
      </c>
    </row>
    <row r="494" spans="1:15">
      <c r="A494">
        <v>493</v>
      </c>
      <c r="B494" t="s">
        <v>759</v>
      </c>
      <c r="C494" t="s">
        <v>16</v>
      </c>
      <c r="D494" s="9">
        <v>31001</v>
      </c>
      <c r="E494">
        <v>39</v>
      </c>
      <c r="F494" t="s">
        <v>21</v>
      </c>
      <c r="G494">
        <v>2</v>
      </c>
      <c r="H494" t="s">
        <v>72</v>
      </c>
      <c r="I494" t="b">
        <v>1</v>
      </c>
      <c r="J494" t="s">
        <v>760</v>
      </c>
      <c r="K494" s="10">
        <v>0.634722222222222</v>
      </c>
      <c r="L494" s="10">
        <v>0.71875</v>
      </c>
      <c r="M494">
        <v>121</v>
      </c>
      <c r="N494" t="b">
        <v>0</v>
      </c>
    </row>
    <row r="495" spans="1:15">
      <c r="A495">
        <v>494</v>
      </c>
      <c r="B495" t="s">
        <v>761</v>
      </c>
      <c r="C495" t="s">
        <v>16</v>
      </c>
      <c r="D495" s="9">
        <v>41112</v>
      </c>
      <c r="E495">
        <v>12</v>
      </c>
      <c r="F495" t="s">
        <v>21</v>
      </c>
      <c r="G495">
        <v>3</v>
      </c>
      <c r="H495" t="s">
        <v>92</v>
      </c>
      <c r="I495" t="b">
        <v>1</v>
      </c>
      <c r="J495" t="s">
        <v>762</v>
      </c>
      <c r="K495" s="10">
        <v>0.493055555555556</v>
      </c>
      <c r="L495" s="10">
        <v>0.569444444444444</v>
      </c>
      <c r="M495">
        <v>110</v>
      </c>
      <c r="N495" t="b">
        <v>0</v>
      </c>
    </row>
    <row r="496" spans="1:15">
      <c r="A496">
        <v>495</v>
      </c>
      <c r="B496" t="s">
        <v>763</v>
      </c>
      <c r="C496" t="s">
        <v>25</v>
      </c>
      <c r="D496" s="9">
        <v>30771</v>
      </c>
      <c r="E496">
        <v>40</v>
      </c>
      <c r="F496" t="s">
        <v>21</v>
      </c>
      <c r="G496">
        <v>3</v>
      </c>
      <c r="H496" t="s">
        <v>85</v>
      </c>
      <c r="I496" t="b">
        <v>0</v>
      </c>
      <c r="K496" s="10">
        <v>0.361805555555556</v>
      </c>
      <c r="L496" s="10">
        <v>0.394444444444444</v>
      </c>
      <c r="M496">
        <v>47</v>
      </c>
      <c r="N496" t="b">
        <v>0</v>
      </c>
    </row>
    <row r="497" spans="1:15">
      <c r="A497">
        <v>496</v>
      </c>
      <c r="B497" t="s">
        <v>764</v>
      </c>
      <c r="C497" t="s">
        <v>25</v>
      </c>
      <c r="D497" s="9">
        <v>29192</v>
      </c>
      <c r="E497">
        <v>44</v>
      </c>
      <c r="F497" t="s">
        <v>17</v>
      </c>
      <c r="G497">
        <v>1</v>
      </c>
      <c r="H497" t="s">
        <v>185</v>
      </c>
      <c r="I497" t="b">
        <v>0</v>
      </c>
      <c r="K497" s="10">
        <v>0.648611111111111</v>
      </c>
      <c r="L497" s="10">
        <v>0.767361111111111</v>
      </c>
      <c r="M497">
        <v>171</v>
      </c>
      <c r="N497" t="b">
        <v>1</v>
      </c>
      <c r="O497" t="s">
        <v>47</v>
      </c>
    </row>
    <row r="498" spans="1:15">
      <c r="A498">
        <v>497</v>
      </c>
      <c r="B498" t="s">
        <v>765</v>
      </c>
      <c r="C498" t="s">
        <v>16</v>
      </c>
      <c r="D498" s="9">
        <v>41171</v>
      </c>
      <c r="E498">
        <v>12</v>
      </c>
      <c r="F498" t="s">
        <v>17</v>
      </c>
      <c r="G498">
        <v>2</v>
      </c>
      <c r="H498" t="s">
        <v>69</v>
      </c>
      <c r="I498" t="b">
        <v>0</v>
      </c>
      <c r="K498" s="10">
        <v>0.336805555555556</v>
      </c>
      <c r="L498" s="10">
        <v>0.382638888888889</v>
      </c>
      <c r="M498">
        <v>66</v>
      </c>
      <c r="N498" t="b">
        <v>0</v>
      </c>
    </row>
    <row r="499" spans="1:15">
      <c r="A499">
        <v>498</v>
      </c>
      <c r="B499" t="s">
        <v>766</v>
      </c>
      <c r="C499" t="s">
        <v>25</v>
      </c>
      <c r="D499" s="9">
        <v>29805</v>
      </c>
      <c r="E499">
        <v>43</v>
      </c>
      <c r="F499" t="s">
        <v>17</v>
      </c>
      <c r="G499">
        <v>4</v>
      </c>
      <c r="H499" t="s">
        <v>767</v>
      </c>
      <c r="I499" t="b">
        <v>1</v>
      </c>
      <c r="J499" t="s">
        <v>768</v>
      </c>
      <c r="K499" s="10">
        <v>0.443055555555556</v>
      </c>
      <c r="L499" s="10">
        <v>0.523611111111111</v>
      </c>
      <c r="M499">
        <v>116</v>
      </c>
      <c r="N499" t="b">
        <v>1</v>
      </c>
      <c r="O499" t="s">
        <v>47</v>
      </c>
    </row>
    <row r="500" spans="1:15">
      <c r="A500">
        <v>499</v>
      </c>
      <c r="B500" t="s">
        <v>769</v>
      </c>
      <c r="C500" t="s">
        <v>16</v>
      </c>
      <c r="D500" s="9">
        <v>34964</v>
      </c>
      <c r="E500">
        <v>29</v>
      </c>
      <c r="F500" t="s">
        <v>17</v>
      </c>
      <c r="G500">
        <v>3</v>
      </c>
      <c r="H500" t="s">
        <v>30</v>
      </c>
      <c r="I500" t="b">
        <v>1</v>
      </c>
      <c r="J500" t="s">
        <v>770</v>
      </c>
      <c r="K500" s="10">
        <v>0.863194444444444</v>
      </c>
      <c r="L500" s="10">
        <v>0.8875</v>
      </c>
      <c r="M500">
        <v>35</v>
      </c>
      <c r="N500" t="b">
        <v>0</v>
      </c>
    </row>
    <row r="501" spans="1:15">
      <c r="A501">
        <v>500</v>
      </c>
      <c r="B501" t="s">
        <v>771</v>
      </c>
      <c r="C501" t="s">
        <v>25</v>
      </c>
      <c r="D501" s="9">
        <v>38639</v>
      </c>
      <c r="E501">
        <v>18</v>
      </c>
      <c r="F501" t="s">
        <v>21</v>
      </c>
      <c r="G501">
        <v>3</v>
      </c>
      <c r="H501" t="s">
        <v>43</v>
      </c>
      <c r="I501" t="b">
        <v>0</v>
      </c>
      <c r="K501" s="10">
        <v>0.606944444444444</v>
      </c>
      <c r="L501" s="10">
        <v>0.648611111111111</v>
      </c>
      <c r="M501">
        <v>60</v>
      </c>
      <c r="N501" t="b">
        <v>0</v>
      </c>
    </row>
    <row r="502" spans="1:15">
      <c r="A502">
        <v>501</v>
      </c>
      <c r="B502" t="s">
        <v>772</v>
      </c>
      <c r="C502" t="s">
        <v>25</v>
      </c>
      <c r="D502" s="9">
        <v>38425</v>
      </c>
      <c r="E502">
        <v>19</v>
      </c>
      <c r="F502" t="s">
        <v>17</v>
      </c>
      <c r="G502">
        <v>2</v>
      </c>
      <c r="H502" t="s">
        <v>189</v>
      </c>
      <c r="I502" t="b">
        <v>1</v>
      </c>
      <c r="J502" t="s">
        <v>773</v>
      </c>
      <c r="K502" s="10">
        <v>0.806944444444444</v>
      </c>
      <c r="L502" s="10">
        <v>0.864583333333333</v>
      </c>
      <c r="M502">
        <v>83</v>
      </c>
      <c r="N502" t="b">
        <v>0</v>
      </c>
    </row>
    <row r="503" spans="1:15">
      <c r="A503">
        <v>502</v>
      </c>
      <c r="B503" t="s">
        <v>344</v>
      </c>
      <c r="C503" t="s">
        <v>25</v>
      </c>
      <c r="D503" s="9">
        <v>40511</v>
      </c>
      <c r="E503">
        <v>13</v>
      </c>
      <c r="F503" t="s">
        <v>17</v>
      </c>
      <c r="G503">
        <v>1</v>
      </c>
      <c r="H503" t="s">
        <v>59</v>
      </c>
      <c r="I503" t="b">
        <v>0</v>
      </c>
      <c r="K503" s="10">
        <v>0.673611111111111</v>
      </c>
      <c r="L503" s="10">
        <v>0.789583333333333</v>
      </c>
      <c r="M503">
        <v>167</v>
      </c>
      <c r="N503" t="b">
        <v>0</v>
      </c>
    </row>
    <row r="504" spans="1:15">
      <c r="A504">
        <v>503</v>
      </c>
      <c r="B504" t="s">
        <v>774</v>
      </c>
      <c r="C504" t="s">
        <v>16</v>
      </c>
      <c r="D504" s="9">
        <v>39374</v>
      </c>
      <c r="E504">
        <v>16</v>
      </c>
      <c r="F504" t="s">
        <v>21</v>
      </c>
      <c r="G504">
        <v>3</v>
      </c>
      <c r="H504" t="s">
        <v>504</v>
      </c>
      <c r="I504" t="b">
        <v>0</v>
      </c>
      <c r="K504" s="10">
        <v>0.631944444444444</v>
      </c>
      <c r="L504" s="10">
        <v>0.713194444444444</v>
      </c>
      <c r="M504">
        <v>117</v>
      </c>
      <c r="N504" t="b">
        <v>1</v>
      </c>
      <c r="O504" t="s">
        <v>23</v>
      </c>
    </row>
    <row r="505" spans="1:15">
      <c r="A505">
        <v>504</v>
      </c>
      <c r="B505" t="s">
        <v>775</v>
      </c>
      <c r="C505" t="s">
        <v>16</v>
      </c>
      <c r="D505" s="9">
        <v>36861</v>
      </c>
      <c r="E505">
        <v>23</v>
      </c>
      <c r="F505" t="s">
        <v>21</v>
      </c>
      <c r="G505">
        <v>3</v>
      </c>
      <c r="H505" t="s">
        <v>321</v>
      </c>
      <c r="I505" t="b">
        <v>1</v>
      </c>
      <c r="J505" t="s">
        <v>776</v>
      </c>
      <c r="K505" s="10">
        <v>0.522916666666667</v>
      </c>
      <c r="L505" s="10">
        <v>0.628472222222222</v>
      </c>
      <c r="M505">
        <v>152</v>
      </c>
      <c r="N505" t="b">
        <v>0</v>
      </c>
    </row>
    <row r="506" spans="1:15">
      <c r="A506">
        <v>505</v>
      </c>
      <c r="B506" t="s">
        <v>777</v>
      </c>
      <c r="C506" t="s">
        <v>25</v>
      </c>
      <c r="D506" s="9">
        <v>32630</v>
      </c>
      <c r="E506">
        <v>35</v>
      </c>
      <c r="F506" t="s">
        <v>21</v>
      </c>
      <c r="G506">
        <v>1</v>
      </c>
      <c r="H506" t="s">
        <v>35</v>
      </c>
      <c r="I506" t="b">
        <v>0</v>
      </c>
      <c r="K506" s="10">
        <v>0.679861111111111</v>
      </c>
      <c r="L506" s="10">
        <v>0.716666666666667</v>
      </c>
      <c r="M506">
        <v>53</v>
      </c>
      <c r="N506" t="b">
        <v>0</v>
      </c>
    </row>
    <row r="507" spans="1:15">
      <c r="A507">
        <v>506</v>
      </c>
      <c r="B507" t="s">
        <v>778</v>
      </c>
      <c r="C507" t="s">
        <v>16</v>
      </c>
      <c r="D507" s="9">
        <v>35620</v>
      </c>
      <c r="E507">
        <v>27</v>
      </c>
      <c r="F507" t="s">
        <v>17</v>
      </c>
      <c r="G507">
        <v>2</v>
      </c>
      <c r="H507" t="s">
        <v>272</v>
      </c>
      <c r="I507" t="b">
        <v>0</v>
      </c>
      <c r="K507" s="10">
        <v>0.769444444444444</v>
      </c>
      <c r="L507" s="10">
        <v>0.814583333333333</v>
      </c>
      <c r="M507">
        <v>65</v>
      </c>
      <c r="N507" t="b">
        <v>0</v>
      </c>
    </row>
    <row r="508" spans="1:15">
      <c r="A508">
        <v>507</v>
      </c>
      <c r="B508" t="s">
        <v>779</v>
      </c>
      <c r="C508" t="s">
        <v>16</v>
      </c>
      <c r="D508" s="9">
        <v>28269</v>
      </c>
      <c r="E508">
        <v>47</v>
      </c>
      <c r="F508" t="s">
        <v>17</v>
      </c>
      <c r="G508">
        <v>2</v>
      </c>
      <c r="H508" t="s">
        <v>195</v>
      </c>
      <c r="I508" t="b">
        <v>1</v>
      </c>
      <c r="J508" t="s">
        <v>780</v>
      </c>
      <c r="K508" s="10">
        <v>0.63125</v>
      </c>
      <c r="L508" s="10">
        <v>0.697916666666667</v>
      </c>
      <c r="M508">
        <v>96</v>
      </c>
      <c r="N508" t="b">
        <v>1</v>
      </c>
      <c r="O508" t="s">
        <v>23</v>
      </c>
    </row>
    <row r="509" spans="1:15">
      <c r="A509">
        <v>508</v>
      </c>
      <c r="B509" t="s">
        <v>781</v>
      </c>
      <c r="C509" t="s">
        <v>25</v>
      </c>
      <c r="D509" s="9">
        <v>29116</v>
      </c>
      <c r="E509">
        <v>45</v>
      </c>
      <c r="F509" t="s">
        <v>21</v>
      </c>
      <c r="G509">
        <v>1</v>
      </c>
      <c r="H509" t="s">
        <v>59</v>
      </c>
      <c r="I509" t="b">
        <v>0</v>
      </c>
      <c r="K509" s="10">
        <v>0.807638888888889</v>
      </c>
      <c r="L509" s="10">
        <v>0.885416666666667</v>
      </c>
      <c r="M509">
        <v>112</v>
      </c>
      <c r="N509" t="b">
        <v>1</v>
      </c>
      <c r="O509" t="s">
        <v>47</v>
      </c>
    </row>
    <row r="510" spans="1:15">
      <c r="A510">
        <v>509</v>
      </c>
      <c r="B510" t="s">
        <v>782</v>
      </c>
      <c r="C510" t="s">
        <v>16</v>
      </c>
      <c r="D510" s="9">
        <v>35510</v>
      </c>
      <c r="E510">
        <v>27</v>
      </c>
      <c r="F510" t="s">
        <v>17</v>
      </c>
      <c r="G510">
        <v>1</v>
      </c>
      <c r="H510" t="s">
        <v>81</v>
      </c>
      <c r="I510" t="b">
        <v>0</v>
      </c>
      <c r="K510" s="10">
        <v>0.595138888888889</v>
      </c>
      <c r="L510" s="10">
        <v>0.64375</v>
      </c>
      <c r="M510">
        <v>70</v>
      </c>
      <c r="N510" t="b">
        <v>0</v>
      </c>
    </row>
    <row r="511" spans="1:15">
      <c r="A511">
        <v>510</v>
      </c>
      <c r="B511" t="s">
        <v>783</v>
      </c>
      <c r="C511" t="s">
        <v>25</v>
      </c>
      <c r="D511" s="9">
        <v>38434</v>
      </c>
      <c r="E511">
        <v>19</v>
      </c>
      <c r="F511" t="s">
        <v>21</v>
      </c>
      <c r="G511">
        <v>3</v>
      </c>
      <c r="H511" t="s">
        <v>241</v>
      </c>
      <c r="I511" t="b">
        <v>1</v>
      </c>
      <c r="J511" t="s">
        <v>784</v>
      </c>
      <c r="K511" s="10">
        <v>0.538888888888889</v>
      </c>
      <c r="L511" s="10">
        <v>0.584722222222222</v>
      </c>
      <c r="M511">
        <v>66</v>
      </c>
      <c r="N511" t="b">
        <v>1</v>
      </c>
      <c r="O511" t="s">
        <v>47</v>
      </c>
    </row>
    <row r="512" spans="1:15">
      <c r="A512">
        <v>511</v>
      </c>
      <c r="B512" t="s">
        <v>274</v>
      </c>
      <c r="C512" t="s">
        <v>25</v>
      </c>
      <c r="D512" s="9">
        <v>32158</v>
      </c>
      <c r="E512">
        <v>36</v>
      </c>
      <c r="F512" t="s">
        <v>21</v>
      </c>
      <c r="G512">
        <v>1</v>
      </c>
      <c r="H512" t="s">
        <v>46</v>
      </c>
      <c r="I512" t="b">
        <v>1</v>
      </c>
      <c r="J512" t="s">
        <v>107</v>
      </c>
      <c r="K512" s="10">
        <v>0.497222222222222</v>
      </c>
      <c r="L512" s="10">
        <v>0.606944444444444</v>
      </c>
      <c r="M512">
        <v>158</v>
      </c>
      <c r="N512" t="b">
        <v>1</v>
      </c>
      <c r="O512" t="s">
        <v>28</v>
      </c>
    </row>
    <row r="513" spans="1:15">
      <c r="A513">
        <v>512</v>
      </c>
      <c r="B513" t="s">
        <v>785</v>
      </c>
      <c r="C513" t="s">
        <v>25</v>
      </c>
      <c r="D513" s="9">
        <v>36883</v>
      </c>
      <c r="E513">
        <v>23</v>
      </c>
      <c r="F513" t="s">
        <v>21</v>
      </c>
      <c r="G513">
        <v>3</v>
      </c>
      <c r="H513" t="s">
        <v>43</v>
      </c>
      <c r="I513" t="b">
        <v>1</v>
      </c>
      <c r="J513" t="s">
        <v>674</v>
      </c>
      <c r="K513" s="10">
        <v>0.793055555555556</v>
      </c>
      <c r="L513" s="10">
        <v>0.895138888888889</v>
      </c>
      <c r="M513">
        <v>147</v>
      </c>
      <c r="N513" t="b">
        <v>0</v>
      </c>
    </row>
    <row r="514" spans="1:15">
      <c r="A514">
        <v>513</v>
      </c>
      <c r="B514" t="s">
        <v>786</v>
      </c>
      <c r="C514" t="s">
        <v>25</v>
      </c>
      <c r="D514" s="9">
        <v>36283</v>
      </c>
      <c r="E514">
        <v>25</v>
      </c>
      <c r="F514" t="s">
        <v>17</v>
      </c>
      <c r="G514">
        <v>1</v>
      </c>
      <c r="H514" t="s">
        <v>46</v>
      </c>
      <c r="I514" t="b">
        <v>1</v>
      </c>
      <c r="J514" t="s">
        <v>598</v>
      </c>
      <c r="K514" s="10">
        <v>0.604166666666667</v>
      </c>
      <c r="L514" s="10">
        <v>0.647222222222222</v>
      </c>
      <c r="M514">
        <v>62</v>
      </c>
      <c r="N514" t="b">
        <v>1</v>
      </c>
      <c r="O514" t="s">
        <v>50</v>
      </c>
    </row>
    <row r="515" spans="1:15">
      <c r="A515">
        <v>514</v>
      </c>
      <c r="B515" t="s">
        <v>787</v>
      </c>
      <c r="C515" t="s">
        <v>16</v>
      </c>
      <c r="D515" s="9">
        <v>37024</v>
      </c>
      <c r="E515">
        <v>23</v>
      </c>
      <c r="F515" t="s">
        <v>21</v>
      </c>
      <c r="G515">
        <v>3</v>
      </c>
      <c r="H515" t="s">
        <v>315</v>
      </c>
      <c r="I515" t="b">
        <v>1</v>
      </c>
      <c r="J515" t="s">
        <v>487</v>
      </c>
      <c r="K515" s="10">
        <v>0.529861111111111</v>
      </c>
      <c r="L515" s="10">
        <v>0.590972222222222</v>
      </c>
      <c r="M515">
        <v>88</v>
      </c>
      <c r="N515" t="b">
        <v>0</v>
      </c>
    </row>
    <row r="516" spans="1:15">
      <c r="A516">
        <v>515</v>
      </c>
      <c r="B516" t="s">
        <v>788</v>
      </c>
      <c r="C516" t="s">
        <v>16</v>
      </c>
      <c r="D516" s="9">
        <v>37552</v>
      </c>
      <c r="E516">
        <v>21</v>
      </c>
      <c r="F516" t="s">
        <v>21</v>
      </c>
      <c r="G516">
        <v>1</v>
      </c>
      <c r="H516" t="s">
        <v>81</v>
      </c>
      <c r="I516" t="b">
        <v>0</v>
      </c>
      <c r="K516" s="10">
        <v>0.353472222222222</v>
      </c>
      <c r="L516" s="10">
        <v>0.448611111111111</v>
      </c>
      <c r="M516">
        <v>137</v>
      </c>
      <c r="N516" t="b">
        <v>0</v>
      </c>
    </row>
    <row r="517" spans="1:15">
      <c r="A517">
        <v>516</v>
      </c>
      <c r="B517" t="s">
        <v>789</v>
      </c>
      <c r="C517" t="s">
        <v>16</v>
      </c>
      <c r="D517" s="9">
        <v>27697</v>
      </c>
      <c r="E517">
        <v>48</v>
      </c>
      <c r="F517" t="s">
        <v>17</v>
      </c>
      <c r="G517">
        <v>1</v>
      </c>
      <c r="H517" t="s">
        <v>26</v>
      </c>
      <c r="I517" t="b">
        <v>1</v>
      </c>
      <c r="J517" t="s">
        <v>790</v>
      </c>
      <c r="K517" s="10">
        <v>0.613888888888889</v>
      </c>
      <c r="L517" s="10">
        <v>0.638194444444444</v>
      </c>
      <c r="M517">
        <v>35</v>
      </c>
      <c r="N517" t="b">
        <v>1</v>
      </c>
      <c r="O517" t="s">
        <v>23</v>
      </c>
    </row>
    <row r="518" spans="1:15">
      <c r="A518">
        <v>517</v>
      </c>
      <c r="B518" t="s">
        <v>791</v>
      </c>
      <c r="C518" t="s">
        <v>25</v>
      </c>
      <c r="D518" s="9">
        <v>35965</v>
      </c>
      <c r="E518">
        <v>26</v>
      </c>
      <c r="F518" t="s">
        <v>21</v>
      </c>
      <c r="G518">
        <v>4</v>
      </c>
      <c r="H518" t="s">
        <v>421</v>
      </c>
      <c r="I518" t="b">
        <v>0</v>
      </c>
      <c r="K518" s="10">
        <v>0.363888888888889</v>
      </c>
      <c r="L518" s="10">
        <v>0.415277777777778</v>
      </c>
      <c r="M518">
        <v>74</v>
      </c>
      <c r="N518" t="b">
        <v>0</v>
      </c>
    </row>
    <row r="519" spans="1:15">
      <c r="A519">
        <v>518</v>
      </c>
      <c r="B519" t="s">
        <v>792</v>
      </c>
      <c r="C519" t="s">
        <v>25</v>
      </c>
      <c r="D519" s="9">
        <v>39261</v>
      </c>
      <c r="E519">
        <v>17</v>
      </c>
      <c r="F519" t="s">
        <v>21</v>
      </c>
      <c r="G519">
        <v>2</v>
      </c>
      <c r="H519" t="s">
        <v>187</v>
      </c>
      <c r="I519" t="b">
        <v>1</v>
      </c>
      <c r="J519" t="s">
        <v>793</v>
      </c>
      <c r="K519" s="10">
        <v>0.35</v>
      </c>
      <c r="L519" s="10">
        <v>0.403472222222222</v>
      </c>
      <c r="M519">
        <v>77</v>
      </c>
      <c r="N519" t="b">
        <v>0</v>
      </c>
    </row>
    <row r="520" spans="1:15">
      <c r="A520">
        <v>519</v>
      </c>
      <c r="B520" t="s">
        <v>794</v>
      </c>
      <c r="C520" t="s">
        <v>25</v>
      </c>
      <c r="D520" s="9">
        <v>40508</v>
      </c>
      <c r="E520">
        <v>13</v>
      </c>
      <c r="F520" t="s">
        <v>21</v>
      </c>
      <c r="G520">
        <v>2</v>
      </c>
      <c r="H520" t="s">
        <v>272</v>
      </c>
      <c r="I520" t="b">
        <v>1</v>
      </c>
      <c r="J520" t="s">
        <v>795</v>
      </c>
      <c r="K520" s="10">
        <v>0.440277777777778</v>
      </c>
      <c r="L520" s="10">
        <v>0.5625</v>
      </c>
      <c r="M520">
        <v>176</v>
      </c>
      <c r="N520" t="b">
        <v>0</v>
      </c>
    </row>
    <row r="521" spans="1:15">
      <c r="A521">
        <v>520</v>
      </c>
      <c r="B521" t="s">
        <v>796</v>
      </c>
      <c r="C521" t="s">
        <v>16</v>
      </c>
      <c r="D521" s="9">
        <v>33493</v>
      </c>
      <c r="E521">
        <v>33</v>
      </c>
      <c r="F521" t="s">
        <v>21</v>
      </c>
      <c r="G521">
        <v>3</v>
      </c>
      <c r="H521" t="s">
        <v>150</v>
      </c>
      <c r="I521" t="b">
        <v>0</v>
      </c>
      <c r="K521" s="10">
        <v>0.8125</v>
      </c>
      <c r="L521" s="10">
        <v>0.927083333333333</v>
      </c>
      <c r="M521">
        <v>165</v>
      </c>
      <c r="N521" t="b">
        <v>0</v>
      </c>
    </row>
    <row r="522" spans="1:15">
      <c r="A522">
        <v>521</v>
      </c>
      <c r="B522" t="s">
        <v>797</v>
      </c>
      <c r="C522" t="s">
        <v>16</v>
      </c>
      <c r="D522" s="9">
        <v>34029</v>
      </c>
      <c r="E522">
        <v>31</v>
      </c>
      <c r="F522" t="s">
        <v>17</v>
      </c>
      <c r="G522">
        <v>4</v>
      </c>
      <c r="H522" t="s">
        <v>798</v>
      </c>
      <c r="I522" t="b">
        <v>0</v>
      </c>
      <c r="K522" s="10">
        <v>0.85625</v>
      </c>
      <c r="L522" s="10">
        <v>0.922916666666667</v>
      </c>
      <c r="M522">
        <v>96</v>
      </c>
      <c r="N522" t="b">
        <v>0</v>
      </c>
    </row>
    <row r="523" spans="1:15">
      <c r="A523">
        <v>522</v>
      </c>
      <c r="B523" t="s">
        <v>799</v>
      </c>
      <c r="C523" t="s">
        <v>16</v>
      </c>
      <c r="D523" s="9">
        <v>36588</v>
      </c>
      <c r="E523">
        <v>24</v>
      </c>
      <c r="F523" t="s">
        <v>21</v>
      </c>
      <c r="G523">
        <v>2</v>
      </c>
      <c r="H523" t="s">
        <v>509</v>
      </c>
      <c r="I523" t="b">
        <v>1</v>
      </c>
      <c r="J523" t="s">
        <v>487</v>
      </c>
      <c r="K523" s="10">
        <v>0.850694444444445</v>
      </c>
      <c r="L523" s="10">
        <v>0.930555555555555</v>
      </c>
      <c r="M523">
        <v>115</v>
      </c>
      <c r="N523" t="b">
        <v>0</v>
      </c>
    </row>
    <row r="524" spans="1:15">
      <c r="A524">
        <v>523</v>
      </c>
      <c r="B524" t="s">
        <v>800</v>
      </c>
      <c r="C524" t="s">
        <v>16</v>
      </c>
      <c r="D524" s="9">
        <v>34346</v>
      </c>
      <c r="E524">
        <v>30</v>
      </c>
      <c r="F524" t="s">
        <v>17</v>
      </c>
      <c r="G524">
        <v>1</v>
      </c>
      <c r="H524" t="s">
        <v>81</v>
      </c>
      <c r="I524" t="b">
        <v>0</v>
      </c>
      <c r="K524" s="10">
        <v>0.749305555555556</v>
      </c>
      <c r="L524" s="10">
        <v>0.818055555555556</v>
      </c>
      <c r="M524">
        <v>99</v>
      </c>
      <c r="N524" t="b">
        <v>1</v>
      </c>
      <c r="O524" t="s">
        <v>23</v>
      </c>
    </row>
    <row r="525" spans="1:15">
      <c r="A525">
        <v>524</v>
      </c>
      <c r="B525" t="s">
        <v>801</v>
      </c>
      <c r="C525" t="s">
        <v>16</v>
      </c>
      <c r="D525" s="9">
        <v>40011</v>
      </c>
      <c r="E525">
        <v>15</v>
      </c>
      <c r="F525" t="s">
        <v>21</v>
      </c>
      <c r="G525">
        <v>2</v>
      </c>
      <c r="H525" t="s">
        <v>72</v>
      </c>
      <c r="I525" t="b">
        <v>1</v>
      </c>
      <c r="J525" t="s">
        <v>107</v>
      </c>
      <c r="K525" s="10">
        <v>0.597222222222222</v>
      </c>
      <c r="L525" s="10">
        <v>0.620833333333333</v>
      </c>
      <c r="M525">
        <v>34</v>
      </c>
      <c r="N525" t="b">
        <v>0</v>
      </c>
    </row>
    <row r="526" spans="1:15">
      <c r="A526">
        <v>525</v>
      </c>
      <c r="B526" t="s">
        <v>802</v>
      </c>
      <c r="C526" t="s">
        <v>16</v>
      </c>
      <c r="D526" s="9">
        <v>35527</v>
      </c>
      <c r="E526">
        <v>27</v>
      </c>
      <c r="F526" t="s">
        <v>17</v>
      </c>
      <c r="G526">
        <v>5</v>
      </c>
      <c r="H526" t="s">
        <v>152</v>
      </c>
      <c r="I526" t="b">
        <v>0</v>
      </c>
      <c r="K526" s="10">
        <v>0.765277777777778</v>
      </c>
      <c r="L526" s="10">
        <v>0.790277777777778</v>
      </c>
      <c r="M526">
        <v>36</v>
      </c>
      <c r="N526" t="b">
        <v>0</v>
      </c>
    </row>
    <row r="527" spans="1:15">
      <c r="A527">
        <v>526</v>
      </c>
      <c r="B527" t="s">
        <v>803</v>
      </c>
      <c r="C527" t="s">
        <v>25</v>
      </c>
      <c r="D527" s="9">
        <v>39454</v>
      </c>
      <c r="E527">
        <v>16</v>
      </c>
      <c r="F527" t="s">
        <v>21</v>
      </c>
      <c r="G527">
        <v>4</v>
      </c>
      <c r="H527" t="s">
        <v>219</v>
      </c>
      <c r="I527" t="b">
        <v>1</v>
      </c>
      <c r="J527" t="s">
        <v>174</v>
      </c>
      <c r="K527" s="10">
        <v>0.571527777777778</v>
      </c>
      <c r="L527" s="10">
        <v>0.658333333333333</v>
      </c>
      <c r="M527">
        <v>125</v>
      </c>
      <c r="N527" t="b">
        <v>1</v>
      </c>
      <c r="O527" t="s">
        <v>28</v>
      </c>
    </row>
    <row r="528" spans="1:15">
      <c r="A528">
        <v>527</v>
      </c>
      <c r="B528" t="s">
        <v>804</v>
      </c>
      <c r="C528" t="s">
        <v>16</v>
      </c>
      <c r="D528" s="9">
        <v>33105</v>
      </c>
      <c r="E528">
        <v>34</v>
      </c>
      <c r="F528" t="s">
        <v>17</v>
      </c>
      <c r="G528">
        <v>3</v>
      </c>
      <c r="H528" t="s">
        <v>136</v>
      </c>
      <c r="I528" t="b">
        <v>0</v>
      </c>
      <c r="K528" s="10">
        <v>0.46875</v>
      </c>
      <c r="L528" s="10">
        <v>0.509722222222222</v>
      </c>
      <c r="M528">
        <v>59</v>
      </c>
      <c r="N528" t="b">
        <v>1</v>
      </c>
      <c r="O528" t="s">
        <v>23</v>
      </c>
    </row>
    <row r="529" spans="1:15">
      <c r="A529">
        <v>528</v>
      </c>
      <c r="B529" t="s">
        <v>805</v>
      </c>
      <c r="C529" t="s">
        <v>16</v>
      </c>
      <c r="D529" s="9">
        <v>36006</v>
      </c>
      <c r="E529">
        <v>26</v>
      </c>
      <c r="F529" t="s">
        <v>21</v>
      </c>
      <c r="G529">
        <v>3</v>
      </c>
      <c r="H529" t="s">
        <v>65</v>
      </c>
      <c r="I529" t="b">
        <v>1</v>
      </c>
      <c r="J529" t="s">
        <v>83</v>
      </c>
      <c r="K529" s="10">
        <v>0.352083333333333</v>
      </c>
      <c r="L529" s="10">
        <v>0.448611111111111</v>
      </c>
      <c r="M529">
        <v>139</v>
      </c>
      <c r="N529" t="b">
        <v>0</v>
      </c>
    </row>
    <row r="530" spans="1:15">
      <c r="A530">
        <v>529</v>
      </c>
      <c r="B530" t="s">
        <v>806</v>
      </c>
      <c r="C530" t="s">
        <v>25</v>
      </c>
      <c r="D530" s="9">
        <v>38243</v>
      </c>
      <c r="E530">
        <v>20</v>
      </c>
      <c r="F530" t="s">
        <v>17</v>
      </c>
      <c r="G530">
        <v>2</v>
      </c>
      <c r="H530" t="s">
        <v>166</v>
      </c>
      <c r="I530" t="b">
        <v>0</v>
      </c>
      <c r="K530" s="10">
        <v>0.368055555555556</v>
      </c>
      <c r="L530" s="10">
        <v>0.440972222222222</v>
      </c>
      <c r="M530">
        <v>105</v>
      </c>
      <c r="N530" t="b">
        <v>0</v>
      </c>
    </row>
    <row r="531" spans="1:15">
      <c r="A531">
        <v>530</v>
      </c>
      <c r="B531" t="s">
        <v>807</v>
      </c>
      <c r="C531" t="s">
        <v>16</v>
      </c>
      <c r="D531" s="9">
        <v>28962</v>
      </c>
      <c r="E531">
        <v>45</v>
      </c>
      <c r="F531" t="s">
        <v>17</v>
      </c>
      <c r="G531">
        <v>3</v>
      </c>
      <c r="H531" t="s">
        <v>161</v>
      </c>
      <c r="I531" t="b">
        <v>1</v>
      </c>
      <c r="J531" t="s">
        <v>808</v>
      </c>
      <c r="K531" s="10">
        <v>0.832638888888889</v>
      </c>
      <c r="L531" s="10">
        <v>0.863194444444444</v>
      </c>
      <c r="M531">
        <v>44</v>
      </c>
      <c r="N531" t="b">
        <v>0</v>
      </c>
    </row>
    <row r="532" spans="1:15">
      <c r="A532">
        <v>531</v>
      </c>
      <c r="B532" t="s">
        <v>809</v>
      </c>
      <c r="C532" t="s">
        <v>25</v>
      </c>
      <c r="D532" s="9">
        <v>34130</v>
      </c>
      <c r="E532">
        <v>31</v>
      </c>
      <c r="F532" t="s">
        <v>17</v>
      </c>
      <c r="G532">
        <v>2</v>
      </c>
      <c r="H532" t="s">
        <v>40</v>
      </c>
      <c r="I532" t="b">
        <v>1</v>
      </c>
      <c r="J532" t="s">
        <v>810</v>
      </c>
      <c r="K532" s="10">
        <v>0.61875</v>
      </c>
      <c r="L532" s="10">
        <v>0.656944444444444</v>
      </c>
      <c r="M532">
        <v>55</v>
      </c>
      <c r="N532" t="b">
        <v>1</v>
      </c>
      <c r="O532" t="s">
        <v>28</v>
      </c>
    </row>
    <row r="533" spans="1:15">
      <c r="A533">
        <v>532</v>
      </c>
      <c r="B533" t="s">
        <v>811</v>
      </c>
      <c r="C533" t="s">
        <v>25</v>
      </c>
      <c r="D533" s="9">
        <v>28031</v>
      </c>
      <c r="E533">
        <v>48</v>
      </c>
      <c r="F533" t="s">
        <v>17</v>
      </c>
      <c r="G533">
        <v>4</v>
      </c>
      <c r="H533" t="s">
        <v>342</v>
      </c>
      <c r="I533" t="b">
        <v>1</v>
      </c>
      <c r="J533" t="s">
        <v>812</v>
      </c>
      <c r="K533" s="10">
        <v>0.669444444444444</v>
      </c>
      <c r="L533" s="10">
        <v>0.696527777777778</v>
      </c>
      <c r="M533">
        <v>39</v>
      </c>
      <c r="N533" t="b">
        <v>1</v>
      </c>
      <c r="O533" t="s">
        <v>23</v>
      </c>
    </row>
    <row r="534" spans="1:15">
      <c r="A534">
        <v>533</v>
      </c>
      <c r="B534" t="s">
        <v>813</v>
      </c>
      <c r="C534" t="s">
        <v>16</v>
      </c>
      <c r="D534" s="9">
        <v>31288</v>
      </c>
      <c r="E534">
        <v>39</v>
      </c>
      <c r="F534" t="s">
        <v>17</v>
      </c>
      <c r="G534">
        <v>4</v>
      </c>
      <c r="H534" t="s">
        <v>814</v>
      </c>
      <c r="I534" t="b">
        <v>0</v>
      </c>
      <c r="K534" s="10">
        <v>0.790277777777778</v>
      </c>
      <c r="L534" s="10">
        <v>0.900694444444444</v>
      </c>
      <c r="M534">
        <v>159</v>
      </c>
      <c r="N534" t="b">
        <v>0</v>
      </c>
    </row>
    <row r="535" spans="1:15">
      <c r="A535">
        <v>534</v>
      </c>
      <c r="B535" t="s">
        <v>815</v>
      </c>
      <c r="C535" t="s">
        <v>25</v>
      </c>
      <c r="D535" s="9">
        <v>35095</v>
      </c>
      <c r="E535">
        <v>28</v>
      </c>
      <c r="F535" t="s">
        <v>21</v>
      </c>
      <c r="G535">
        <v>5</v>
      </c>
      <c r="H535" t="s">
        <v>816</v>
      </c>
      <c r="I535" t="b">
        <v>0</v>
      </c>
      <c r="K535" s="10">
        <v>0.620138888888889</v>
      </c>
      <c r="L535" s="10">
        <v>0.736805555555556</v>
      </c>
      <c r="M535">
        <v>168</v>
      </c>
      <c r="N535" t="b">
        <v>0</v>
      </c>
    </row>
    <row r="536" spans="1:15">
      <c r="A536">
        <v>535</v>
      </c>
      <c r="B536" t="s">
        <v>817</v>
      </c>
      <c r="C536" t="s">
        <v>25</v>
      </c>
      <c r="D536" s="9">
        <v>38985</v>
      </c>
      <c r="E536">
        <v>18</v>
      </c>
      <c r="F536" t="s">
        <v>17</v>
      </c>
      <c r="G536">
        <v>3</v>
      </c>
      <c r="H536" t="s">
        <v>247</v>
      </c>
      <c r="I536" t="b">
        <v>1</v>
      </c>
      <c r="J536" t="s">
        <v>139</v>
      </c>
      <c r="K536" s="10">
        <v>0.740277777777778</v>
      </c>
      <c r="L536" s="10">
        <v>0.806944444444444</v>
      </c>
      <c r="M536">
        <v>96</v>
      </c>
      <c r="N536" t="b">
        <v>1</v>
      </c>
      <c r="O536" t="s">
        <v>47</v>
      </c>
    </row>
    <row r="537" spans="1:15">
      <c r="A537">
        <v>536</v>
      </c>
      <c r="B537" t="s">
        <v>229</v>
      </c>
      <c r="C537" t="s">
        <v>25</v>
      </c>
      <c r="D537" s="9">
        <v>32227</v>
      </c>
      <c r="E537">
        <v>36</v>
      </c>
      <c r="F537" t="s">
        <v>17</v>
      </c>
      <c r="G537">
        <v>3</v>
      </c>
      <c r="H537" t="s">
        <v>98</v>
      </c>
      <c r="I537" t="b">
        <v>0</v>
      </c>
      <c r="K537" s="10">
        <v>0.670138888888889</v>
      </c>
      <c r="L537" s="10">
        <v>0.696527777777778</v>
      </c>
      <c r="M537">
        <v>38</v>
      </c>
      <c r="N537" t="b">
        <v>0</v>
      </c>
    </row>
    <row r="538" spans="1:15">
      <c r="A538">
        <v>537</v>
      </c>
      <c r="B538" t="s">
        <v>818</v>
      </c>
      <c r="C538" t="s">
        <v>16</v>
      </c>
      <c r="D538" s="9">
        <v>35782</v>
      </c>
      <c r="E538">
        <v>26</v>
      </c>
      <c r="F538" t="s">
        <v>21</v>
      </c>
      <c r="G538">
        <v>3</v>
      </c>
      <c r="H538" t="s">
        <v>161</v>
      </c>
      <c r="I538" t="b">
        <v>1</v>
      </c>
      <c r="J538" t="s">
        <v>819</v>
      </c>
      <c r="K538" s="10">
        <v>0.431944444444444</v>
      </c>
      <c r="L538" s="10">
        <v>0.465972222222222</v>
      </c>
      <c r="M538">
        <v>49</v>
      </c>
      <c r="N538" t="b">
        <v>1</v>
      </c>
      <c r="O538" t="s">
        <v>23</v>
      </c>
    </row>
    <row r="539" spans="1:15">
      <c r="A539">
        <v>538</v>
      </c>
      <c r="B539" t="s">
        <v>820</v>
      </c>
      <c r="C539" t="s">
        <v>25</v>
      </c>
      <c r="D539" s="9">
        <v>29398</v>
      </c>
      <c r="E539">
        <v>44</v>
      </c>
      <c r="F539" t="s">
        <v>17</v>
      </c>
      <c r="G539">
        <v>2</v>
      </c>
      <c r="H539" t="s">
        <v>461</v>
      </c>
      <c r="I539" t="b">
        <v>0</v>
      </c>
      <c r="K539" s="10">
        <v>0.340277777777778</v>
      </c>
      <c r="L539" s="10">
        <v>0.445833333333333</v>
      </c>
      <c r="M539">
        <v>152</v>
      </c>
      <c r="N539" t="b">
        <v>1</v>
      </c>
      <c r="O539" t="s">
        <v>47</v>
      </c>
    </row>
    <row r="540" spans="1:15">
      <c r="A540">
        <v>539</v>
      </c>
      <c r="B540" t="s">
        <v>821</v>
      </c>
      <c r="C540" t="s">
        <v>25</v>
      </c>
      <c r="D540" s="9">
        <v>41139</v>
      </c>
      <c r="E540">
        <v>12</v>
      </c>
      <c r="F540" t="s">
        <v>17</v>
      </c>
      <c r="G540">
        <v>1</v>
      </c>
      <c r="H540" t="s">
        <v>81</v>
      </c>
      <c r="I540" t="b">
        <v>1</v>
      </c>
      <c r="J540" t="s">
        <v>822</v>
      </c>
      <c r="K540" s="10">
        <v>0.713888888888889</v>
      </c>
      <c r="L540" s="10">
        <v>0.736111111111111</v>
      </c>
      <c r="M540">
        <v>32</v>
      </c>
      <c r="N540" t="b">
        <v>0</v>
      </c>
    </row>
    <row r="541" spans="1:15">
      <c r="A541">
        <v>540</v>
      </c>
      <c r="B541" t="s">
        <v>823</v>
      </c>
      <c r="C541" t="s">
        <v>25</v>
      </c>
      <c r="D541" s="9">
        <v>36568</v>
      </c>
      <c r="E541">
        <v>24</v>
      </c>
      <c r="F541" t="s">
        <v>21</v>
      </c>
      <c r="G541">
        <v>1</v>
      </c>
      <c r="H541" t="s">
        <v>46</v>
      </c>
      <c r="I541" t="b">
        <v>1</v>
      </c>
      <c r="J541" t="s">
        <v>201</v>
      </c>
      <c r="K541" s="10">
        <v>0.373611111111111</v>
      </c>
      <c r="L541" s="10">
        <v>0.422916666666667</v>
      </c>
      <c r="M541">
        <v>71</v>
      </c>
      <c r="N541" t="b">
        <v>1</v>
      </c>
      <c r="O541" t="s">
        <v>50</v>
      </c>
    </row>
    <row r="542" spans="1:15">
      <c r="A542">
        <v>541</v>
      </c>
      <c r="B542" t="s">
        <v>824</v>
      </c>
      <c r="C542" t="s">
        <v>25</v>
      </c>
      <c r="D542" s="9">
        <v>28007</v>
      </c>
      <c r="E542">
        <v>48</v>
      </c>
      <c r="F542" t="s">
        <v>17</v>
      </c>
      <c r="G542">
        <v>2</v>
      </c>
      <c r="H542" t="s">
        <v>189</v>
      </c>
      <c r="I542" t="b">
        <v>0</v>
      </c>
      <c r="K542" s="10">
        <v>0.707638888888889</v>
      </c>
      <c r="L542" s="10">
        <v>0.741666666666667</v>
      </c>
      <c r="M542">
        <v>49</v>
      </c>
      <c r="N542" t="b">
        <v>0</v>
      </c>
    </row>
    <row r="543" spans="1:15">
      <c r="A543">
        <v>542</v>
      </c>
      <c r="B543" t="s">
        <v>825</v>
      </c>
      <c r="C543" t="s">
        <v>16</v>
      </c>
      <c r="D543" s="9">
        <v>40827</v>
      </c>
      <c r="E543">
        <v>12</v>
      </c>
      <c r="F543" t="s">
        <v>17</v>
      </c>
      <c r="G543">
        <v>1</v>
      </c>
      <c r="H543" t="s">
        <v>35</v>
      </c>
      <c r="I543" t="b">
        <v>1</v>
      </c>
      <c r="J543" t="s">
        <v>107</v>
      </c>
      <c r="K543" s="10">
        <v>0.496527777777778</v>
      </c>
      <c r="L543" s="10">
        <v>0.6125</v>
      </c>
      <c r="M543">
        <v>167</v>
      </c>
      <c r="N543" t="b">
        <v>0</v>
      </c>
    </row>
    <row r="544" spans="1:15">
      <c r="A544">
        <v>543</v>
      </c>
      <c r="B544" t="s">
        <v>826</v>
      </c>
      <c r="C544" t="s">
        <v>16</v>
      </c>
      <c r="D544" s="9">
        <v>34914</v>
      </c>
      <c r="E544">
        <v>29</v>
      </c>
      <c r="F544" t="s">
        <v>21</v>
      </c>
      <c r="G544">
        <v>2</v>
      </c>
      <c r="H544" t="s">
        <v>40</v>
      </c>
      <c r="I544" t="b">
        <v>0</v>
      </c>
      <c r="K544" s="10">
        <v>0.614583333333333</v>
      </c>
      <c r="L544" s="10">
        <v>0.654166666666667</v>
      </c>
      <c r="M544">
        <v>57</v>
      </c>
      <c r="N544" t="b">
        <v>1</v>
      </c>
      <c r="O544" t="s">
        <v>47</v>
      </c>
    </row>
    <row r="545" spans="1:15">
      <c r="A545">
        <v>544</v>
      </c>
      <c r="B545" t="s">
        <v>827</v>
      </c>
      <c r="C545" t="s">
        <v>16</v>
      </c>
      <c r="D545" s="9">
        <v>41173</v>
      </c>
      <c r="E545">
        <v>12</v>
      </c>
      <c r="F545" t="s">
        <v>17</v>
      </c>
      <c r="G545">
        <v>2</v>
      </c>
      <c r="H545" t="s">
        <v>210</v>
      </c>
      <c r="I545" t="b">
        <v>1</v>
      </c>
      <c r="J545" t="s">
        <v>581</v>
      </c>
      <c r="K545" s="10">
        <v>0.409027777777778</v>
      </c>
      <c r="L545" s="10">
        <v>0.441666666666667</v>
      </c>
      <c r="M545">
        <v>47</v>
      </c>
      <c r="N545" t="b">
        <v>1</v>
      </c>
      <c r="O545" t="s">
        <v>50</v>
      </c>
    </row>
    <row r="546" spans="1:15">
      <c r="A546">
        <v>545</v>
      </c>
      <c r="B546" t="s">
        <v>828</v>
      </c>
      <c r="C546" t="s">
        <v>16</v>
      </c>
      <c r="D546" s="9">
        <v>31930</v>
      </c>
      <c r="E546">
        <v>37</v>
      </c>
      <c r="F546" t="s">
        <v>17</v>
      </c>
      <c r="G546">
        <v>1</v>
      </c>
      <c r="H546" t="s">
        <v>35</v>
      </c>
      <c r="I546" t="b">
        <v>1</v>
      </c>
      <c r="J546" t="s">
        <v>83</v>
      </c>
      <c r="K546" s="10">
        <v>0.643055555555556</v>
      </c>
      <c r="L546" s="10">
        <v>0.750694444444444</v>
      </c>
      <c r="M546">
        <v>155</v>
      </c>
      <c r="N546" t="b">
        <v>0</v>
      </c>
    </row>
    <row r="547" spans="1:15">
      <c r="A547">
        <v>546</v>
      </c>
      <c r="B547" t="s">
        <v>829</v>
      </c>
      <c r="C547" t="s">
        <v>16</v>
      </c>
      <c r="D547" s="9">
        <v>37929</v>
      </c>
      <c r="E547">
        <v>20</v>
      </c>
      <c r="F547" t="s">
        <v>21</v>
      </c>
      <c r="G547">
        <v>1</v>
      </c>
      <c r="H547" t="s">
        <v>185</v>
      </c>
      <c r="I547" t="b">
        <v>0</v>
      </c>
      <c r="K547" s="10">
        <v>0.371527777777778</v>
      </c>
      <c r="L547" s="10">
        <v>0.413194444444444</v>
      </c>
      <c r="M547">
        <v>60</v>
      </c>
      <c r="N547" t="b">
        <v>1</v>
      </c>
      <c r="O547" t="s">
        <v>50</v>
      </c>
    </row>
    <row r="548" spans="1:15">
      <c r="A548">
        <v>547</v>
      </c>
      <c r="B548" t="s">
        <v>830</v>
      </c>
      <c r="C548" t="s">
        <v>25</v>
      </c>
      <c r="D548" s="9">
        <v>37507</v>
      </c>
      <c r="E548">
        <v>22</v>
      </c>
      <c r="F548" t="s">
        <v>21</v>
      </c>
      <c r="G548">
        <v>2</v>
      </c>
      <c r="H548" t="s">
        <v>101</v>
      </c>
      <c r="I548" t="b">
        <v>0</v>
      </c>
      <c r="K548" s="10">
        <v>0.679861111111111</v>
      </c>
      <c r="L548" s="10">
        <v>0.792361111111111</v>
      </c>
      <c r="M548">
        <v>162</v>
      </c>
      <c r="N548" t="b">
        <v>0</v>
      </c>
    </row>
    <row r="549" spans="1:15">
      <c r="A549">
        <v>548</v>
      </c>
      <c r="B549" t="s">
        <v>831</v>
      </c>
      <c r="C549" t="s">
        <v>16</v>
      </c>
      <c r="D549" s="9">
        <v>40667</v>
      </c>
      <c r="E549">
        <v>13</v>
      </c>
      <c r="F549" t="s">
        <v>21</v>
      </c>
      <c r="G549">
        <v>2</v>
      </c>
      <c r="H549" t="s">
        <v>166</v>
      </c>
      <c r="I549" t="b">
        <v>1</v>
      </c>
      <c r="J549" t="s">
        <v>832</v>
      </c>
      <c r="K549" s="10">
        <v>0.691666666666667</v>
      </c>
      <c r="L549" s="10">
        <v>0.7625</v>
      </c>
      <c r="M549">
        <v>102</v>
      </c>
      <c r="N549" t="b">
        <v>0</v>
      </c>
    </row>
    <row r="550" spans="1:15">
      <c r="A550">
        <v>549</v>
      </c>
      <c r="B550" t="s">
        <v>833</v>
      </c>
      <c r="C550" t="s">
        <v>25</v>
      </c>
      <c r="D550" s="9">
        <v>32720</v>
      </c>
      <c r="E550">
        <v>35</v>
      </c>
      <c r="F550" t="s">
        <v>17</v>
      </c>
      <c r="G550">
        <v>1</v>
      </c>
      <c r="H550" t="s">
        <v>46</v>
      </c>
      <c r="I550" t="b">
        <v>1</v>
      </c>
      <c r="J550" t="s">
        <v>834</v>
      </c>
      <c r="K550" s="10">
        <v>0.685416666666667</v>
      </c>
      <c r="L550" s="10">
        <v>0.743055555555555</v>
      </c>
      <c r="M550">
        <v>83</v>
      </c>
      <c r="N550" t="b">
        <v>1</v>
      </c>
      <c r="O550" t="s">
        <v>47</v>
      </c>
    </row>
    <row r="551" spans="1:15">
      <c r="A551">
        <v>550</v>
      </c>
      <c r="B551" t="s">
        <v>835</v>
      </c>
      <c r="C551" t="s">
        <v>16</v>
      </c>
      <c r="D551" s="9">
        <v>38960</v>
      </c>
      <c r="E551">
        <v>18</v>
      </c>
      <c r="F551" t="s">
        <v>17</v>
      </c>
      <c r="G551">
        <v>1</v>
      </c>
      <c r="H551" t="s">
        <v>81</v>
      </c>
      <c r="I551" t="b">
        <v>0</v>
      </c>
      <c r="K551" s="10">
        <v>0.750694444444444</v>
      </c>
      <c r="L551" s="10">
        <v>0.809027777777778</v>
      </c>
      <c r="M551">
        <v>84</v>
      </c>
      <c r="N551" t="b">
        <v>1</v>
      </c>
      <c r="O551" t="s">
        <v>47</v>
      </c>
    </row>
    <row r="552" spans="1:15">
      <c r="A552">
        <v>551</v>
      </c>
      <c r="B552" t="s">
        <v>836</v>
      </c>
      <c r="C552" t="s">
        <v>16</v>
      </c>
      <c r="D552" s="9">
        <v>32407</v>
      </c>
      <c r="E552">
        <v>36</v>
      </c>
      <c r="F552" t="s">
        <v>21</v>
      </c>
      <c r="G552">
        <v>2</v>
      </c>
      <c r="H552" t="s">
        <v>166</v>
      </c>
      <c r="I552" t="b">
        <v>0</v>
      </c>
      <c r="K552" s="10">
        <v>0.651388888888889</v>
      </c>
      <c r="L552" s="10">
        <v>0.695833333333333</v>
      </c>
      <c r="M552">
        <v>64</v>
      </c>
      <c r="N552" t="b">
        <v>1</v>
      </c>
      <c r="O552" t="s">
        <v>28</v>
      </c>
    </row>
    <row r="553" spans="1:15">
      <c r="A553">
        <v>552</v>
      </c>
      <c r="B553" t="s">
        <v>365</v>
      </c>
      <c r="C553" t="s">
        <v>16</v>
      </c>
      <c r="D553" s="9">
        <v>31721</v>
      </c>
      <c r="E553">
        <v>37</v>
      </c>
      <c r="F553" t="s">
        <v>21</v>
      </c>
      <c r="G553">
        <v>1</v>
      </c>
      <c r="H553" t="s">
        <v>26</v>
      </c>
      <c r="I553" t="b">
        <v>1</v>
      </c>
      <c r="J553" t="s">
        <v>837</v>
      </c>
      <c r="K553" s="10">
        <v>0.663194444444444</v>
      </c>
      <c r="L553" s="10">
        <v>0.7125</v>
      </c>
      <c r="M553">
        <v>71</v>
      </c>
      <c r="N553" t="b">
        <v>0</v>
      </c>
    </row>
    <row r="554" spans="1:15">
      <c r="A554">
        <v>553</v>
      </c>
      <c r="B554" t="s">
        <v>838</v>
      </c>
      <c r="C554" t="s">
        <v>25</v>
      </c>
      <c r="D554" s="9">
        <v>31760</v>
      </c>
      <c r="E554">
        <v>37</v>
      </c>
      <c r="F554" t="s">
        <v>21</v>
      </c>
      <c r="G554">
        <v>3</v>
      </c>
      <c r="H554" t="s">
        <v>159</v>
      </c>
      <c r="I554" t="b">
        <v>1</v>
      </c>
      <c r="J554" t="s">
        <v>839</v>
      </c>
      <c r="K554" s="10">
        <v>0.765972222222222</v>
      </c>
      <c r="L554" s="10">
        <v>0.840277777777778</v>
      </c>
      <c r="M554">
        <v>107</v>
      </c>
      <c r="N554" t="b">
        <v>0</v>
      </c>
    </row>
    <row r="555" spans="1:15">
      <c r="A555">
        <v>554</v>
      </c>
      <c r="B555" t="s">
        <v>840</v>
      </c>
      <c r="C555" t="s">
        <v>16</v>
      </c>
      <c r="D555" s="9">
        <v>28509</v>
      </c>
      <c r="E555">
        <v>46</v>
      </c>
      <c r="F555" t="s">
        <v>17</v>
      </c>
      <c r="G555">
        <v>3</v>
      </c>
      <c r="H555" t="s">
        <v>245</v>
      </c>
      <c r="I555" t="b">
        <v>1</v>
      </c>
      <c r="J555" t="s">
        <v>841</v>
      </c>
      <c r="K555" s="10">
        <v>0.760416666666667</v>
      </c>
      <c r="L555" s="10">
        <v>0.796527777777778</v>
      </c>
      <c r="M555">
        <v>52</v>
      </c>
      <c r="N555" t="b">
        <v>1</v>
      </c>
      <c r="O555" t="s">
        <v>47</v>
      </c>
    </row>
    <row r="556" spans="1:15">
      <c r="A556">
        <v>555</v>
      </c>
      <c r="B556" t="s">
        <v>842</v>
      </c>
      <c r="C556" t="s">
        <v>25</v>
      </c>
      <c r="D556" s="9">
        <v>31194</v>
      </c>
      <c r="E556">
        <v>39</v>
      </c>
      <c r="F556" t="s">
        <v>17</v>
      </c>
      <c r="G556">
        <v>4</v>
      </c>
      <c r="H556" t="s">
        <v>798</v>
      </c>
      <c r="I556" t="b">
        <v>1</v>
      </c>
      <c r="J556" t="s">
        <v>44</v>
      </c>
      <c r="K556" s="10">
        <v>0.806944444444444</v>
      </c>
      <c r="L556" s="10">
        <v>0.874305555555556</v>
      </c>
      <c r="M556">
        <v>97</v>
      </c>
      <c r="N556" t="b">
        <v>0</v>
      </c>
    </row>
    <row r="557" spans="1:15">
      <c r="A557">
        <v>556</v>
      </c>
      <c r="B557" t="s">
        <v>843</v>
      </c>
      <c r="C557" t="s">
        <v>16</v>
      </c>
      <c r="D557" s="9">
        <v>31157</v>
      </c>
      <c r="E557">
        <v>39</v>
      </c>
      <c r="F557" t="s">
        <v>21</v>
      </c>
      <c r="G557">
        <v>2</v>
      </c>
      <c r="H557" t="s">
        <v>72</v>
      </c>
      <c r="I557" t="b">
        <v>0</v>
      </c>
      <c r="K557" s="10">
        <v>0.438888888888889</v>
      </c>
      <c r="L557" s="10">
        <v>0.493055555555556</v>
      </c>
      <c r="M557">
        <v>78</v>
      </c>
      <c r="N557" t="b">
        <v>0</v>
      </c>
    </row>
    <row r="558" spans="1:15">
      <c r="A558">
        <v>557</v>
      </c>
      <c r="B558" t="s">
        <v>844</v>
      </c>
      <c r="C558" t="s">
        <v>16</v>
      </c>
      <c r="D558" s="9">
        <v>31862</v>
      </c>
      <c r="E558">
        <v>37</v>
      </c>
      <c r="F558" t="s">
        <v>21</v>
      </c>
      <c r="G558">
        <v>1</v>
      </c>
      <c r="H558" t="s">
        <v>49</v>
      </c>
      <c r="I558" t="b">
        <v>1</v>
      </c>
      <c r="J558" t="s">
        <v>845</v>
      </c>
      <c r="K558" s="10">
        <v>0.441666666666667</v>
      </c>
      <c r="L558" s="10">
        <v>0.479166666666667</v>
      </c>
      <c r="M558">
        <v>54</v>
      </c>
      <c r="N558" t="b">
        <v>0</v>
      </c>
    </row>
    <row r="559" spans="1:15">
      <c r="A559">
        <v>558</v>
      </c>
      <c r="B559" t="s">
        <v>846</v>
      </c>
      <c r="C559" t="s">
        <v>25</v>
      </c>
      <c r="D559" s="9">
        <v>27724</v>
      </c>
      <c r="E559">
        <v>48</v>
      </c>
      <c r="F559" t="s">
        <v>21</v>
      </c>
      <c r="G559">
        <v>3</v>
      </c>
      <c r="H559" t="s">
        <v>22</v>
      </c>
      <c r="I559" t="b">
        <v>0</v>
      </c>
      <c r="K559" s="10">
        <v>0.647222222222222</v>
      </c>
      <c r="L559" s="10">
        <v>0.68125</v>
      </c>
      <c r="M559">
        <v>49</v>
      </c>
      <c r="N559" t="b">
        <v>1</v>
      </c>
      <c r="O559" t="s">
        <v>50</v>
      </c>
    </row>
    <row r="560" spans="1:15">
      <c r="A560">
        <v>559</v>
      </c>
      <c r="B560" t="s">
        <v>847</v>
      </c>
      <c r="C560" t="s">
        <v>16</v>
      </c>
      <c r="D560" s="9">
        <v>28710</v>
      </c>
      <c r="E560">
        <v>46</v>
      </c>
      <c r="F560" t="s">
        <v>17</v>
      </c>
      <c r="G560">
        <v>2</v>
      </c>
      <c r="H560" t="s">
        <v>40</v>
      </c>
      <c r="I560" t="b">
        <v>0</v>
      </c>
      <c r="K560" s="10">
        <v>0.745833333333333</v>
      </c>
      <c r="L560" s="10">
        <v>0.821527777777778</v>
      </c>
      <c r="M560">
        <v>109</v>
      </c>
      <c r="N560" t="b">
        <v>0</v>
      </c>
    </row>
    <row r="561" spans="1:15">
      <c r="A561">
        <v>560</v>
      </c>
      <c r="B561" t="s">
        <v>848</v>
      </c>
      <c r="C561" t="s">
        <v>16</v>
      </c>
      <c r="D561" s="9">
        <v>29049</v>
      </c>
      <c r="E561">
        <v>45</v>
      </c>
      <c r="F561" t="s">
        <v>21</v>
      </c>
      <c r="G561">
        <v>2</v>
      </c>
      <c r="H561" t="s">
        <v>187</v>
      </c>
      <c r="I561" t="b">
        <v>0</v>
      </c>
      <c r="K561" s="10">
        <v>0.65</v>
      </c>
      <c r="L561" s="10">
        <v>0.743055555555555</v>
      </c>
      <c r="M561">
        <v>134</v>
      </c>
      <c r="N561" t="b">
        <v>1</v>
      </c>
      <c r="O561" t="s">
        <v>50</v>
      </c>
    </row>
    <row r="562" spans="1:15">
      <c r="A562">
        <v>561</v>
      </c>
      <c r="B562" t="s">
        <v>849</v>
      </c>
      <c r="C562" t="s">
        <v>16</v>
      </c>
      <c r="D562" s="9">
        <v>29852</v>
      </c>
      <c r="E562">
        <v>43</v>
      </c>
      <c r="F562" t="s">
        <v>17</v>
      </c>
      <c r="G562">
        <v>5</v>
      </c>
      <c r="H562" t="s">
        <v>347</v>
      </c>
      <c r="I562" t="b">
        <v>1</v>
      </c>
      <c r="J562" t="s">
        <v>850</v>
      </c>
      <c r="K562" s="10">
        <v>0.555555555555556</v>
      </c>
      <c r="L562" s="10">
        <v>0.618055555555556</v>
      </c>
      <c r="M562">
        <v>90</v>
      </c>
      <c r="N562" t="b">
        <v>0</v>
      </c>
    </row>
    <row r="563" spans="1:15">
      <c r="A563">
        <v>562</v>
      </c>
      <c r="B563" t="s">
        <v>851</v>
      </c>
      <c r="C563" t="s">
        <v>16</v>
      </c>
      <c r="D563" s="9">
        <v>31694</v>
      </c>
      <c r="E563">
        <v>37</v>
      </c>
      <c r="F563" t="s">
        <v>21</v>
      </c>
      <c r="G563">
        <v>1</v>
      </c>
      <c r="H563" t="s">
        <v>59</v>
      </c>
      <c r="I563" t="b">
        <v>1</v>
      </c>
      <c r="J563" t="s">
        <v>201</v>
      </c>
      <c r="K563" s="10">
        <v>0.536111111111111</v>
      </c>
      <c r="L563" s="10">
        <v>0.652083333333333</v>
      </c>
      <c r="M563">
        <v>167</v>
      </c>
      <c r="N563" t="b">
        <v>0</v>
      </c>
    </row>
    <row r="564" spans="1:15">
      <c r="A564">
        <v>563</v>
      </c>
      <c r="B564" t="s">
        <v>852</v>
      </c>
      <c r="C564" t="s">
        <v>16</v>
      </c>
      <c r="D564" s="9">
        <v>39619</v>
      </c>
      <c r="E564">
        <v>16</v>
      </c>
      <c r="F564" t="s">
        <v>17</v>
      </c>
      <c r="G564">
        <v>5</v>
      </c>
      <c r="H564" t="s">
        <v>96</v>
      </c>
      <c r="I564" t="b">
        <v>0</v>
      </c>
      <c r="K564" s="10">
        <v>0.777083333333333</v>
      </c>
      <c r="L564" s="10">
        <v>0.835416666666667</v>
      </c>
      <c r="M564">
        <v>84</v>
      </c>
      <c r="N564" t="b">
        <v>1</v>
      </c>
      <c r="O564" t="s">
        <v>47</v>
      </c>
    </row>
    <row r="565" spans="1:15">
      <c r="A565">
        <v>564</v>
      </c>
      <c r="B565" t="s">
        <v>853</v>
      </c>
      <c r="C565" t="s">
        <v>16</v>
      </c>
      <c r="D565" s="9">
        <v>39156</v>
      </c>
      <c r="E565">
        <v>17</v>
      </c>
      <c r="F565" t="s">
        <v>21</v>
      </c>
      <c r="G565">
        <v>2</v>
      </c>
      <c r="H565" t="s">
        <v>203</v>
      </c>
      <c r="I565" t="b">
        <v>0</v>
      </c>
      <c r="K565" s="10">
        <v>0.707638888888889</v>
      </c>
      <c r="L565" s="10">
        <v>0.789583333333333</v>
      </c>
      <c r="M565">
        <v>118</v>
      </c>
      <c r="N565" t="b">
        <v>0</v>
      </c>
    </row>
    <row r="566" spans="1:15">
      <c r="A566">
        <v>565</v>
      </c>
      <c r="B566" t="s">
        <v>207</v>
      </c>
      <c r="C566" t="s">
        <v>25</v>
      </c>
      <c r="D566" s="9">
        <v>30029</v>
      </c>
      <c r="E566">
        <v>42</v>
      </c>
      <c r="F566" t="s">
        <v>21</v>
      </c>
      <c r="G566">
        <v>1</v>
      </c>
      <c r="H566" t="s">
        <v>59</v>
      </c>
      <c r="I566" t="b">
        <v>1</v>
      </c>
      <c r="J566" t="s">
        <v>854</v>
      </c>
      <c r="K566" s="10">
        <v>0.536111111111111</v>
      </c>
      <c r="L566" s="10">
        <v>0.557638888888889</v>
      </c>
      <c r="M566">
        <v>31</v>
      </c>
      <c r="N566" t="b">
        <v>0</v>
      </c>
    </row>
    <row r="567" spans="1:15">
      <c r="A567">
        <v>566</v>
      </c>
      <c r="B567" t="s">
        <v>855</v>
      </c>
      <c r="C567" t="s">
        <v>16</v>
      </c>
      <c r="D567" s="9">
        <v>33424</v>
      </c>
      <c r="E567">
        <v>33</v>
      </c>
      <c r="F567" t="s">
        <v>21</v>
      </c>
      <c r="G567">
        <v>2</v>
      </c>
      <c r="H567" t="s">
        <v>138</v>
      </c>
      <c r="I567" t="b">
        <v>0</v>
      </c>
      <c r="K567" s="10">
        <v>0.413888888888889</v>
      </c>
      <c r="L567" s="10">
        <v>0.530555555555556</v>
      </c>
      <c r="M567">
        <v>168</v>
      </c>
      <c r="N567" t="b">
        <v>1</v>
      </c>
      <c r="O567" t="s">
        <v>50</v>
      </c>
    </row>
    <row r="568" spans="1:15">
      <c r="A568">
        <v>567</v>
      </c>
      <c r="B568" t="s">
        <v>856</v>
      </c>
      <c r="C568" t="s">
        <v>16</v>
      </c>
      <c r="D568" s="9">
        <v>29183</v>
      </c>
      <c r="E568">
        <v>44</v>
      </c>
      <c r="F568" t="s">
        <v>17</v>
      </c>
      <c r="G568">
        <v>4</v>
      </c>
      <c r="H568" t="s">
        <v>123</v>
      </c>
      <c r="I568" t="b">
        <v>1</v>
      </c>
      <c r="J568" t="s">
        <v>19</v>
      </c>
      <c r="K568" s="10">
        <v>0.797916666666667</v>
      </c>
      <c r="L568" s="10">
        <v>0.859027777777778</v>
      </c>
      <c r="M568">
        <v>88</v>
      </c>
      <c r="N568" t="b">
        <v>0</v>
      </c>
    </row>
    <row r="569" spans="1:15">
      <c r="A569">
        <v>568</v>
      </c>
      <c r="B569" t="s">
        <v>857</v>
      </c>
      <c r="C569" t="s">
        <v>16</v>
      </c>
      <c r="D569" s="9">
        <v>32746</v>
      </c>
      <c r="E569">
        <v>35</v>
      </c>
      <c r="F569" t="s">
        <v>17</v>
      </c>
      <c r="G569">
        <v>5</v>
      </c>
      <c r="H569" t="s">
        <v>456</v>
      </c>
      <c r="I569" t="b">
        <v>0</v>
      </c>
      <c r="K569" s="10">
        <v>0.445138888888889</v>
      </c>
      <c r="L569" s="10">
        <v>0.488194444444444</v>
      </c>
      <c r="M569">
        <v>62</v>
      </c>
      <c r="N569" t="b">
        <v>0</v>
      </c>
    </row>
    <row r="570" spans="1:15">
      <c r="A570">
        <v>569</v>
      </c>
      <c r="B570" t="s">
        <v>858</v>
      </c>
      <c r="C570" t="s">
        <v>25</v>
      </c>
      <c r="D570" s="9">
        <v>34171</v>
      </c>
      <c r="E570">
        <v>31</v>
      </c>
      <c r="F570" t="s">
        <v>17</v>
      </c>
      <c r="G570">
        <v>2</v>
      </c>
      <c r="H570" t="s">
        <v>111</v>
      </c>
      <c r="I570" t="b">
        <v>1</v>
      </c>
      <c r="J570" t="s">
        <v>859</v>
      </c>
      <c r="K570" s="10">
        <v>0.852777777777778</v>
      </c>
      <c r="L570" s="10">
        <v>0.953472222222222</v>
      </c>
      <c r="M570">
        <v>145</v>
      </c>
      <c r="N570" t="b">
        <v>1</v>
      </c>
      <c r="O570" t="s">
        <v>50</v>
      </c>
    </row>
    <row r="571" spans="1:15">
      <c r="A571">
        <v>570</v>
      </c>
      <c r="B571" t="s">
        <v>860</v>
      </c>
      <c r="C571" t="s">
        <v>25</v>
      </c>
      <c r="D571" s="9">
        <v>30636</v>
      </c>
      <c r="E571">
        <v>40</v>
      </c>
      <c r="F571" t="s">
        <v>21</v>
      </c>
      <c r="G571">
        <v>1</v>
      </c>
      <c r="H571" t="s">
        <v>59</v>
      </c>
      <c r="I571" t="b">
        <v>0</v>
      </c>
      <c r="K571" s="10">
        <v>0.770833333333333</v>
      </c>
      <c r="L571" s="10">
        <v>0.857638888888889</v>
      </c>
      <c r="M571">
        <v>125</v>
      </c>
      <c r="N571" t="b">
        <v>0</v>
      </c>
    </row>
    <row r="572" spans="1:15">
      <c r="A572">
        <v>571</v>
      </c>
      <c r="B572" t="s">
        <v>861</v>
      </c>
      <c r="C572" t="s">
        <v>16</v>
      </c>
      <c r="D572" s="9">
        <v>27504</v>
      </c>
      <c r="E572">
        <v>49</v>
      </c>
      <c r="F572" t="s">
        <v>17</v>
      </c>
      <c r="G572">
        <v>2</v>
      </c>
      <c r="H572" t="s">
        <v>121</v>
      </c>
      <c r="I572" t="b">
        <v>0</v>
      </c>
      <c r="K572" s="10">
        <v>0.424305555555556</v>
      </c>
      <c r="L572" s="10">
        <v>0.472916666666667</v>
      </c>
      <c r="M572">
        <v>70</v>
      </c>
      <c r="N572" t="b">
        <v>1</v>
      </c>
      <c r="O572" t="s">
        <v>50</v>
      </c>
    </row>
    <row r="573" spans="1:15">
      <c r="A573">
        <v>572</v>
      </c>
      <c r="B573" t="s">
        <v>862</v>
      </c>
      <c r="C573" t="s">
        <v>16</v>
      </c>
      <c r="D573" s="9">
        <v>39655</v>
      </c>
      <c r="E573">
        <v>16</v>
      </c>
      <c r="F573" t="s">
        <v>21</v>
      </c>
      <c r="G573">
        <v>5</v>
      </c>
      <c r="H573" t="s">
        <v>863</v>
      </c>
      <c r="I573" t="b">
        <v>1</v>
      </c>
      <c r="J573" t="s">
        <v>93</v>
      </c>
      <c r="K573" s="10">
        <v>0.711111111111111</v>
      </c>
      <c r="L573" s="10">
        <v>0.731944444444444</v>
      </c>
      <c r="M573">
        <v>30</v>
      </c>
      <c r="N573" t="b">
        <v>0</v>
      </c>
    </row>
    <row r="574" spans="1:15">
      <c r="A574">
        <v>573</v>
      </c>
      <c r="B574" t="s">
        <v>864</v>
      </c>
      <c r="C574" t="s">
        <v>25</v>
      </c>
      <c r="D574" s="9">
        <v>35539</v>
      </c>
      <c r="E574">
        <v>27</v>
      </c>
      <c r="F574" t="s">
        <v>17</v>
      </c>
      <c r="G574">
        <v>3</v>
      </c>
      <c r="H574" t="s">
        <v>57</v>
      </c>
      <c r="I574" t="b">
        <v>0</v>
      </c>
      <c r="K574" s="10">
        <v>0.761111111111111</v>
      </c>
      <c r="L574" s="10">
        <v>0.800694444444444</v>
      </c>
      <c r="M574">
        <v>57</v>
      </c>
      <c r="N574" t="b">
        <v>0</v>
      </c>
    </row>
    <row r="575" spans="1:15">
      <c r="A575">
        <v>574</v>
      </c>
      <c r="B575" t="s">
        <v>668</v>
      </c>
      <c r="C575" t="s">
        <v>16</v>
      </c>
      <c r="D575" s="9">
        <v>27483</v>
      </c>
      <c r="E575">
        <v>49</v>
      </c>
      <c r="F575" t="s">
        <v>17</v>
      </c>
      <c r="G575">
        <v>2</v>
      </c>
      <c r="H575" t="s">
        <v>509</v>
      </c>
      <c r="I575" t="b">
        <v>0</v>
      </c>
      <c r="K575" s="10">
        <v>0.8125</v>
      </c>
      <c r="L575" s="10">
        <v>0.936805555555556</v>
      </c>
      <c r="M575">
        <v>179</v>
      </c>
      <c r="N575" t="b">
        <v>1</v>
      </c>
      <c r="O575" t="s">
        <v>23</v>
      </c>
    </row>
    <row r="576" spans="1:15">
      <c r="A576">
        <v>575</v>
      </c>
      <c r="B576" t="s">
        <v>865</v>
      </c>
      <c r="C576" t="s">
        <v>16</v>
      </c>
      <c r="D576" s="9">
        <v>33306</v>
      </c>
      <c r="E576">
        <v>33</v>
      </c>
      <c r="F576" t="s">
        <v>17</v>
      </c>
      <c r="G576">
        <v>1</v>
      </c>
      <c r="H576" t="s">
        <v>46</v>
      </c>
      <c r="I576" t="b">
        <v>0</v>
      </c>
      <c r="K576" s="10">
        <v>0.686805555555556</v>
      </c>
      <c r="L576" s="10">
        <v>0.782638888888889</v>
      </c>
      <c r="M576">
        <v>138</v>
      </c>
      <c r="N576" t="b">
        <v>1</v>
      </c>
      <c r="O576" t="s">
        <v>50</v>
      </c>
    </row>
    <row r="577" spans="1:15">
      <c r="A577">
        <v>576</v>
      </c>
      <c r="B577" t="s">
        <v>866</v>
      </c>
      <c r="C577" t="s">
        <v>25</v>
      </c>
      <c r="D577" s="9">
        <v>39609</v>
      </c>
      <c r="E577">
        <v>16</v>
      </c>
      <c r="F577" t="s">
        <v>17</v>
      </c>
      <c r="G577">
        <v>2</v>
      </c>
      <c r="H577" t="s">
        <v>272</v>
      </c>
      <c r="I577" t="b">
        <v>1</v>
      </c>
      <c r="J577" t="s">
        <v>691</v>
      </c>
      <c r="K577" s="10">
        <v>0.527777777777778</v>
      </c>
      <c r="L577" s="10">
        <v>0.60625</v>
      </c>
      <c r="M577">
        <v>113</v>
      </c>
      <c r="N577" t="b">
        <v>1</v>
      </c>
      <c r="O577" t="s">
        <v>23</v>
      </c>
    </row>
    <row r="578" spans="1:15">
      <c r="A578">
        <v>577</v>
      </c>
      <c r="B578" t="s">
        <v>867</v>
      </c>
      <c r="C578" t="s">
        <v>16</v>
      </c>
      <c r="D578" s="9">
        <v>37584</v>
      </c>
      <c r="E578">
        <v>21</v>
      </c>
      <c r="F578" t="s">
        <v>21</v>
      </c>
      <c r="G578">
        <v>2</v>
      </c>
      <c r="H578" t="s">
        <v>210</v>
      </c>
      <c r="I578" t="b">
        <v>0</v>
      </c>
      <c r="K578" s="10">
        <v>0.434722222222222</v>
      </c>
      <c r="L578" s="10">
        <v>0.51875</v>
      </c>
      <c r="M578">
        <v>121</v>
      </c>
      <c r="N578" t="b">
        <v>1</v>
      </c>
      <c r="O578" t="s">
        <v>28</v>
      </c>
    </row>
    <row r="579" spans="1:15">
      <c r="A579">
        <v>578</v>
      </c>
      <c r="B579" t="s">
        <v>868</v>
      </c>
      <c r="C579" t="s">
        <v>25</v>
      </c>
      <c r="D579" s="9">
        <v>30408</v>
      </c>
      <c r="E579">
        <v>41</v>
      </c>
      <c r="F579" t="s">
        <v>17</v>
      </c>
      <c r="G579">
        <v>5</v>
      </c>
      <c r="H579" t="s">
        <v>127</v>
      </c>
      <c r="I579" t="b">
        <v>0</v>
      </c>
      <c r="K579" s="10">
        <v>0.857638888888889</v>
      </c>
      <c r="L579" s="10">
        <v>0.980555555555556</v>
      </c>
      <c r="M579">
        <v>177</v>
      </c>
      <c r="N579" t="b">
        <v>0</v>
      </c>
    </row>
    <row r="580" spans="1:15">
      <c r="A580">
        <v>579</v>
      </c>
      <c r="B580" t="s">
        <v>869</v>
      </c>
      <c r="C580" t="s">
        <v>25</v>
      </c>
      <c r="D580" s="9">
        <v>32438</v>
      </c>
      <c r="E580">
        <v>35</v>
      </c>
      <c r="F580" t="s">
        <v>17</v>
      </c>
      <c r="G580">
        <v>2</v>
      </c>
      <c r="H580" t="s">
        <v>40</v>
      </c>
      <c r="I580" t="b">
        <v>0</v>
      </c>
      <c r="K580" s="10">
        <v>0.826388888888889</v>
      </c>
      <c r="L580" s="10">
        <v>0.9125</v>
      </c>
      <c r="M580">
        <v>124</v>
      </c>
      <c r="N580" t="b">
        <v>1</v>
      </c>
      <c r="O580" t="s">
        <v>50</v>
      </c>
    </row>
    <row r="581" spans="1:15">
      <c r="A581">
        <v>580</v>
      </c>
      <c r="B581" t="s">
        <v>870</v>
      </c>
      <c r="C581" t="s">
        <v>25</v>
      </c>
      <c r="D581" s="9">
        <v>38927</v>
      </c>
      <c r="E581">
        <v>18</v>
      </c>
      <c r="F581" t="s">
        <v>21</v>
      </c>
      <c r="G581">
        <v>3</v>
      </c>
      <c r="H581" t="s">
        <v>130</v>
      </c>
      <c r="I581" t="b">
        <v>1</v>
      </c>
      <c r="J581" t="s">
        <v>217</v>
      </c>
      <c r="K581" s="10">
        <v>0.673611111111111</v>
      </c>
      <c r="L581" s="10">
        <v>0.779861111111111</v>
      </c>
      <c r="M581">
        <v>153</v>
      </c>
      <c r="N581" t="b">
        <v>0</v>
      </c>
    </row>
    <row r="582" spans="1:15">
      <c r="A582">
        <v>581</v>
      </c>
      <c r="B582" t="s">
        <v>871</v>
      </c>
      <c r="C582" t="s">
        <v>25</v>
      </c>
      <c r="D582" s="9">
        <v>27646</v>
      </c>
      <c r="E582">
        <v>49</v>
      </c>
      <c r="F582" t="s">
        <v>17</v>
      </c>
      <c r="G582">
        <v>3</v>
      </c>
      <c r="H582" t="s">
        <v>164</v>
      </c>
      <c r="I582" t="b">
        <v>0</v>
      </c>
      <c r="K582" s="10">
        <v>0.642361111111111</v>
      </c>
      <c r="L582" s="10">
        <v>0.745833333333333</v>
      </c>
      <c r="M582">
        <v>149</v>
      </c>
      <c r="N582" t="b">
        <v>0</v>
      </c>
    </row>
    <row r="583" spans="1:15">
      <c r="A583">
        <v>582</v>
      </c>
      <c r="B583" t="s">
        <v>872</v>
      </c>
      <c r="C583" t="s">
        <v>16</v>
      </c>
      <c r="D583" s="9">
        <v>29455</v>
      </c>
      <c r="E583">
        <v>44</v>
      </c>
      <c r="F583" t="s">
        <v>17</v>
      </c>
      <c r="G583">
        <v>2</v>
      </c>
      <c r="H583" t="s">
        <v>189</v>
      </c>
      <c r="I583" t="b">
        <v>1</v>
      </c>
      <c r="J583" t="s">
        <v>260</v>
      </c>
      <c r="K583" s="10">
        <v>0.611805555555556</v>
      </c>
      <c r="L583" s="10">
        <v>0.633333333333333</v>
      </c>
      <c r="M583">
        <v>31</v>
      </c>
      <c r="N583" t="b">
        <v>0</v>
      </c>
    </row>
    <row r="584" spans="1:15">
      <c r="A584">
        <v>583</v>
      </c>
      <c r="B584" t="s">
        <v>873</v>
      </c>
      <c r="C584" t="s">
        <v>16</v>
      </c>
      <c r="D584" s="9">
        <v>34360</v>
      </c>
      <c r="E584">
        <v>30</v>
      </c>
      <c r="F584" t="s">
        <v>21</v>
      </c>
      <c r="G584">
        <v>1</v>
      </c>
      <c r="H584" t="s">
        <v>185</v>
      </c>
      <c r="I584" t="b">
        <v>0</v>
      </c>
      <c r="K584" s="10">
        <v>0.690277777777778</v>
      </c>
      <c r="L584" s="10">
        <v>0.727777777777778</v>
      </c>
      <c r="M584">
        <v>54</v>
      </c>
      <c r="N584" t="b">
        <v>0</v>
      </c>
    </row>
    <row r="585" spans="1:15">
      <c r="A585">
        <v>584</v>
      </c>
      <c r="B585" t="s">
        <v>874</v>
      </c>
      <c r="C585" t="s">
        <v>25</v>
      </c>
      <c r="D585" s="9">
        <v>34993</v>
      </c>
      <c r="E585">
        <v>28</v>
      </c>
      <c r="F585" t="s">
        <v>21</v>
      </c>
      <c r="G585">
        <v>3</v>
      </c>
      <c r="H585" t="s">
        <v>30</v>
      </c>
      <c r="I585" t="b">
        <v>0</v>
      </c>
      <c r="K585" s="10">
        <v>0.45</v>
      </c>
      <c r="L585" s="10">
        <v>0.5375</v>
      </c>
      <c r="M585">
        <v>126</v>
      </c>
      <c r="N585" t="b">
        <v>0</v>
      </c>
    </row>
    <row r="586" spans="1:15">
      <c r="A586">
        <v>585</v>
      </c>
      <c r="B586" t="s">
        <v>875</v>
      </c>
      <c r="C586" t="s">
        <v>16</v>
      </c>
      <c r="D586" s="9">
        <v>35743</v>
      </c>
      <c r="E586">
        <v>26</v>
      </c>
      <c r="F586" t="s">
        <v>17</v>
      </c>
      <c r="G586">
        <v>2</v>
      </c>
      <c r="H586" t="s">
        <v>40</v>
      </c>
      <c r="I586" t="b">
        <v>1</v>
      </c>
      <c r="J586" t="s">
        <v>876</v>
      </c>
      <c r="K586" s="10">
        <v>0.864583333333333</v>
      </c>
      <c r="L586" s="10">
        <v>0.923611111111111</v>
      </c>
      <c r="M586">
        <v>85</v>
      </c>
      <c r="N586" t="b">
        <v>1</v>
      </c>
      <c r="O586" t="s">
        <v>23</v>
      </c>
    </row>
    <row r="587" spans="1:15">
      <c r="A587">
        <v>586</v>
      </c>
      <c r="B587" t="s">
        <v>877</v>
      </c>
      <c r="C587" t="s">
        <v>25</v>
      </c>
      <c r="D587" s="9">
        <v>33555</v>
      </c>
      <c r="E587">
        <v>32</v>
      </c>
      <c r="F587" t="s">
        <v>21</v>
      </c>
      <c r="G587">
        <v>3</v>
      </c>
      <c r="H587" t="s">
        <v>30</v>
      </c>
      <c r="I587" t="b">
        <v>0</v>
      </c>
      <c r="K587" s="10">
        <v>0.342361111111111</v>
      </c>
      <c r="L587" s="10">
        <v>0.390972222222222</v>
      </c>
      <c r="M587">
        <v>70</v>
      </c>
      <c r="N587" t="b">
        <v>0</v>
      </c>
    </row>
    <row r="588" spans="1:15">
      <c r="A588">
        <v>587</v>
      </c>
      <c r="B588" t="s">
        <v>878</v>
      </c>
      <c r="C588" t="s">
        <v>25</v>
      </c>
      <c r="D588" s="9">
        <v>35870</v>
      </c>
      <c r="E588">
        <v>26</v>
      </c>
      <c r="F588" t="s">
        <v>17</v>
      </c>
      <c r="G588">
        <v>5</v>
      </c>
      <c r="H588" t="s">
        <v>109</v>
      </c>
      <c r="I588" t="b">
        <v>1</v>
      </c>
      <c r="J588" t="s">
        <v>172</v>
      </c>
      <c r="K588" s="10">
        <v>0.664583333333333</v>
      </c>
      <c r="L588" s="10">
        <v>0.757638888888889</v>
      </c>
      <c r="M588">
        <v>134</v>
      </c>
      <c r="N588" t="b">
        <v>0</v>
      </c>
    </row>
    <row r="589" spans="1:15">
      <c r="A589">
        <v>588</v>
      </c>
      <c r="B589" t="s">
        <v>879</v>
      </c>
      <c r="C589" t="s">
        <v>25</v>
      </c>
      <c r="D589" s="9">
        <v>38329</v>
      </c>
      <c r="E589">
        <v>19</v>
      </c>
      <c r="F589" t="s">
        <v>17</v>
      </c>
      <c r="G589">
        <v>3</v>
      </c>
      <c r="H589" t="s">
        <v>266</v>
      </c>
      <c r="I589" t="b">
        <v>1</v>
      </c>
      <c r="J589" t="s">
        <v>880</v>
      </c>
      <c r="K589" s="10">
        <v>0.348611111111111</v>
      </c>
      <c r="L589" s="10">
        <v>0.448611111111111</v>
      </c>
      <c r="M589">
        <v>144</v>
      </c>
      <c r="N589" t="b">
        <v>1</v>
      </c>
      <c r="O589" t="s">
        <v>50</v>
      </c>
    </row>
    <row r="590" spans="1:15">
      <c r="A590">
        <v>589</v>
      </c>
      <c r="B590" t="s">
        <v>179</v>
      </c>
      <c r="C590" t="s">
        <v>25</v>
      </c>
      <c r="D590" s="9">
        <v>39992</v>
      </c>
      <c r="E590">
        <v>15</v>
      </c>
      <c r="F590" t="s">
        <v>21</v>
      </c>
      <c r="G590">
        <v>4</v>
      </c>
      <c r="H590" t="s">
        <v>439</v>
      </c>
      <c r="I590" t="b">
        <v>0</v>
      </c>
      <c r="K590" s="10">
        <v>0.5875</v>
      </c>
      <c r="L590" s="10">
        <v>0.686805555555556</v>
      </c>
      <c r="M590">
        <v>143</v>
      </c>
      <c r="N590" t="b">
        <v>0</v>
      </c>
    </row>
    <row r="591" spans="1:15">
      <c r="A591">
        <v>590</v>
      </c>
      <c r="B591" t="s">
        <v>881</v>
      </c>
      <c r="C591" t="s">
        <v>25</v>
      </c>
      <c r="D591" s="9">
        <v>34210</v>
      </c>
      <c r="E591">
        <v>31</v>
      </c>
      <c r="F591" t="s">
        <v>21</v>
      </c>
      <c r="G591">
        <v>2</v>
      </c>
      <c r="H591" t="s">
        <v>189</v>
      </c>
      <c r="I591" t="b">
        <v>1</v>
      </c>
      <c r="J591" t="s">
        <v>882</v>
      </c>
      <c r="K591" s="10">
        <v>0.410416666666667</v>
      </c>
      <c r="L591" s="10">
        <v>0.495138888888889</v>
      </c>
      <c r="M591">
        <v>122</v>
      </c>
      <c r="N591" t="b">
        <v>1</v>
      </c>
      <c r="O591" t="s">
        <v>23</v>
      </c>
    </row>
    <row r="592" spans="1:15">
      <c r="A592">
        <v>591</v>
      </c>
      <c r="B592" t="s">
        <v>883</v>
      </c>
      <c r="C592" t="s">
        <v>25</v>
      </c>
      <c r="D592" s="9">
        <v>30977</v>
      </c>
      <c r="E592">
        <v>39</v>
      </c>
      <c r="F592" t="s">
        <v>21</v>
      </c>
      <c r="G592">
        <v>5</v>
      </c>
      <c r="H592" t="s">
        <v>183</v>
      </c>
      <c r="I592" t="b">
        <v>1</v>
      </c>
      <c r="J592" t="s">
        <v>230</v>
      </c>
      <c r="K592" s="10">
        <v>0.534722222222222</v>
      </c>
      <c r="L592" s="10">
        <v>0.55625</v>
      </c>
      <c r="M592">
        <v>31</v>
      </c>
      <c r="N592" t="b">
        <v>1</v>
      </c>
      <c r="O592" t="s">
        <v>47</v>
      </c>
    </row>
    <row r="593" spans="1:15">
      <c r="A593">
        <v>592</v>
      </c>
      <c r="B593" t="s">
        <v>884</v>
      </c>
      <c r="C593" t="s">
        <v>16</v>
      </c>
      <c r="D593" s="9">
        <v>29546</v>
      </c>
      <c r="E593">
        <v>43</v>
      </c>
      <c r="F593" t="s">
        <v>21</v>
      </c>
      <c r="G593">
        <v>3</v>
      </c>
      <c r="H593" t="s">
        <v>222</v>
      </c>
      <c r="I593" t="b">
        <v>1</v>
      </c>
      <c r="J593" t="s">
        <v>83</v>
      </c>
      <c r="K593" s="10">
        <v>0.428472222222222</v>
      </c>
      <c r="L593" s="10">
        <v>0.529861111111111</v>
      </c>
      <c r="M593">
        <v>146</v>
      </c>
      <c r="N593" t="b">
        <v>1</v>
      </c>
      <c r="O593" t="s">
        <v>28</v>
      </c>
    </row>
    <row r="594" spans="1:15">
      <c r="A594">
        <v>593</v>
      </c>
      <c r="B594" t="s">
        <v>885</v>
      </c>
      <c r="C594" t="s">
        <v>16</v>
      </c>
      <c r="D594" s="9">
        <v>35999</v>
      </c>
      <c r="E594">
        <v>26</v>
      </c>
      <c r="F594" t="s">
        <v>21</v>
      </c>
      <c r="G594">
        <v>5</v>
      </c>
      <c r="H594" t="s">
        <v>289</v>
      </c>
      <c r="I594" t="b">
        <v>0</v>
      </c>
      <c r="K594" s="10">
        <v>0.827083333333333</v>
      </c>
      <c r="L594" s="10">
        <v>0.903472222222222</v>
      </c>
      <c r="M594">
        <v>110</v>
      </c>
      <c r="N594" t="b">
        <v>1</v>
      </c>
      <c r="O594" t="s">
        <v>23</v>
      </c>
    </row>
    <row r="595" spans="1:15">
      <c r="A595">
        <v>594</v>
      </c>
      <c r="B595" t="s">
        <v>886</v>
      </c>
      <c r="C595" t="s">
        <v>25</v>
      </c>
      <c r="D595" s="9">
        <v>39937</v>
      </c>
      <c r="E595">
        <v>15</v>
      </c>
      <c r="F595" t="s">
        <v>21</v>
      </c>
      <c r="G595">
        <v>1</v>
      </c>
      <c r="H595" t="s">
        <v>81</v>
      </c>
      <c r="I595" t="b">
        <v>1</v>
      </c>
      <c r="J595" t="s">
        <v>887</v>
      </c>
      <c r="K595" s="10">
        <v>0.334027777777778</v>
      </c>
      <c r="L595" s="10">
        <v>0.452083333333333</v>
      </c>
      <c r="M595">
        <v>170</v>
      </c>
      <c r="N595" t="b">
        <v>1</v>
      </c>
      <c r="O595" t="s">
        <v>50</v>
      </c>
    </row>
    <row r="596" spans="1:15">
      <c r="A596">
        <v>595</v>
      </c>
      <c r="B596" t="s">
        <v>888</v>
      </c>
      <c r="C596" t="s">
        <v>25</v>
      </c>
      <c r="D596" s="9">
        <v>33371</v>
      </c>
      <c r="E596">
        <v>33</v>
      </c>
      <c r="F596" t="s">
        <v>21</v>
      </c>
      <c r="G596">
        <v>2</v>
      </c>
      <c r="H596" t="s">
        <v>509</v>
      </c>
      <c r="I596" t="b">
        <v>1</v>
      </c>
      <c r="J596" t="s">
        <v>371</v>
      </c>
      <c r="K596" s="10">
        <v>0.7125</v>
      </c>
      <c r="L596" s="10">
        <v>0.798611111111111</v>
      </c>
      <c r="M596">
        <v>124</v>
      </c>
      <c r="N596" t="b">
        <v>1</v>
      </c>
      <c r="O596" t="s">
        <v>50</v>
      </c>
    </row>
    <row r="597" spans="1:15">
      <c r="A597">
        <v>596</v>
      </c>
      <c r="B597" t="s">
        <v>889</v>
      </c>
      <c r="C597" t="s">
        <v>25</v>
      </c>
      <c r="D597" s="9">
        <v>28696</v>
      </c>
      <c r="E597">
        <v>46</v>
      </c>
      <c r="F597" t="s">
        <v>17</v>
      </c>
      <c r="G597">
        <v>5</v>
      </c>
      <c r="H597" t="s">
        <v>192</v>
      </c>
      <c r="I597" t="b">
        <v>0</v>
      </c>
      <c r="K597" s="10">
        <v>0.865277777777778</v>
      </c>
      <c r="L597" s="10">
        <v>0.970833333333333</v>
      </c>
      <c r="M597">
        <v>152</v>
      </c>
      <c r="N597" t="b">
        <v>1</v>
      </c>
      <c r="O597" t="s">
        <v>50</v>
      </c>
    </row>
    <row r="598" spans="1:15">
      <c r="A598">
        <v>597</v>
      </c>
      <c r="B598" t="s">
        <v>890</v>
      </c>
      <c r="C598" t="s">
        <v>25</v>
      </c>
      <c r="D598" s="9">
        <v>27750</v>
      </c>
      <c r="E598">
        <v>48</v>
      </c>
      <c r="F598" t="s">
        <v>17</v>
      </c>
      <c r="G598">
        <v>1</v>
      </c>
      <c r="H598" t="s">
        <v>59</v>
      </c>
      <c r="I598" t="b">
        <v>0</v>
      </c>
      <c r="K598" s="10">
        <v>0.786111111111111</v>
      </c>
      <c r="L598" s="10">
        <v>0.879166666666667</v>
      </c>
      <c r="M598">
        <v>134</v>
      </c>
      <c r="N598" t="b">
        <v>1</v>
      </c>
      <c r="O598" t="s">
        <v>28</v>
      </c>
    </row>
    <row r="599" spans="1:15">
      <c r="A599">
        <v>598</v>
      </c>
      <c r="B599" t="s">
        <v>891</v>
      </c>
      <c r="C599" t="s">
        <v>16</v>
      </c>
      <c r="D599" s="9">
        <v>40122</v>
      </c>
      <c r="E599">
        <v>14</v>
      </c>
      <c r="F599" t="s">
        <v>21</v>
      </c>
      <c r="G599">
        <v>2</v>
      </c>
      <c r="H599" t="s">
        <v>138</v>
      </c>
      <c r="I599" t="b">
        <v>1</v>
      </c>
      <c r="J599" t="s">
        <v>89</v>
      </c>
      <c r="K599" s="10">
        <v>0.389583333333333</v>
      </c>
      <c r="L599" s="10">
        <v>0.495833333333333</v>
      </c>
      <c r="M599">
        <v>153</v>
      </c>
      <c r="N599" t="b">
        <v>1</v>
      </c>
      <c r="O599" t="s">
        <v>28</v>
      </c>
    </row>
    <row r="600" spans="1:15">
      <c r="A600">
        <v>599</v>
      </c>
      <c r="B600" t="s">
        <v>892</v>
      </c>
      <c r="C600" t="s">
        <v>25</v>
      </c>
      <c r="D600" s="9">
        <v>31379</v>
      </c>
      <c r="E600">
        <v>38</v>
      </c>
      <c r="F600" t="s">
        <v>21</v>
      </c>
      <c r="G600">
        <v>5</v>
      </c>
      <c r="H600" t="s">
        <v>368</v>
      </c>
      <c r="I600" t="b">
        <v>0</v>
      </c>
      <c r="K600" s="10">
        <v>0.357638888888889</v>
      </c>
      <c r="L600" s="10">
        <v>0.45625</v>
      </c>
      <c r="M600">
        <v>142</v>
      </c>
      <c r="N600" t="b">
        <v>1</v>
      </c>
      <c r="O600" t="s">
        <v>47</v>
      </c>
    </row>
    <row r="601" spans="1:15">
      <c r="A601">
        <v>600</v>
      </c>
      <c r="B601" t="s">
        <v>893</v>
      </c>
      <c r="C601" t="s">
        <v>25</v>
      </c>
      <c r="D601" s="9">
        <v>29145</v>
      </c>
      <c r="E601">
        <v>44</v>
      </c>
      <c r="F601" t="s">
        <v>17</v>
      </c>
      <c r="G601">
        <v>3</v>
      </c>
      <c r="H601" t="s">
        <v>245</v>
      </c>
      <c r="I601" t="b">
        <v>0</v>
      </c>
      <c r="K601" s="10">
        <v>0.819444444444445</v>
      </c>
      <c r="L601" s="10">
        <v>0.875694444444444</v>
      </c>
      <c r="M601">
        <v>81</v>
      </c>
      <c r="N601" t="b">
        <v>1</v>
      </c>
      <c r="O601" t="s">
        <v>47</v>
      </c>
    </row>
    <row r="602" spans="1:15">
      <c r="A602">
        <v>601</v>
      </c>
      <c r="B602" t="s">
        <v>894</v>
      </c>
      <c r="C602" t="s">
        <v>16</v>
      </c>
      <c r="D602" s="9">
        <v>31005</v>
      </c>
      <c r="E602">
        <v>39</v>
      </c>
      <c r="F602" t="s">
        <v>21</v>
      </c>
      <c r="G602">
        <v>2</v>
      </c>
      <c r="H602" t="s">
        <v>272</v>
      </c>
      <c r="I602" t="b">
        <v>0</v>
      </c>
      <c r="K602" s="10">
        <v>0.506944444444444</v>
      </c>
      <c r="L602" s="10">
        <v>0.560416666666667</v>
      </c>
      <c r="M602">
        <v>77</v>
      </c>
      <c r="N602" t="b">
        <v>1</v>
      </c>
      <c r="O602" t="s">
        <v>28</v>
      </c>
    </row>
    <row r="603" spans="1:15">
      <c r="A603">
        <v>602</v>
      </c>
      <c r="B603" t="s">
        <v>895</v>
      </c>
      <c r="C603" t="s">
        <v>25</v>
      </c>
      <c r="D603" s="9">
        <v>27512</v>
      </c>
      <c r="E603">
        <v>49</v>
      </c>
      <c r="F603" t="s">
        <v>21</v>
      </c>
      <c r="G603">
        <v>2</v>
      </c>
      <c r="H603" t="s">
        <v>272</v>
      </c>
      <c r="I603" t="b">
        <v>0</v>
      </c>
      <c r="K603" s="10">
        <v>0.653472222222222</v>
      </c>
      <c r="L603" s="10">
        <v>0.773611111111111</v>
      </c>
      <c r="M603">
        <v>173</v>
      </c>
      <c r="N603" t="b">
        <v>0</v>
      </c>
    </row>
    <row r="604" spans="1:15">
      <c r="A604">
        <v>603</v>
      </c>
      <c r="B604" t="s">
        <v>744</v>
      </c>
      <c r="C604" t="s">
        <v>25</v>
      </c>
      <c r="D604" s="9">
        <v>39175</v>
      </c>
      <c r="E604">
        <v>17</v>
      </c>
      <c r="F604" t="s">
        <v>21</v>
      </c>
      <c r="G604">
        <v>3</v>
      </c>
      <c r="H604" t="s">
        <v>85</v>
      </c>
      <c r="I604" t="b">
        <v>0</v>
      </c>
      <c r="K604" s="10">
        <v>0.641666666666667</v>
      </c>
      <c r="L604" s="10">
        <v>0.700694444444444</v>
      </c>
      <c r="M604">
        <v>85</v>
      </c>
      <c r="N604" t="b">
        <v>0</v>
      </c>
    </row>
    <row r="605" spans="1:15">
      <c r="A605">
        <v>604</v>
      </c>
      <c r="B605" t="s">
        <v>896</v>
      </c>
      <c r="C605" t="s">
        <v>16</v>
      </c>
      <c r="D605" s="9">
        <v>32559</v>
      </c>
      <c r="E605">
        <v>35</v>
      </c>
      <c r="F605" t="s">
        <v>21</v>
      </c>
      <c r="G605">
        <v>2</v>
      </c>
      <c r="H605" t="s">
        <v>55</v>
      </c>
      <c r="I605" t="b">
        <v>0</v>
      </c>
      <c r="K605" s="10">
        <v>0.779166666666667</v>
      </c>
      <c r="L605" s="10">
        <v>0.895833333333333</v>
      </c>
      <c r="M605">
        <v>168</v>
      </c>
      <c r="N605" t="b">
        <v>1</v>
      </c>
      <c r="O605" t="s">
        <v>47</v>
      </c>
    </row>
    <row r="606" spans="1:15">
      <c r="A606">
        <v>605</v>
      </c>
      <c r="B606" t="s">
        <v>897</v>
      </c>
      <c r="C606" t="s">
        <v>25</v>
      </c>
      <c r="D606" s="9">
        <v>28904</v>
      </c>
      <c r="E606">
        <v>45</v>
      </c>
      <c r="F606" t="s">
        <v>21</v>
      </c>
      <c r="G606">
        <v>3</v>
      </c>
      <c r="H606" t="s">
        <v>241</v>
      </c>
      <c r="I606" t="b">
        <v>1</v>
      </c>
      <c r="J606" t="s">
        <v>230</v>
      </c>
      <c r="K606" s="10">
        <v>0.7375</v>
      </c>
      <c r="L606" s="10">
        <v>0.820833333333333</v>
      </c>
      <c r="M606">
        <v>120</v>
      </c>
      <c r="N606" t="b">
        <v>0</v>
      </c>
    </row>
    <row r="607" spans="1:15">
      <c r="A607">
        <v>606</v>
      </c>
      <c r="B607" t="s">
        <v>898</v>
      </c>
      <c r="C607" t="s">
        <v>25</v>
      </c>
      <c r="D607" s="9">
        <v>34753</v>
      </c>
      <c r="E607">
        <v>29</v>
      </c>
      <c r="F607" t="s">
        <v>21</v>
      </c>
      <c r="G607">
        <v>3</v>
      </c>
      <c r="H607" t="s">
        <v>504</v>
      </c>
      <c r="I607" t="b">
        <v>1</v>
      </c>
      <c r="J607" t="s">
        <v>107</v>
      </c>
      <c r="K607" s="10">
        <v>0.860416666666667</v>
      </c>
      <c r="L607" s="10">
        <v>0.889583333333333</v>
      </c>
      <c r="M607">
        <v>42</v>
      </c>
      <c r="N607" t="b">
        <v>1</v>
      </c>
      <c r="O607" t="s">
        <v>50</v>
      </c>
    </row>
    <row r="608" spans="1:15">
      <c r="A608">
        <v>607</v>
      </c>
      <c r="B608" t="s">
        <v>899</v>
      </c>
      <c r="C608" t="s">
        <v>16</v>
      </c>
      <c r="D608" s="9">
        <v>30223</v>
      </c>
      <c r="E608">
        <v>42</v>
      </c>
      <c r="F608" t="s">
        <v>17</v>
      </c>
      <c r="G608">
        <v>3</v>
      </c>
      <c r="H608" t="s">
        <v>130</v>
      </c>
      <c r="I608" t="b">
        <v>0</v>
      </c>
      <c r="K608" s="10">
        <v>0.680555555555555</v>
      </c>
      <c r="L608" s="10">
        <v>0.727083333333333</v>
      </c>
      <c r="M608">
        <v>67</v>
      </c>
      <c r="N608" t="b">
        <v>1</v>
      </c>
      <c r="O608" t="s">
        <v>28</v>
      </c>
    </row>
    <row r="609" spans="1:15">
      <c r="A609">
        <v>608</v>
      </c>
      <c r="B609" t="s">
        <v>434</v>
      </c>
      <c r="C609" t="s">
        <v>16</v>
      </c>
      <c r="D609" s="9">
        <v>38846</v>
      </c>
      <c r="E609">
        <v>18</v>
      </c>
      <c r="F609" t="s">
        <v>21</v>
      </c>
      <c r="G609">
        <v>3</v>
      </c>
      <c r="H609" t="s">
        <v>504</v>
      </c>
      <c r="I609" t="b">
        <v>1</v>
      </c>
      <c r="J609" t="s">
        <v>230</v>
      </c>
      <c r="K609" s="10">
        <v>0.365277777777778</v>
      </c>
      <c r="L609" s="10">
        <v>0.455555555555556</v>
      </c>
      <c r="M609">
        <v>130</v>
      </c>
      <c r="N609" t="b">
        <v>0</v>
      </c>
    </row>
    <row r="610" spans="1:15">
      <c r="A610">
        <v>609</v>
      </c>
      <c r="B610" t="s">
        <v>900</v>
      </c>
      <c r="C610" t="s">
        <v>16</v>
      </c>
      <c r="D610" s="9">
        <v>32283</v>
      </c>
      <c r="E610">
        <v>36</v>
      </c>
      <c r="F610" t="s">
        <v>21</v>
      </c>
      <c r="G610">
        <v>3</v>
      </c>
      <c r="H610" t="s">
        <v>106</v>
      </c>
      <c r="I610" t="b">
        <v>1</v>
      </c>
      <c r="J610" t="s">
        <v>83</v>
      </c>
      <c r="K610" s="10">
        <v>0.73125</v>
      </c>
      <c r="L610" s="10">
        <v>0.833333333333333</v>
      </c>
      <c r="M610">
        <v>147</v>
      </c>
      <c r="N610" t="b">
        <v>0</v>
      </c>
    </row>
    <row r="611" spans="1:15">
      <c r="A611">
        <v>610</v>
      </c>
      <c r="B611" t="s">
        <v>901</v>
      </c>
      <c r="C611" t="s">
        <v>16</v>
      </c>
      <c r="D611" s="9">
        <v>33074</v>
      </c>
      <c r="E611">
        <v>34</v>
      </c>
      <c r="F611" t="s">
        <v>21</v>
      </c>
      <c r="G611">
        <v>2</v>
      </c>
      <c r="H611" t="s">
        <v>32</v>
      </c>
      <c r="I611" t="b">
        <v>1</v>
      </c>
      <c r="J611" t="s">
        <v>395</v>
      </c>
      <c r="K611" s="10">
        <v>0.585416666666667</v>
      </c>
      <c r="L611" s="10">
        <v>0.679861111111111</v>
      </c>
      <c r="M611">
        <v>136</v>
      </c>
      <c r="N611" t="b">
        <v>0</v>
      </c>
    </row>
    <row r="612" spans="1:15">
      <c r="A612">
        <v>611</v>
      </c>
      <c r="B612" t="s">
        <v>902</v>
      </c>
      <c r="C612" t="s">
        <v>16</v>
      </c>
      <c r="D612" s="9">
        <v>32115</v>
      </c>
      <c r="E612">
        <v>36</v>
      </c>
      <c r="F612" t="s">
        <v>17</v>
      </c>
      <c r="G612">
        <v>1</v>
      </c>
      <c r="H612" t="s">
        <v>81</v>
      </c>
      <c r="I612" t="b">
        <v>1</v>
      </c>
      <c r="J612" t="s">
        <v>201</v>
      </c>
      <c r="K612" s="10">
        <v>0.617361111111111</v>
      </c>
      <c r="L612" s="10">
        <v>0.644444444444444</v>
      </c>
      <c r="M612">
        <v>39</v>
      </c>
      <c r="N612" t="b">
        <v>1</v>
      </c>
      <c r="O612" t="s">
        <v>23</v>
      </c>
    </row>
    <row r="613" spans="1:15">
      <c r="A613">
        <v>612</v>
      </c>
      <c r="B613" t="s">
        <v>903</v>
      </c>
      <c r="C613" t="s">
        <v>16</v>
      </c>
      <c r="D613" s="9">
        <v>28983</v>
      </c>
      <c r="E613">
        <v>45</v>
      </c>
      <c r="F613" t="s">
        <v>21</v>
      </c>
      <c r="G613">
        <v>3</v>
      </c>
      <c r="H613" t="s">
        <v>318</v>
      </c>
      <c r="I613" t="b">
        <v>0</v>
      </c>
      <c r="K613" s="10">
        <v>0.570833333333333</v>
      </c>
      <c r="L613" s="10">
        <v>0.653472222222222</v>
      </c>
      <c r="M613">
        <v>119</v>
      </c>
      <c r="N613" t="b">
        <v>0</v>
      </c>
    </row>
    <row r="614" spans="1:15">
      <c r="A614">
        <v>613</v>
      </c>
      <c r="B614" t="s">
        <v>904</v>
      </c>
      <c r="C614" t="s">
        <v>25</v>
      </c>
      <c r="D614" s="9">
        <v>29792</v>
      </c>
      <c r="E614">
        <v>43</v>
      </c>
      <c r="F614" t="s">
        <v>21</v>
      </c>
      <c r="G614">
        <v>5</v>
      </c>
      <c r="H614" t="s">
        <v>567</v>
      </c>
      <c r="I614" t="b">
        <v>1</v>
      </c>
      <c r="J614" t="s">
        <v>107</v>
      </c>
      <c r="K614" s="10">
        <v>0.730555555555556</v>
      </c>
      <c r="L614" s="10">
        <v>0.823611111111111</v>
      </c>
      <c r="M614">
        <v>134</v>
      </c>
      <c r="N614" t="b">
        <v>1</v>
      </c>
      <c r="O614" t="s">
        <v>28</v>
      </c>
    </row>
    <row r="615" spans="1:15">
      <c r="A615">
        <v>614</v>
      </c>
      <c r="B615" t="s">
        <v>905</v>
      </c>
      <c r="C615" t="s">
        <v>25</v>
      </c>
      <c r="D615" s="9">
        <v>39669</v>
      </c>
      <c r="E615">
        <v>16</v>
      </c>
      <c r="F615" t="s">
        <v>17</v>
      </c>
      <c r="G615">
        <v>3</v>
      </c>
      <c r="H615" t="s">
        <v>85</v>
      </c>
      <c r="I615" t="b">
        <v>0</v>
      </c>
      <c r="K615" s="10">
        <v>0.400694444444444</v>
      </c>
      <c r="L615" s="10">
        <v>0.456944444444444</v>
      </c>
      <c r="M615">
        <v>81</v>
      </c>
      <c r="N615" t="b">
        <v>0</v>
      </c>
    </row>
    <row r="616" spans="1:15">
      <c r="A616">
        <v>615</v>
      </c>
      <c r="B616" t="s">
        <v>906</v>
      </c>
      <c r="C616" t="s">
        <v>25</v>
      </c>
      <c r="D616" s="9">
        <v>31226</v>
      </c>
      <c r="E616">
        <v>39</v>
      </c>
      <c r="F616" t="s">
        <v>17</v>
      </c>
      <c r="G616">
        <v>3</v>
      </c>
      <c r="H616" t="s">
        <v>241</v>
      </c>
      <c r="I616" t="b">
        <v>0</v>
      </c>
      <c r="K616" s="10">
        <v>0.754861111111111</v>
      </c>
      <c r="L616" s="10">
        <v>0.784722222222222</v>
      </c>
      <c r="M616">
        <v>43</v>
      </c>
      <c r="N616" t="b">
        <v>0</v>
      </c>
    </row>
    <row r="617" spans="1:15">
      <c r="A617">
        <v>616</v>
      </c>
      <c r="B617" t="s">
        <v>907</v>
      </c>
      <c r="C617" t="s">
        <v>25</v>
      </c>
      <c r="D617" s="9">
        <v>32021</v>
      </c>
      <c r="E617">
        <v>37</v>
      </c>
      <c r="F617" t="s">
        <v>21</v>
      </c>
      <c r="G617">
        <v>2</v>
      </c>
      <c r="H617" t="s">
        <v>509</v>
      </c>
      <c r="I617" t="b">
        <v>0</v>
      </c>
      <c r="K617" s="10">
        <v>0.479166666666667</v>
      </c>
      <c r="L617" s="10">
        <v>0.556944444444444</v>
      </c>
      <c r="M617">
        <v>112</v>
      </c>
      <c r="N617" t="b">
        <v>0</v>
      </c>
    </row>
    <row r="618" spans="1:15">
      <c r="A618">
        <v>617</v>
      </c>
      <c r="B618" t="s">
        <v>908</v>
      </c>
      <c r="C618" t="s">
        <v>25</v>
      </c>
      <c r="D618" s="9">
        <v>36542</v>
      </c>
      <c r="E618">
        <v>24</v>
      </c>
      <c r="F618" t="s">
        <v>21</v>
      </c>
      <c r="G618">
        <v>4</v>
      </c>
      <c r="H618" t="s">
        <v>470</v>
      </c>
      <c r="I618" t="b">
        <v>0</v>
      </c>
      <c r="K618" s="10">
        <v>0.644444444444444</v>
      </c>
      <c r="L618" s="10">
        <v>0.749305555555556</v>
      </c>
      <c r="M618">
        <v>151</v>
      </c>
      <c r="N618" t="b">
        <v>1</v>
      </c>
      <c r="O618" t="s">
        <v>23</v>
      </c>
    </row>
    <row r="619" spans="1:15">
      <c r="A619">
        <v>618</v>
      </c>
      <c r="B619" t="s">
        <v>909</v>
      </c>
      <c r="C619" t="s">
        <v>25</v>
      </c>
      <c r="D619" s="9">
        <v>31712</v>
      </c>
      <c r="E619">
        <v>37</v>
      </c>
      <c r="F619" t="s">
        <v>17</v>
      </c>
      <c r="G619">
        <v>3</v>
      </c>
      <c r="H619" t="s">
        <v>92</v>
      </c>
      <c r="I619" t="b">
        <v>0</v>
      </c>
      <c r="K619" s="10">
        <v>0.857638888888889</v>
      </c>
      <c r="L619" s="10">
        <v>0.982638888888889</v>
      </c>
      <c r="M619">
        <v>180</v>
      </c>
      <c r="N619" t="b">
        <v>1</v>
      </c>
      <c r="O619" t="s">
        <v>47</v>
      </c>
    </row>
    <row r="620" spans="1:15">
      <c r="A620">
        <v>619</v>
      </c>
      <c r="B620" t="s">
        <v>910</v>
      </c>
      <c r="C620" t="s">
        <v>25</v>
      </c>
      <c r="D620" s="9">
        <v>27779</v>
      </c>
      <c r="E620">
        <v>48</v>
      </c>
      <c r="F620" t="s">
        <v>17</v>
      </c>
      <c r="G620">
        <v>3</v>
      </c>
      <c r="H620" t="s">
        <v>245</v>
      </c>
      <c r="I620" t="b">
        <v>0</v>
      </c>
      <c r="K620" s="10">
        <v>0.603472222222222</v>
      </c>
      <c r="L620" s="10">
        <v>0.713194444444444</v>
      </c>
      <c r="M620">
        <v>158</v>
      </c>
      <c r="N620" t="b">
        <v>1</v>
      </c>
      <c r="O620" t="s">
        <v>47</v>
      </c>
    </row>
    <row r="621" spans="1:15">
      <c r="A621">
        <v>620</v>
      </c>
      <c r="B621" t="s">
        <v>911</v>
      </c>
      <c r="C621" t="s">
        <v>16</v>
      </c>
      <c r="D621" s="9">
        <v>36638</v>
      </c>
      <c r="E621">
        <v>24</v>
      </c>
      <c r="F621" t="s">
        <v>21</v>
      </c>
      <c r="G621">
        <v>2</v>
      </c>
      <c r="H621" t="s">
        <v>259</v>
      </c>
      <c r="I621" t="b">
        <v>1</v>
      </c>
      <c r="J621" t="s">
        <v>912</v>
      </c>
      <c r="K621" s="10">
        <v>0.434722222222222</v>
      </c>
      <c r="L621" s="10">
        <v>0.504166666666667</v>
      </c>
      <c r="M621">
        <v>100</v>
      </c>
      <c r="N621" t="b">
        <v>0</v>
      </c>
    </row>
    <row r="622" spans="1:15">
      <c r="A622">
        <v>621</v>
      </c>
      <c r="B622" t="s">
        <v>913</v>
      </c>
      <c r="C622" t="s">
        <v>25</v>
      </c>
      <c r="D622" s="9">
        <v>30599</v>
      </c>
      <c r="E622">
        <v>40</v>
      </c>
      <c r="F622" t="s">
        <v>21</v>
      </c>
      <c r="G622">
        <v>1</v>
      </c>
      <c r="H622" t="s">
        <v>49</v>
      </c>
      <c r="I622" t="b">
        <v>0</v>
      </c>
      <c r="K622" s="10">
        <v>0.452777777777778</v>
      </c>
      <c r="L622" s="10">
        <v>0.477083333333333</v>
      </c>
      <c r="M622">
        <v>35</v>
      </c>
      <c r="N622" t="b">
        <v>0</v>
      </c>
    </row>
    <row r="623" spans="1:15">
      <c r="A623">
        <v>622</v>
      </c>
      <c r="B623" t="s">
        <v>914</v>
      </c>
      <c r="C623" t="s">
        <v>16</v>
      </c>
      <c r="D623" s="9">
        <v>27874</v>
      </c>
      <c r="E623">
        <v>48</v>
      </c>
      <c r="F623" t="s">
        <v>17</v>
      </c>
      <c r="G623">
        <v>3</v>
      </c>
      <c r="H623" t="s">
        <v>150</v>
      </c>
      <c r="I623" t="b">
        <v>1</v>
      </c>
      <c r="J623" t="s">
        <v>915</v>
      </c>
      <c r="K623" s="10">
        <v>0.645833333333333</v>
      </c>
      <c r="L623" s="10">
        <v>0.741666666666667</v>
      </c>
      <c r="M623">
        <v>138</v>
      </c>
      <c r="N623" t="b">
        <v>1</v>
      </c>
      <c r="O623" t="s">
        <v>50</v>
      </c>
    </row>
    <row r="624" spans="1:15">
      <c r="A624">
        <v>623</v>
      </c>
      <c r="B624" t="s">
        <v>916</v>
      </c>
      <c r="C624" t="s">
        <v>16</v>
      </c>
      <c r="D624" s="9">
        <v>40628</v>
      </c>
      <c r="E624">
        <v>13</v>
      </c>
      <c r="F624" t="s">
        <v>17</v>
      </c>
      <c r="G624">
        <v>2</v>
      </c>
      <c r="H624" t="s">
        <v>138</v>
      </c>
      <c r="I624" t="b">
        <v>1</v>
      </c>
      <c r="J624" t="s">
        <v>917</v>
      </c>
      <c r="K624" s="10">
        <v>0.350694444444444</v>
      </c>
      <c r="L624" s="10">
        <v>0.4</v>
      </c>
      <c r="M624">
        <v>71</v>
      </c>
      <c r="N624" t="b">
        <v>1</v>
      </c>
      <c r="O624" t="s">
        <v>47</v>
      </c>
    </row>
    <row r="625" spans="1:15">
      <c r="A625">
        <v>624</v>
      </c>
      <c r="B625" t="s">
        <v>535</v>
      </c>
      <c r="C625" t="s">
        <v>25</v>
      </c>
      <c r="D625" s="9">
        <v>29524</v>
      </c>
      <c r="E625">
        <v>43</v>
      </c>
      <c r="F625" t="s">
        <v>17</v>
      </c>
      <c r="G625">
        <v>3</v>
      </c>
      <c r="H625" t="s">
        <v>251</v>
      </c>
      <c r="I625" t="b">
        <v>0</v>
      </c>
      <c r="K625" s="10">
        <v>0.360416666666667</v>
      </c>
      <c r="L625" s="10">
        <v>0.41875</v>
      </c>
      <c r="M625">
        <v>84</v>
      </c>
      <c r="N625" t="b">
        <v>0</v>
      </c>
    </row>
    <row r="626" spans="1:15">
      <c r="A626">
        <v>625</v>
      </c>
      <c r="B626" t="s">
        <v>918</v>
      </c>
      <c r="C626" t="s">
        <v>16</v>
      </c>
      <c r="D626" s="9">
        <v>37536</v>
      </c>
      <c r="E626">
        <v>21</v>
      </c>
      <c r="F626" t="s">
        <v>17</v>
      </c>
      <c r="G626">
        <v>4</v>
      </c>
      <c r="H626" t="s">
        <v>421</v>
      </c>
      <c r="I626" t="b">
        <v>0</v>
      </c>
      <c r="K626" s="10">
        <v>0.811111111111111</v>
      </c>
      <c r="L626" s="10">
        <v>0.888194444444444</v>
      </c>
      <c r="M626">
        <v>111</v>
      </c>
      <c r="N626" t="b">
        <v>1</v>
      </c>
      <c r="O626" t="s">
        <v>50</v>
      </c>
    </row>
    <row r="627" spans="1:15">
      <c r="A627">
        <v>626</v>
      </c>
      <c r="B627" t="s">
        <v>919</v>
      </c>
      <c r="C627" t="s">
        <v>25</v>
      </c>
      <c r="D627" s="9">
        <v>37896</v>
      </c>
      <c r="E627">
        <v>21</v>
      </c>
      <c r="F627" t="s">
        <v>21</v>
      </c>
      <c r="G627">
        <v>5</v>
      </c>
      <c r="H627" t="s">
        <v>283</v>
      </c>
      <c r="I627" t="b">
        <v>1</v>
      </c>
      <c r="J627" t="s">
        <v>784</v>
      </c>
      <c r="K627" s="10">
        <v>0.70625</v>
      </c>
      <c r="L627" s="10">
        <v>0.795833333333333</v>
      </c>
      <c r="M627">
        <v>129</v>
      </c>
      <c r="N627" t="b">
        <v>0</v>
      </c>
    </row>
    <row r="628" spans="1:15">
      <c r="A628">
        <v>627</v>
      </c>
      <c r="B628" t="s">
        <v>920</v>
      </c>
      <c r="C628" t="s">
        <v>16</v>
      </c>
      <c r="D628" s="9">
        <v>34869</v>
      </c>
      <c r="E628">
        <v>29</v>
      </c>
      <c r="F628" t="s">
        <v>17</v>
      </c>
      <c r="G628">
        <v>2</v>
      </c>
      <c r="H628" t="s">
        <v>187</v>
      </c>
      <c r="I628" t="b">
        <v>1</v>
      </c>
      <c r="J628" t="s">
        <v>521</v>
      </c>
      <c r="K628" s="10">
        <v>0.833333333333333</v>
      </c>
      <c r="L628" s="10">
        <v>0.930555555555555</v>
      </c>
      <c r="M628">
        <v>140</v>
      </c>
      <c r="N628" t="b">
        <v>1</v>
      </c>
      <c r="O628" t="s">
        <v>23</v>
      </c>
    </row>
    <row r="629" spans="1:15">
      <c r="A629">
        <v>628</v>
      </c>
      <c r="B629" t="s">
        <v>921</v>
      </c>
      <c r="C629" t="s">
        <v>25</v>
      </c>
      <c r="D629" s="9">
        <v>31085</v>
      </c>
      <c r="E629">
        <v>39</v>
      </c>
      <c r="F629" t="s">
        <v>21</v>
      </c>
      <c r="G629">
        <v>2</v>
      </c>
      <c r="H629" t="s">
        <v>187</v>
      </c>
      <c r="I629" t="b">
        <v>0</v>
      </c>
      <c r="K629" s="10">
        <v>0.703472222222222</v>
      </c>
      <c r="L629" s="10">
        <v>0.807638888888889</v>
      </c>
      <c r="M629">
        <v>150</v>
      </c>
      <c r="N629" t="b">
        <v>1</v>
      </c>
      <c r="O629" t="s">
        <v>28</v>
      </c>
    </row>
    <row r="630" spans="1:15">
      <c r="A630">
        <v>629</v>
      </c>
      <c r="B630" t="s">
        <v>701</v>
      </c>
      <c r="C630" t="s">
        <v>25</v>
      </c>
      <c r="D630" s="9">
        <v>39302</v>
      </c>
      <c r="E630">
        <v>17</v>
      </c>
      <c r="F630" t="s">
        <v>21</v>
      </c>
      <c r="G630">
        <v>3</v>
      </c>
      <c r="H630" t="s">
        <v>321</v>
      </c>
      <c r="I630" t="b">
        <v>0</v>
      </c>
      <c r="K630" s="10">
        <v>0.459722222222222</v>
      </c>
      <c r="L630" s="10">
        <v>0.549305555555556</v>
      </c>
      <c r="M630">
        <v>129</v>
      </c>
      <c r="N630" t="b">
        <v>1</v>
      </c>
      <c r="O630" t="s">
        <v>23</v>
      </c>
    </row>
    <row r="631" spans="1:15">
      <c r="A631">
        <v>630</v>
      </c>
      <c r="B631" t="s">
        <v>922</v>
      </c>
      <c r="C631" t="s">
        <v>25</v>
      </c>
      <c r="D631" s="9">
        <v>37827</v>
      </c>
      <c r="E631">
        <v>21</v>
      </c>
      <c r="F631" t="s">
        <v>21</v>
      </c>
      <c r="G631">
        <v>5</v>
      </c>
      <c r="H631" t="s">
        <v>412</v>
      </c>
      <c r="I631" t="b">
        <v>0</v>
      </c>
      <c r="K631" s="10">
        <v>0.603472222222222</v>
      </c>
      <c r="L631" s="10">
        <v>0.695833333333333</v>
      </c>
      <c r="M631">
        <v>133</v>
      </c>
      <c r="N631" t="b">
        <v>1</v>
      </c>
      <c r="O631" t="s">
        <v>23</v>
      </c>
    </row>
    <row r="632" spans="1:15">
      <c r="A632">
        <v>631</v>
      </c>
      <c r="B632" t="s">
        <v>923</v>
      </c>
      <c r="C632" t="s">
        <v>16</v>
      </c>
      <c r="D632" s="9">
        <v>35129</v>
      </c>
      <c r="E632">
        <v>28</v>
      </c>
      <c r="F632" t="s">
        <v>21</v>
      </c>
      <c r="G632">
        <v>3</v>
      </c>
      <c r="H632" t="s">
        <v>266</v>
      </c>
      <c r="I632" t="b">
        <v>0</v>
      </c>
      <c r="K632" s="10">
        <v>0.368055555555556</v>
      </c>
      <c r="L632" s="10">
        <v>0.427083333333333</v>
      </c>
      <c r="M632">
        <v>85</v>
      </c>
      <c r="N632" t="b">
        <v>1</v>
      </c>
      <c r="O632" t="s">
        <v>50</v>
      </c>
    </row>
    <row r="633" spans="1:15">
      <c r="A633">
        <v>632</v>
      </c>
      <c r="B633" t="s">
        <v>924</v>
      </c>
      <c r="C633" t="s">
        <v>25</v>
      </c>
      <c r="D633" s="9">
        <v>31863</v>
      </c>
      <c r="E633">
        <v>37</v>
      </c>
      <c r="F633" t="s">
        <v>17</v>
      </c>
      <c r="G633">
        <v>1</v>
      </c>
      <c r="H633" t="s">
        <v>59</v>
      </c>
      <c r="I633" t="b">
        <v>1</v>
      </c>
      <c r="J633" t="s">
        <v>174</v>
      </c>
      <c r="K633" s="10">
        <v>0.511111111111111</v>
      </c>
      <c r="L633" s="10">
        <v>0.565972222222222</v>
      </c>
      <c r="M633">
        <v>79</v>
      </c>
      <c r="N633" t="b">
        <v>0</v>
      </c>
    </row>
    <row r="634" spans="1:15">
      <c r="A634">
        <v>633</v>
      </c>
      <c r="B634" t="s">
        <v>925</v>
      </c>
      <c r="C634" t="s">
        <v>16</v>
      </c>
      <c r="D634" s="9">
        <v>35716</v>
      </c>
      <c r="E634">
        <v>26</v>
      </c>
      <c r="F634" t="s">
        <v>17</v>
      </c>
      <c r="G634">
        <v>5</v>
      </c>
      <c r="H634" t="s">
        <v>192</v>
      </c>
      <c r="I634" t="b">
        <v>1</v>
      </c>
      <c r="J634" t="s">
        <v>926</v>
      </c>
      <c r="K634" s="10">
        <v>0.6125</v>
      </c>
      <c r="L634" s="10">
        <v>0.707638888888889</v>
      </c>
      <c r="M634">
        <v>137</v>
      </c>
      <c r="N634" t="b">
        <v>0</v>
      </c>
    </row>
    <row r="635" spans="1:15">
      <c r="A635">
        <v>634</v>
      </c>
      <c r="B635" t="s">
        <v>927</v>
      </c>
      <c r="C635" t="s">
        <v>16</v>
      </c>
      <c r="D635" s="9">
        <v>36516</v>
      </c>
      <c r="E635">
        <v>24</v>
      </c>
      <c r="F635" t="s">
        <v>17</v>
      </c>
      <c r="G635">
        <v>1</v>
      </c>
      <c r="H635" t="s">
        <v>49</v>
      </c>
      <c r="I635" t="b">
        <v>0</v>
      </c>
      <c r="K635" s="10">
        <v>0.702083333333333</v>
      </c>
      <c r="L635" s="10">
        <v>0.74375</v>
      </c>
      <c r="M635">
        <v>60</v>
      </c>
      <c r="N635" t="b">
        <v>1</v>
      </c>
      <c r="O635" t="s">
        <v>28</v>
      </c>
    </row>
    <row r="636" spans="1:15">
      <c r="A636">
        <v>635</v>
      </c>
      <c r="B636" t="s">
        <v>928</v>
      </c>
      <c r="C636" t="s">
        <v>16</v>
      </c>
      <c r="D636" s="9">
        <v>38689</v>
      </c>
      <c r="E636">
        <v>18</v>
      </c>
      <c r="F636" t="s">
        <v>17</v>
      </c>
      <c r="G636">
        <v>1</v>
      </c>
      <c r="H636" t="s">
        <v>81</v>
      </c>
      <c r="I636" t="b">
        <v>0</v>
      </c>
      <c r="K636" s="10">
        <v>0.384027777777778</v>
      </c>
      <c r="L636" s="10">
        <v>0.5</v>
      </c>
      <c r="M636">
        <v>167</v>
      </c>
      <c r="N636" t="b">
        <v>1</v>
      </c>
      <c r="O636" t="s">
        <v>50</v>
      </c>
    </row>
    <row r="637" spans="1:15">
      <c r="A637">
        <v>636</v>
      </c>
      <c r="B637" t="s">
        <v>929</v>
      </c>
      <c r="C637" t="s">
        <v>16</v>
      </c>
      <c r="D637" s="9">
        <v>35802</v>
      </c>
      <c r="E637">
        <v>26</v>
      </c>
      <c r="F637" t="s">
        <v>21</v>
      </c>
      <c r="G637">
        <v>3</v>
      </c>
      <c r="H637" t="s">
        <v>241</v>
      </c>
      <c r="I637" t="b">
        <v>1</v>
      </c>
      <c r="J637" t="s">
        <v>638</v>
      </c>
      <c r="K637" s="10">
        <v>0.558333333333333</v>
      </c>
      <c r="L637" s="10">
        <v>0.626388888888889</v>
      </c>
      <c r="M637">
        <v>98</v>
      </c>
      <c r="N637" t="b">
        <v>1</v>
      </c>
      <c r="O637" t="s">
        <v>28</v>
      </c>
    </row>
    <row r="638" spans="1:15">
      <c r="A638">
        <v>637</v>
      </c>
      <c r="B638" t="s">
        <v>930</v>
      </c>
      <c r="C638" t="s">
        <v>25</v>
      </c>
      <c r="D638" s="9">
        <v>37057</v>
      </c>
      <c r="E638">
        <v>23</v>
      </c>
      <c r="F638" t="s">
        <v>21</v>
      </c>
      <c r="G638">
        <v>1</v>
      </c>
      <c r="H638" t="s">
        <v>59</v>
      </c>
      <c r="I638" t="b">
        <v>0</v>
      </c>
      <c r="K638" s="10">
        <v>0.417361111111111</v>
      </c>
      <c r="L638" s="10">
        <v>0.440972222222222</v>
      </c>
      <c r="M638">
        <v>34</v>
      </c>
      <c r="N638" t="b">
        <v>0</v>
      </c>
    </row>
    <row r="639" spans="1:15">
      <c r="A639">
        <v>638</v>
      </c>
      <c r="B639" t="s">
        <v>931</v>
      </c>
      <c r="C639" t="s">
        <v>16</v>
      </c>
      <c r="D639" s="9">
        <v>38658</v>
      </c>
      <c r="E639">
        <v>18</v>
      </c>
      <c r="F639" t="s">
        <v>17</v>
      </c>
      <c r="G639">
        <v>2</v>
      </c>
      <c r="H639" t="s">
        <v>210</v>
      </c>
      <c r="I639" t="b">
        <v>0</v>
      </c>
      <c r="K639" s="10">
        <v>0.822916666666667</v>
      </c>
      <c r="L639" s="10">
        <v>0.903472222222222</v>
      </c>
      <c r="M639">
        <v>116</v>
      </c>
      <c r="N639" t="b">
        <v>1</v>
      </c>
      <c r="O639" t="s">
        <v>23</v>
      </c>
    </row>
    <row r="640" spans="1:15">
      <c r="A640">
        <v>639</v>
      </c>
      <c r="B640" t="s">
        <v>932</v>
      </c>
      <c r="C640" t="s">
        <v>16</v>
      </c>
      <c r="D640" s="9">
        <v>36440</v>
      </c>
      <c r="E640">
        <v>24</v>
      </c>
      <c r="F640" t="s">
        <v>17</v>
      </c>
      <c r="G640">
        <v>4</v>
      </c>
      <c r="H640" t="s">
        <v>482</v>
      </c>
      <c r="I640" t="b">
        <v>1</v>
      </c>
      <c r="J640" t="s">
        <v>933</v>
      </c>
      <c r="K640" s="10">
        <v>0.392361111111111</v>
      </c>
      <c r="L640" s="10">
        <v>0.505555555555556</v>
      </c>
      <c r="M640">
        <v>163</v>
      </c>
      <c r="N640" t="b">
        <v>0</v>
      </c>
    </row>
    <row r="641" spans="1:15">
      <c r="A641">
        <v>640</v>
      </c>
      <c r="B641" t="s">
        <v>934</v>
      </c>
      <c r="C641" t="s">
        <v>16</v>
      </c>
      <c r="D641" s="9">
        <v>39178</v>
      </c>
      <c r="E641">
        <v>17</v>
      </c>
      <c r="F641" t="s">
        <v>17</v>
      </c>
      <c r="G641">
        <v>5</v>
      </c>
      <c r="H641" t="s">
        <v>289</v>
      </c>
      <c r="I641" t="b">
        <v>1</v>
      </c>
      <c r="J641" t="s">
        <v>935</v>
      </c>
      <c r="K641" s="10">
        <v>0.416666666666667</v>
      </c>
      <c r="L641" s="10">
        <v>0.534722222222222</v>
      </c>
      <c r="M641">
        <v>170</v>
      </c>
      <c r="N641" t="b">
        <v>0</v>
      </c>
    </row>
    <row r="642" spans="1:15">
      <c r="A642">
        <v>641</v>
      </c>
      <c r="B642" t="s">
        <v>936</v>
      </c>
      <c r="C642" t="s">
        <v>16</v>
      </c>
      <c r="D642" s="9">
        <v>36389</v>
      </c>
      <c r="E642">
        <v>25</v>
      </c>
      <c r="F642" t="s">
        <v>17</v>
      </c>
      <c r="G642">
        <v>1</v>
      </c>
      <c r="H642" t="s">
        <v>59</v>
      </c>
      <c r="I642" t="b">
        <v>0</v>
      </c>
      <c r="K642" s="10">
        <v>0.359027777777778</v>
      </c>
      <c r="L642" s="10">
        <v>0.470833333333333</v>
      </c>
      <c r="M642">
        <v>161</v>
      </c>
      <c r="N642" t="b">
        <v>1</v>
      </c>
      <c r="O642" t="s">
        <v>23</v>
      </c>
    </row>
    <row r="643" spans="1:15">
      <c r="A643">
        <v>642</v>
      </c>
      <c r="B643" t="s">
        <v>937</v>
      </c>
      <c r="C643" t="s">
        <v>16</v>
      </c>
      <c r="D643" s="9">
        <v>28070</v>
      </c>
      <c r="E643">
        <v>47</v>
      </c>
      <c r="F643" t="s">
        <v>21</v>
      </c>
      <c r="G643">
        <v>2</v>
      </c>
      <c r="H643" t="s">
        <v>101</v>
      </c>
      <c r="I643" t="b">
        <v>1</v>
      </c>
      <c r="J643" t="s">
        <v>201</v>
      </c>
      <c r="K643" s="10">
        <v>0.529166666666667</v>
      </c>
      <c r="L643" s="10">
        <v>0.570138888888889</v>
      </c>
      <c r="M643">
        <v>59</v>
      </c>
      <c r="N643" t="b">
        <v>1</v>
      </c>
      <c r="O643" t="s">
        <v>28</v>
      </c>
    </row>
    <row r="644" spans="1:15">
      <c r="A644">
        <v>643</v>
      </c>
      <c r="B644" t="s">
        <v>938</v>
      </c>
      <c r="C644" t="s">
        <v>25</v>
      </c>
      <c r="D644" s="9">
        <v>36366</v>
      </c>
      <c r="E644">
        <v>25</v>
      </c>
      <c r="F644" t="s">
        <v>17</v>
      </c>
      <c r="G644">
        <v>2</v>
      </c>
      <c r="H644" t="s">
        <v>69</v>
      </c>
      <c r="I644" t="b">
        <v>1</v>
      </c>
      <c r="J644" t="s">
        <v>230</v>
      </c>
      <c r="K644" s="10">
        <v>0.854861111111111</v>
      </c>
      <c r="L644" s="10">
        <v>0.920833333333333</v>
      </c>
      <c r="M644">
        <v>95</v>
      </c>
      <c r="N644" t="b">
        <v>1</v>
      </c>
      <c r="O644" t="s">
        <v>47</v>
      </c>
    </row>
    <row r="645" spans="1:15">
      <c r="A645">
        <v>644</v>
      </c>
      <c r="B645" t="s">
        <v>939</v>
      </c>
      <c r="C645" t="s">
        <v>16</v>
      </c>
      <c r="D645" s="9">
        <v>40375</v>
      </c>
      <c r="E645">
        <v>14</v>
      </c>
      <c r="F645" t="s">
        <v>17</v>
      </c>
      <c r="G645">
        <v>5</v>
      </c>
      <c r="H645" t="s">
        <v>347</v>
      </c>
      <c r="I645" t="b">
        <v>1</v>
      </c>
      <c r="J645" t="s">
        <v>217</v>
      </c>
      <c r="K645" s="10">
        <v>0.5375</v>
      </c>
      <c r="L645" s="10">
        <v>0.614583333333333</v>
      </c>
      <c r="M645">
        <v>111</v>
      </c>
      <c r="N645" t="b">
        <v>1</v>
      </c>
      <c r="O645" t="s">
        <v>23</v>
      </c>
    </row>
    <row r="646" spans="1:15">
      <c r="A646">
        <v>645</v>
      </c>
      <c r="B646" t="s">
        <v>940</v>
      </c>
      <c r="C646" t="s">
        <v>25</v>
      </c>
      <c r="D646" s="9">
        <v>40453</v>
      </c>
      <c r="E646">
        <v>14</v>
      </c>
      <c r="F646" t="s">
        <v>17</v>
      </c>
      <c r="G646">
        <v>3</v>
      </c>
      <c r="H646" t="s">
        <v>22</v>
      </c>
      <c r="I646" t="b">
        <v>1</v>
      </c>
      <c r="J646" t="s">
        <v>319</v>
      </c>
      <c r="K646" s="10">
        <v>0.724305555555556</v>
      </c>
      <c r="L646" s="10">
        <v>0.774305555555555</v>
      </c>
      <c r="M646">
        <v>72</v>
      </c>
      <c r="N646" t="b">
        <v>0</v>
      </c>
    </row>
    <row r="647" spans="1:15">
      <c r="A647">
        <v>646</v>
      </c>
      <c r="B647" t="s">
        <v>941</v>
      </c>
      <c r="C647" t="s">
        <v>25</v>
      </c>
      <c r="D647" s="9">
        <v>27622</v>
      </c>
      <c r="E647">
        <v>49</v>
      </c>
      <c r="F647" t="s">
        <v>17</v>
      </c>
      <c r="G647">
        <v>3</v>
      </c>
      <c r="H647" t="s">
        <v>315</v>
      </c>
      <c r="I647" t="b">
        <v>0</v>
      </c>
      <c r="K647" s="10">
        <v>0.719444444444444</v>
      </c>
      <c r="L647" s="10">
        <v>0.843055555555556</v>
      </c>
      <c r="M647">
        <v>178</v>
      </c>
      <c r="N647" t="b">
        <v>0</v>
      </c>
    </row>
    <row r="648" spans="1:15">
      <c r="A648">
        <v>647</v>
      </c>
      <c r="B648" t="s">
        <v>942</v>
      </c>
      <c r="C648" t="s">
        <v>25</v>
      </c>
      <c r="D648" s="9">
        <v>36733</v>
      </c>
      <c r="E648">
        <v>24</v>
      </c>
      <c r="F648" t="s">
        <v>21</v>
      </c>
      <c r="G648">
        <v>2</v>
      </c>
      <c r="H648" t="s">
        <v>40</v>
      </c>
      <c r="I648" t="b">
        <v>1</v>
      </c>
      <c r="J648" t="s">
        <v>943</v>
      </c>
      <c r="K648" s="10">
        <v>0.790277777777778</v>
      </c>
      <c r="L648" s="10">
        <v>0.911805555555556</v>
      </c>
      <c r="M648">
        <v>175</v>
      </c>
      <c r="N648" t="b">
        <v>0</v>
      </c>
    </row>
    <row r="649" spans="1:15">
      <c r="A649">
        <v>648</v>
      </c>
      <c r="B649" t="s">
        <v>944</v>
      </c>
      <c r="C649" t="s">
        <v>16</v>
      </c>
      <c r="D649" s="9">
        <v>36060</v>
      </c>
      <c r="E649">
        <v>26</v>
      </c>
      <c r="F649" t="s">
        <v>21</v>
      </c>
      <c r="G649">
        <v>1</v>
      </c>
      <c r="H649" t="s">
        <v>35</v>
      </c>
      <c r="I649" t="b">
        <v>1</v>
      </c>
      <c r="J649" t="s">
        <v>262</v>
      </c>
      <c r="K649" s="10">
        <v>0.530555555555556</v>
      </c>
      <c r="L649" s="10">
        <v>0.64375</v>
      </c>
      <c r="M649">
        <v>163</v>
      </c>
      <c r="N649" t="b">
        <v>0</v>
      </c>
    </row>
    <row r="650" spans="1:15">
      <c r="A650">
        <v>649</v>
      </c>
      <c r="B650" t="s">
        <v>945</v>
      </c>
      <c r="C650" t="s">
        <v>16</v>
      </c>
      <c r="D650" s="9">
        <v>37404</v>
      </c>
      <c r="E650">
        <v>22</v>
      </c>
      <c r="F650" t="s">
        <v>21</v>
      </c>
      <c r="G650">
        <v>5</v>
      </c>
      <c r="H650" t="s">
        <v>109</v>
      </c>
      <c r="I650" t="b">
        <v>0</v>
      </c>
      <c r="K650" s="10">
        <v>0.576388888888889</v>
      </c>
      <c r="L650" s="10">
        <v>0.61875</v>
      </c>
      <c r="M650">
        <v>61</v>
      </c>
      <c r="N650" t="b">
        <v>0</v>
      </c>
    </row>
    <row r="651" spans="1:15">
      <c r="A651">
        <v>650</v>
      </c>
      <c r="B651" t="s">
        <v>890</v>
      </c>
      <c r="C651" t="s">
        <v>25</v>
      </c>
      <c r="D651" s="9">
        <v>41167</v>
      </c>
      <c r="E651">
        <v>12</v>
      </c>
      <c r="F651" t="s">
        <v>17</v>
      </c>
      <c r="G651">
        <v>3</v>
      </c>
      <c r="H651" t="s">
        <v>65</v>
      </c>
      <c r="I651" t="b">
        <v>1</v>
      </c>
      <c r="J651" t="s">
        <v>345</v>
      </c>
      <c r="K651" s="10">
        <v>0.620833333333333</v>
      </c>
      <c r="L651" s="10">
        <v>0.665972222222222</v>
      </c>
      <c r="M651">
        <v>65</v>
      </c>
      <c r="N651" t="b">
        <v>0</v>
      </c>
    </row>
    <row r="652" spans="1:15">
      <c r="A652">
        <v>651</v>
      </c>
      <c r="B652" t="s">
        <v>946</v>
      </c>
      <c r="C652" t="s">
        <v>25</v>
      </c>
      <c r="D652" s="9">
        <v>40434</v>
      </c>
      <c r="E652">
        <v>14</v>
      </c>
      <c r="F652" t="s">
        <v>17</v>
      </c>
      <c r="G652">
        <v>4</v>
      </c>
      <c r="H652" t="s">
        <v>767</v>
      </c>
      <c r="I652" t="b">
        <v>0</v>
      </c>
      <c r="K652" s="10">
        <v>0.858333333333333</v>
      </c>
      <c r="L652" s="10">
        <v>0.901388888888889</v>
      </c>
      <c r="M652">
        <v>62</v>
      </c>
      <c r="N652" t="b">
        <v>0</v>
      </c>
    </row>
    <row r="653" spans="1:15">
      <c r="A653">
        <v>652</v>
      </c>
      <c r="B653" t="s">
        <v>947</v>
      </c>
      <c r="C653" t="s">
        <v>25</v>
      </c>
      <c r="D653" s="9">
        <v>38951</v>
      </c>
      <c r="E653">
        <v>18</v>
      </c>
      <c r="F653" t="s">
        <v>17</v>
      </c>
      <c r="G653">
        <v>3</v>
      </c>
      <c r="H653" t="s">
        <v>148</v>
      </c>
      <c r="I653" t="b">
        <v>0</v>
      </c>
      <c r="K653" s="10">
        <v>0.4625</v>
      </c>
      <c r="L653" s="10">
        <v>0.534722222222222</v>
      </c>
      <c r="M653">
        <v>104</v>
      </c>
      <c r="N653" t="b">
        <v>0</v>
      </c>
    </row>
    <row r="654" spans="1:15">
      <c r="A654">
        <v>653</v>
      </c>
      <c r="B654" t="s">
        <v>948</v>
      </c>
      <c r="C654" t="s">
        <v>25</v>
      </c>
      <c r="D654" s="9">
        <v>35728</v>
      </c>
      <c r="E654">
        <v>26</v>
      </c>
      <c r="F654" t="s">
        <v>21</v>
      </c>
      <c r="G654">
        <v>3</v>
      </c>
      <c r="H654" t="s">
        <v>251</v>
      </c>
      <c r="I654" t="b">
        <v>0</v>
      </c>
      <c r="K654" s="10">
        <v>0.549305555555556</v>
      </c>
      <c r="L654" s="10">
        <v>0.628472222222222</v>
      </c>
      <c r="M654">
        <v>114</v>
      </c>
      <c r="N654" t="b">
        <v>0</v>
      </c>
    </row>
    <row r="655" spans="1:15">
      <c r="A655">
        <v>654</v>
      </c>
      <c r="B655" t="s">
        <v>949</v>
      </c>
      <c r="C655" t="s">
        <v>25</v>
      </c>
      <c r="D655" s="9">
        <v>28491</v>
      </c>
      <c r="E655">
        <v>46</v>
      </c>
      <c r="F655" t="s">
        <v>17</v>
      </c>
      <c r="G655">
        <v>1</v>
      </c>
      <c r="H655" t="s">
        <v>26</v>
      </c>
      <c r="I655" t="b">
        <v>0</v>
      </c>
      <c r="K655" s="10">
        <v>0.609722222222222</v>
      </c>
      <c r="L655" s="10">
        <v>0.671527777777778</v>
      </c>
      <c r="M655">
        <v>89</v>
      </c>
      <c r="N655" t="b">
        <v>0</v>
      </c>
    </row>
    <row r="656" spans="1:15">
      <c r="A656">
        <v>655</v>
      </c>
      <c r="B656" t="s">
        <v>950</v>
      </c>
      <c r="C656" t="s">
        <v>25</v>
      </c>
      <c r="D656" s="9">
        <v>35268</v>
      </c>
      <c r="E656">
        <v>28</v>
      </c>
      <c r="F656" t="s">
        <v>21</v>
      </c>
      <c r="G656">
        <v>2</v>
      </c>
      <c r="H656" t="s">
        <v>72</v>
      </c>
      <c r="I656" t="b">
        <v>0</v>
      </c>
      <c r="K656" s="10">
        <v>0.388888888888889</v>
      </c>
      <c r="L656" s="10">
        <v>0.471527777777778</v>
      </c>
      <c r="M656">
        <v>119</v>
      </c>
      <c r="N656" t="b">
        <v>1</v>
      </c>
      <c r="O656" t="s">
        <v>47</v>
      </c>
    </row>
    <row r="657" spans="1:15">
      <c r="A657">
        <v>656</v>
      </c>
      <c r="B657" t="s">
        <v>951</v>
      </c>
      <c r="C657" t="s">
        <v>25</v>
      </c>
      <c r="D657" s="9">
        <v>40810</v>
      </c>
      <c r="E657">
        <v>13</v>
      </c>
      <c r="F657" t="s">
        <v>21</v>
      </c>
      <c r="G657">
        <v>5</v>
      </c>
      <c r="H657" t="s">
        <v>104</v>
      </c>
      <c r="I657" t="b">
        <v>1</v>
      </c>
      <c r="J657" t="s">
        <v>952</v>
      </c>
      <c r="K657" s="10">
        <v>0.717361111111111</v>
      </c>
      <c r="L657" s="10">
        <v>0.743055555555555</v>
      </c>
      <c r="M657">
        <v>37</v>
      </c>
      <c r="N657" t="b">
        <v>0</v>
      </c>
    </row>
    <row r="658" spans="1:15">
      <c r="A658">
        <v>657</v>
      </c>
      <c r="B658" t="s">
        <v>953</v>
      </c>
      <c r="C658" t="s">
        <v>25</v>
      </c>
      <c r="D658" s="9">
        <v>30848</v>
      </c>
      <c r="E658">
        <v>40</v>
      </c>
      <c r="F658" t="s">
        <v>17</v>
      </c>
      <c r="G658">
        <v>2</v>
      </c>
      <c r="H658" t="s">
        <v>187</v>
      </c>
      <c r="I658" t="b">
        <v>1</v>
      </c>
      <c r="J658" t="s">
        <v>134</v>
      </c>
      <c r="K658" s="10">
        <v>0.623611111111111</v>
      </c>
      <c r="L658" s="10">
        <v>0.655555555555556</v>
      </c>
      <c r="M658">
        <v>46</v>
      </c>
      <c r="N658" t="b">
        <v>0</v>
      </c>
    </row>
    <row r="659" spans="1:15">
      <c r="A659">
        <v>658</v>
      </c>
      <c r="B659" t="s">
        <v>954</v>
      </c>
      <c r="C659" t="s">
        <v>25</v>
      </c>
      <c r="D659" s="9">
        <v>36161</v>
      </c>
      <c r="E659">
        <v>25</v>
      </c>
      <c r="F659" t="s">
        <v>21</v>
      </c>
      <c r="G659">
        <v>4</v>
      </c>
      <c r="H659" t="s">
        <v>955</v>
      </c>
      <c r="I659" t="b">
        <v>0</v>
      </c>
      <c r="K659" s="10">
        <v>0.807638888888889</v>
      </c>
      <c r="L659" s="10">
        <v>0.85625</v>
      </c>
      <c r="M659">
        <v>70</v>
      </c>
      <c r="N659" t="b">
        <v>0</v>
      </c>
    </row>
    <row r="660" spans="1:15">
      <c r="A660">
        <v>659</v>
      </c>
      <c r="B660" t="s">
        <v>956</v>
      </c>
      <c r="C660" t="s">
        <v>16</v>
      </c>
      <c r="D660" s="9">
        <v>39005</v>
      </c>
      <c r="E660">
        <v>17</v>
      </c>
      <c r="F660" t="s">
        <v>21</v>
      </c>
      <c r="G660">
        <v>3</v>
      </c>
      <c r="H660" t="s">
        <v>247</v>
      </c>
      <c r="I660" t="b">
        <v>0</v>
      </c>
      <c r="K660" s="10">
        <v>0.751388888888889</v>
      </c>
      <c r="L660" s="10">
        <v>0.85625</v>
      </c>
      <c r="M660">
        <v>151</v>
      </c>
      <c r="N660" t="b">
        <v>0</v>
      </c>
    </row>
    <row r="661" spans="1:15">
      <c r="A661">
        <v>660</v>
      </c>
      <c r="B661" t="s">
        <v>957</v>
      </c>
      <c r="C661" t="s">
        <v>25</v>
      </c>
      <c r="D661" s="9">
        <v>28293</v>
      </c>
      <c r="E661">
        <v>47</v>
      </c>
      <c r="F661" t="s">
        <v>17</v>
      </c>
      <c r="G661">
        <v>2</v>
      </c>
      <c r="H661" t="s">
        <v>69</v>
      </c>
      <c r="I661" t="b">
        <v>0</v>
      </c>
      <c r="K661" s="10">
        <v>0.415277777777778</v>
      </c>
      <c r="L661" s="10">
        <v>0.519444444444444</v>
      </c>
      <c r="M661">
        <v>150</v>
      </c>
      <c r="N661" t="b">
        <v>0</v>
      </c>
    </row>
    <row r="662" spans="1:15">
      <c r="A662">
        <v>661</v>
      </c>
      <c r="B662" t="s">
        <v>382</v>
      </c>
      <c r="C662" t="s">
        <v>25</v>
      </c>
      <c r="D662" s="9">
        <v>40152</v>
      </c>
      <c r="E662">
        <v>14</v>
      </c>
      <c r="F662" t="s">
        <v>21</v>
      </c>
      <c r="G662">
        <v>3</v>
      </c>
      <c r="H662" t="s">
        <v>513</v>
      </c>
      <c r="I662" t="b">
        <v>1</v>
      </c>
      <c r="J662" t="s">
        <v>453</v>
      </c>
      <c r="K662" s="10">
        <v>0.709722222222222</v>
      </c>
      <c r="L662" s="10">
        <v>0.76875</v>
      </c>
      <c r="M662">
        <v>85</v>
      </c>
      <c r="N662" t="b">
        <v>0</v>
      </c>
    </row>
    <row r="663" spans="1:15">
      <c r="A663">
        <v>662</v>
      </c>
      <c r="B663" t="s">
        <v>391</v>
      </c>
      <c r="C663" t="s">
        <v>25</v>
      </c>
      <c r="D663" s="9">
        <v>31388</v>
      </c>
      <c r="E663">
        <v>38</v>
      </c>
      <c r="F663" t="s">
        <v>17</v>
      </c>
      <c r="G663">
        <v>2</v>
      </c>
      <c r="H663" t="s">
        <v>461</v>
      </c>
      <c r="I663" t="b">
        <v>1</v>
      </c>
      <c r="J663" t="s">
        <v>958</v>
      </c>
      <c r="K663" s="10">
        <v>0.486805555555556</v>
      </c>
      <c r="L663" s="10">
        <v>0.577083333333333</v>
      </c>
      <c r="M663">
        <v>130</v>
      </c>
      <c r="N663" t="b">
        <v>1</v>
      </c>
      <c r="O663" t="s">
        <v>50</v>
      </c>
    </row>
    <row r="664" spans="1:15">
      <c r="A664">
        <v>663</v>
      </c>
      <c r="B664" t="s">
        <v>959</v>
      </c>
      <c r="C664" t="s">
        <v>16</v>
      </c>
      <c r="D664" s="9">
        <v>33889</v>
      </c>
      <c r="E664">
        <v>31</v>
      </c>
      <c r="F664" t="s">
        <v>21</v>
      </c>
      <c r="G664">
        <v>3</v>
      </c>
      <c r="H664" t="s">
        <v>43</v>
      </c>
      <c r="I664" t="b">
        <v>0</v>
      </c>
      <c r="K664" s="10">
        <v>0.584027777777778</v>
      </c>
      <c r="L664" s="10">
        <v>0.623611111111111</v>
      </c>
      <c r="M664">
        <v>57</v>
      </c>
      <c r="N664" t="b">
        <v>0</v>
      </c>
    </row>
    <row r="665" spans="1:15">
      <c r="A665">
        <v>664</v>
      </c>
      <c r="B665" t="s">
        <v>960</v>
      </c>
      <c r="C665" t="s">
        <v>16</v>
      </c>
      <c r="D665" s="9">
        <v>40629</v>
      </c>
      <c r="E665">
        <v>13</v>
      </c>
      <c r="F665" t="s">
        <v>21</v>
      </c>
      <c r="G665">
        <v>1</v>
      </c>
      <c r="H665" t="s">
        <v>59</v>
      </c>
      <c r="I665" t="b">
        <v>0</v>
      </c>
      <c r="K665" s="10">
        <v>0.430555555555556</v>
      </c>
      <c r="L665" s="10">
        <v>0.532638888888889</v>
      </c>
      <c r="M665">
        <v>147</v>
      </c>
      <c r="N665" t="b">
        <v>0</v>
      </c>
    </row>
    <row r="666" spans="1:15">
      <c r="A666">
        <v>665</v>
      </c>
      <c r="B666" t="s">
        <v>961</v>
      </c>
      <c r="C666" t="s">
        <v>16</v>
      </c>
      <c r="D666" s="9">
        <v>30278</v>
      </c>
      <c r="E666">
        <v>41</v>
      </c>
      <c r="F666" t="s">
        <v>21</v>
      </c>
      <c r="G666">
        <v>1</v>
      </c>
      <c r="H666" t="s">
        <v>185</v>
      </c>
      <c r="I666" t="b">
        <v>1</v>
      </c>
      <c r="J666" t="s">
        <v>962</v>
      </c>
      <c r="K666" s="10">
        <v>0.489583333333333</v>
      </c>
      <c r="L666" s="10">
        <v>0.6</v>
      </c>
      <c r="M666">
        <v>159</v>
      </c>
      <c r="N666" t="b">
        <v>1</v>
      </c>
      <c r="O666" t="s">
        <v>23</v>
      </c>
    </row>
    <row r="667" spans="1:15">
      <c r="A667">
        <v>666</v>
      </c>
      <c r="B667" t="s">
        <v>963</v>
      </c>
      <c r="C667" t="s">
        <v>16</v>
      </c>
      <c r="D667" s="9">
        <v>38401</v>
      </c>
      <c r="E667">
        <v>19</v>
      </c>
      <c r="F667" t="s">
        <v>17</v>
      </c>
      <c r="G667">
        <v>2</v>
      </c>
      <c r="H667" t="s">
        <v>72</v>
      </c>
      <c r="I667" t="b">
        <v>1</v>
      </c>
      <c r="J667" t="s">
        <v>964</v>
      </c>
      <c r="K667" s="10">
        <v>0.445833333333333</v>
      </c>
      <c r="L667" s="10">
        <v>0.533333333333333</v>
      </c>
      <c r="M667">
        <v>126</v>
      </c>
      <c r="N667" t="b">
        <v>1</v>
      </c>
      <c r="O667" t="s">
        <v>28</v>
      </c>
    </row>
    <row r="668" spans="1:15">
      <c r="A668">
        <v>667</v>
      </c>
      <c r="B668" t="s">
        <v>965</v>
      </c>
      <c r="C668" t="s">
        <v>25</v>
      </c>
      <c r="D668" s="9">
        <v>27831</v>
      </c>
      <c r="E668">
        <v>48</v>
      </c>
      <c r="F668" t="s">
        <v>17</v>
      </c>
      <c r="G668">
        <v>2</v>
      </c>
      <c r="H668" t="s">
        <v>40</v>
      </c>
      <c r="I668" t="b">
        <v>1</v>
      </c>
      <c r="J668" t="s">
        <v>966</v>
      </c>
      <c r="K668" s="10">
        <v>0.490277777777778</v>
      </c>
      <c r="L668" s="10">
        <v>0.560416666666667</v>
      </c>
      <c r="M668">
        <v>101</v>
      </c>
      <c r="N668" t="b">
        <v>0</v>
      </c>
    </row>
    <row r="669" spans="1:15">
      <c r="A669">
        <v>668</v>
      </c>
      <c r="B669" t="s">
        <v>967</v>
      </c>
      <c r="C669" t="s">
        <v>16</v>
      </c>
      <c r="D669" s="9">
        <v>32477</v>
      </c>
      <c r="E669">
        <v>35</v>
      </c>
      <c r="F669" t="s">
        <v>21</v>
      </c>
      <c r="G669">
        <v>3</v>
      </c>
      <c r="H669" t="s">
        <v>106</v>
      </c>
      <c r="I669" t="b">
        <v>1</v>
      </c>
      <c r="J669" t="s">
        <v>751</v>
      </c>
      <c r="K669" s="10">
        <v>0.625</v>
      </c>
      <c r="L669" s="10">
        <v>0.697916666666667</v>
      </c>
      <c r="M669">
        <v>105</v>
      </c>
      <c r="N669" t="b">
        <v>0</v>
      </c>
    </row>
    <row r="670" spans="1:15">
      <c r="A670">
        <v>669</v>
      </c>
      <c r="B670" t="s">
        <v>968</v>
      </c>
      <c r="C670" t="s">
        <v>16</v>
      </c>
      <c r="D670" s="9">
        <v>31144</v>
      </c>
      <c r="E670">
        <v>39</v>
      </c>
      <c r="F670" t="s">
        <v>21</v>
      </c>
      <c r="G670">
        <v>5</v>
      </c>
      <c r="H670" t="s">
        <v>863</v>
      </c>
      <c r="I670" t="b">
        <v>1</v>
      </c>
      <c r="J670" t="s">
        <v>969</v>
      </c>
      <c r="K670" s="10">
        <v>0.794444444444444</v>
      </c>
      <c r="L670" s="10">
        <v>0.919444444444444</v>
      </c>
      <c r="M670">
        <v>180</v>
      </c>
      <c r="N670" t="b">
        <v>0</v>
      </c>
    </row>
    <row r="671" spans="1:15">
      <c r="A671">
        <v>670</v>
      </c>
      <c r="B671" t="s">
        <v>263</v>
      </c>
      <c r="C671" t="s">
        <v>16</v>
      </c>
      <c r="D671" s="9">
        <v>36907</v>
      </c>
      <c r="E671">
        <v>23</v>
      </c>
      <c r="F671" t="s">
        <v>17</v>
      </c>
      <c r="G671">
        <v>4</v>
      </c>
      <c r="H671" t="s">
        <v>123</v>
      </c>
      <c r="I671" t="b">
        <v>1</v>
      </c>
      <c r="J671" t="s">
        <v>970</v>
      </c>
      <c r="K671" s="10">
        <v>0.386805555555556</v>
      </c>
      <c r="L671" s="10">
        <v>0.479861111111111</v>
      </c>
      <c r="M671">
        <v>134</v>
      </c>
      <c r="N671" t="b">
        <v>0</v>
      </c>
    </row>
    <row r="672" spans="1:15">
      <c r="A672">
        <v>671</v>
      </c>
      <c r="B672" t="s">
        <v>971</v>
      </c>
      <c r="C672" t="s">
        <v>25</v>
      </c>
      <c r="D672" s="9">
        <v>31209</v>
      </c>
      <c r="E672">
        <v>39</v>
      </c>
      <c r="F672" t="s">
        <v>17</v>
      </c>
      <c r="G672">
        <v>3</v>
      </c>
      <c r="H672" t="s">
        <v>247</v>
      </c>
      <c r="I672" t="b">
        <v>0</v>
      </c>
      <c r="K672" s="10">
        <v>0.525</v>
      </c>
      <c r="L672" s="10">
        <v>0.563194444444444</v>
      </c>
      <c r="M672">
        <v>55</v>
      </c>
      <c r="N672" t="b">
        <v>1</v>
      </c>
      <c r="O672" t="s">
        <v>23</v>
      </c>
    </row>
    <row r="673" spans="1:15">
      <c r="A673">
        <v>672</v>
      </c>
      <c r="B673" t="s">
        <v>908</v>
      </c>
      <c r="C673" t="s">
        <v>25</v>
      </c>
      <c r="D673" s="9">
        <v>28133</v>
      </c>
      <c r="E673">
        <v>47</v>
      </c>
      <c r="F673" t="s">
        <v>21</v>
      </c>
      <c r="G673">
        <v>2</v>
      </c>
      <c r="H673" t="s">
        <v>461</v>
      </c>
      <c r="I673" t="b">
        <v>1</v>
      </c>
      <c r="J673" t="s">
        <v>784</v>
      </c>
      <c r="K673" s="10">
        <v>0.342361111111111</v>
      </c>
      <c r="L673" s="10">
        <v>0.403472222222222</v>
      </c>
      <c r="M673">
        <v>88</v>
      </c>
      <c r="N673" t="b">
        <v>1</v>
      </c>
      <c r="O673" t="s">
        <v>47</v>
      </c>
    </row>
    <row r="674" spans="1:15">
      <c r="A674">
        <v>673</v>
      </c>
      <c r="B674" t="s">
        <v>972</v>
      </c>
      <c r="C674" t="s">
        <v>16</v>
      </c>
      <c r="D674" s="9">
        <v>40134</v>
      </c>
      <c r="E674">
        <v>14</v>
      </c>
      <c r="F674" t="s">
        <v>17</v>
      </c>
      <c r="G674">
        <v>5</v>
      </c>
      <c r="H674" t="s">
        <v>152</v>
      </c>
      <c r="I674" t="b">
        <v>1</v>
      </c>
      <c r="J674" t="s">
        <v>973</v>
      </c>
      <c r="K674" s="10">
        <v>0.450694444444444</v>
      </c>
      <c r="L674" s="10">
        <v>0.531944444444444</v>
      </c>
      <c r="M674">
        <v>117</v>
      </c>
      <c r="N674" t="b">
        <v>0</v>
      </c>
    </row>
    <row r="675" spans="1:15">
      <c r="A675">
        <v>674</v>
      </c>
      <c r="B675" t="s">
        <v>974</v>
      </c>
      <c r="C675" t="s">
        <v>25</v>
      </c>
      <c r="D675" s="9">
        <v>40282</v>
      </c>
      <c r="E675">
        <v>14</v>
      </c>
      <c r="F675" t="s">
        <v>21</v>
      </c>
      <c r="G675">
        <v>5</v>
      </c>
      <c r="H675" t="s">
        <v>417</v>
      </c>
      <c r="I675" t="b">
        <v>1</v>
      </c>
      <c r="J675" t="s">
        <v>975</v>
      </c>
      <c r="K675" s="10">
        <v>0.844444444444444</v>
      </c>
      <c r="L675" s="10">
        <v>0.86875</v>
      </c>
      <c r="M675">
        <v>35</v>
      </c>
      <c r="N675" t="b">
        <v>0</v>
      </c>
    </row>
    <row r="676" spans="1:15">
      <c r="A676">
        <v>675</v>
      </c>
      <c r="B676" t="s">
        <v>976</v>
      </c>
      <c r="C676" t="s">
        <v>16</v>
      </c>
      <c r="D676" s="9">
        <v>30373</v>
      </c>
      <c r="E676">
        <v>41</v>
      </c>
      <c r="F676" t="s">
        <v>21</v>
      </c>
      <c r="G676">
        <v>1</v>
      </c>
      <c r="H676" t="s">
        <v>49</v>
      </c>
      <c r="I676" t="b">
        <v>0</v>
      </c>
      <c r="K676" s="10">
        <v>0.494444444444444</v>
      </c>
      <c r="L676" s="10">
        <v>0.577777777777778</v>
      </c>
      <c r="M676">
        <v>120</v>
      </c>
      <c r="N676" t="b">
        <v>0</v>
      </c>
    </row>
    <row r="677" spans="1:15">
      <c r="A677">
        <v>676</v>
      </c>
      <c r="B677" t="s">
        <v>977</v>
      </c>
      <c r="C677" t="s">
        <v>16</v>
      </c>
      <c r="D677" s="9">
        <v>29385</v>
      </c>
      <c r="E677">
        <v>44</v>
      </c>
      <c r="F677" t="s">
        <v>21</v>
      </c>
      <c r="G677">
        <v>1</v>
      </c>
      <c r="H677" t="s">
        <v>26</v>
      </c>
      <c r="I677" t="b">
        <v>1</v>
      </c>
      <c r="J677" t="s">
        <v>201</v>
      </c>
      <c r="K677" s="10">
        <v>0.345138888888889</v>
      </c>
      <c r="L677" s="10">
        <v>0.447916666666667</v>
      </c>
      <c r="M677">
        <v>148</v>
      </c>
      <c r="N677" t="b">
        <v>1</v>
      </c>
      <c r="O677" t="s">
        <v>47</v>
      </c>
    </row>
    <row r="678" spans="1:15">
      <c r="A678">
        <v>677</v>
      </c>
      <c r="B678" t="s">
        <v>978</v>
      </c>
      <c r="C678" t="s">
        <v>16</v>
      </c>
      <c r="D678" s="9">
        <v>36662</v>
      </c>
      <c r="E678">
        <v>24</v>
      </c>
      <c r="F678" t="s">
        <v>17</v>
      </c>
      <c r="G678">
        <v>5</v>
      </c>
      <c r="H678" t="s">
        <v>417</v>
      </c>
      <c r="I678" t="b">
        <v>1</v>
      </c>
      <c r="J678" t="s">
        <v>841</v>
      </c>
      <c r="K678" s="10">
        <v>0.379166666666667</v>
      </c>
      <c r="L678" s="10">
        <v>0.409027777777778</v>
      </c>
      <c r="M678">
        <v>43</v>
      </c>
      <c r="N678" t="b">
        <v>0</v>
      </c>
    </row>
    <row r="679" spans="1:15">
      <c r="A679">
        <v>678</v>
      </c>
      <c r="B679" t="s">
        <v>979</v>
      </c>
      <c r="C679" t="s">
        <v>16</v>
      </c>
      <c r="D679" s="9">
        <v>31007</v>
      </c>
      <c r="E679">
        <v>39</v>
      </c>
      <c r="F679" t="s">
        <v>21</v>
      </c>
      <c r="G679">
        <v>4</v>
      </c>
      <c r="H679" t="s">
        <v>767</v>
      </c>
      <c r="I679" t="b">
        <v>0</v>
      </c>
      <c r="K679" s="10">
        <v>0.58125</v>
      </c>
      <c r="L679" s="10">
        <v>0.698611111111111</v>
      </c>
      <c r="M679">
        <v>169</v>
      </c>
      <c r="N679" t="b">
        <v>1</v>
      </c>
      <c r="O679" t="s">
        <v>50</v>
      </c>
    </row>
    <row r="680" spans="1:15">
      <c r="A680">
        <v>679</v>
      </c>
      <c r="B680" t="s">
        <v>980</v>
      </c>
      <c r="C680" t="s">
        <v>25</v>
      </c>
      <c r="D680" s="9">
        <v>31788</v>
      </c>
      <c r="E680">
        <v>37</v>
      </c>
      <c r="F680" t="s">
        <v>17</v>
      </c>
      <c r="G680">
        <v>1</v>
      </c>
      <c r="H680" t="s">
        <v>35</v>
      </c>
      <c r="I680" t="b">
        <v>1</v>
      </c>
      <c r="J680" t="s">
        <v>981</v>
      </c>
      <c r="K680" s="10">
        <v>0.381944444444444</v>
      </c>
      <c r="L680" s="10">
        <v>0.409027777777778</v>
      </c>
      <c r="M680">
        <v>39</v>
      </c>
      <c r="N680" t="b">
        <v>0</v>
      </c>
    </row>
    <row r="681" spans="1:15">
      <c r="A681">
        <v>680</v>
      </c>
      <c r="B681" t="s">
        <v>982</v>
      </c>
      <c r="C681" t="s">
        <v>25</v>
      </c>
      <c r="D681" s="9">
        <v>36392</v>
      </c>
      <c r="E681">
        <v>25</v>
      </c>
      <c r="F681" t="s">
        <v>21</v>
      </c>
      <c r="G681">
        <v>3</v>
      </c>
      <c r="H681" t="s">
        <v>150</v>
      </c>
      <c r="I681" t="b">
        <v>1</v>
      </c>
      <c r="J681" t="s">
        <v>67</v>
      </c>
      <c r="K681" s="10">
        <v>0.689583333333333</v>
      </c>
      <c r="L681" s="10">
        <v>0.713888888888889</v>
      </c>
      <c r="M681">
        <v>35</v>
      </c>
      <c r="N681" t="b">
        <v>1</v>
      </c>
      <c r="O681" t="s">
        <v>47</v>
      </c>
    </row>
    <row r="682" spans="1:15">
      <c r="A682">
        <v>681</v>
      </c>
      <c r="B682" t="s">
        <v>983</v>
      </c>
      <c r="C682" t="s">
        <v>16</v>
      </c>
      <c r="D682" s="9">
        <v>31737</v>
      </c>
      <c r="E682">
        <v>37</v>
      </c>
      <c r="F682" t="s">
        <v>17</v>
      </c>
      <c r="G682">
        <v>1</v>
      </c>
      <c r="H682" t="s">
        <v>46</v>
      </c>
      <c r="I682" t="b">
        <v>0</v>
      </c>
      <c r="K682" s="10">
        <v>0.382638888888889</v>
      </c>
      <c r="L682" s="10">
        <v>0.463888888888889</v>
      </c>
      <c r="M682">
        <v>117</v>
      </c>
      <c r="N682" t="b">
        <v>1</v>
      </c>
      <c r="O682" t="s">
        <v>28</v>
      </c>
    </row>
    <row r="683" spans="1:15">
      <c r="A683">
        <v>682</v>
      </c>
      <c r="B683" t="s">
        <v>984</v>
      </c>
      <c r="C683" t="s">
        <v>25</v>
      </c>
      <c r="D683" s="9">
        <v>32808</v>
      </c>
      <c r="E683">
        <v>34</v>
      </c>
      <c r="F683" t="s">
        <v>17</v>
      </c>
      <c r="G683">
        <v>3</v>
      </c>
      <c r="H683" t="s">
        <v>106</v>
      </c>
      <c r="I683" t="b">
        <v>0</v>
      </c>
      <c r="K683" s="10">
        <v>0.454166666666667</v>
      </c>
      <c r="L683" s="10">
        <v>0.5125</v>
      </c>
      <c r="M683">
        <v>84</v>
      </c>
      <c r="N683" t="b">
        <v>1</v>
      </c>
      <c r="O683" t="s">
        <v>50</v>
      </c>
    </row>
    <row r="684" spans="1:15">
      <c r="A684">
        <v>683</v>
      </c>
      <c r="B684" t="s">
        <v>985</v>
      </c>
      <c r="C684" t="s">
        <v>25</v>
      </c>
      <c r="D684" s="9">
        <v>27550</v>
      </c>
      <c r="E684">
        <v>49</v>
      </c>
      <c r="F684" t="s">
        <v>21</v>
      </c>
      <c r="G684">
        <v>1</v>
      </c>
      <c r="H684" t="s">
        <v>46</v>
      </c>
      <c r="I684" t="b">
        <v>1</v>
      </c>
      <c r="J684" t="s">
        <v>986</v>
      </c>
      <c r="K684" s="10">
        <v>0.849305555555556</v>
      </c>
      <c r="L684" s="10">
        <v>0.966666666666667</v>
      </c>
      <c r="M684">
        <v>169</v>
      </c>
      <c r="N684" t="b">
        <v>0</v>
      </c>
    </row>
    <row r="685" spans="1:15">
      <c r="A685">
        <v>684</v>
      </c>
      <c r="B685" t="s">
        <v>987</v>
      </c>
      <c r="C685" t="s">
        <v>16</v>
      </c>
      <c r="D685" s="9">
        <v>38711</v>
      </c>
      <c r="E685">
        <v>18</v>
      </c>
      <c r="F685" t="s">
        <v>21</v>
      </c>
      <c r="G685">
        <v>1</v>
      </c>
      <c r="H685" t="s">
        <v>81</v>
      </c>
      <c r="I685" t="b">
        <v>1</v>
      </c>
      <c r="J685" t="s">
        <v>19</v>
      </c>
      <c r="K685" s="10">
        <v>0.74375</v>
      </c>
      <c r="L685" s="10">
        <v>0.771527777777778</v>
      </c>
      <c r="M685">
        <v>40</v>
      </c>
      <c r="N685" t="b">
        <v>0</v>
      </c>
    </row>
    <row r="686" spans="1:15">
      <c r="A686">
        <v>685</v>
      </c>
      <c r="B686" t="s">
        <v>906</v>
      </c>
      <c r="C686" t="s">
        <v>25</v>
      </c>
      <c r="D686" s="9">
        <v>29813</v>
      </c>
      <c r="E686">
        <v>43</v>
      </c>
      <c r="F686" t="s">
        <v>21</v>
      </c>
      <c r="G686">
        <v>2</v>
      </c>
      <c r="H686" t="s">
        <v>203</v>
      </c>
      <c r="I686" t="b">
        <v>0</v>
      </c>
      <c r="K686" s="10">
        <v>0.774305555555555</v>
      </c>
      <c r="L686" s="10">
        <v>0.861111111111111</v>
      </c>
      <c r="M686">
        <v>125</v>
      </c>
      <c r="N686" t="b">
        <v>1</v>
      </c>
      <c r="O686" t="s">
        <v>23</v>
      </c>
    </row>
    <row r="687" spans="1:15">
      <c r="A687">
        <v>686</v>
      </c>
      <c r="B687" t="s">
        <v>988</v>
      </c>
      <c r="C687" t="s">
        <v>16</v>
      </c>
      <c r="D687" s="9">
        <v>34458</v>
      </c>
      <c r="E687">
        <v>30</v>
      </c>
      <c r="F687" t="s">
        <v>17</v>
      </c>
      <c r="G687">
        <v>3</v>
      </c>
      <c r="H687" t="s">
        <v>315</v>
      </c>
      <c r="I687" t="b">
        <v>0</v>
      </c>
      <c r="K687" s="10">
        <v>0.427777777777778</v>
      </c>
      <c r="L687" s="10">
        <v>0.540972222222222</v>
      </c>
      <c r="M687">
        <v>163</v>
      </c>
      <c r="N687" t="b">
        <v>0</v>
      </c>
    </row>
    <row r="688" spans="1:15">
      <c r="A688">
        <v>687</v>
      </c>
      <c r="B688" t="s">
        <v>989</v>
      </c>
      <c r="C688" t="s">
        <v>25</v>
      </c>
      <c r="D688" s="9">
        <v>34753</v>
      </c>
      <c r="E688">
        <v>29</v>
      </c>
      <c r="F688" t="s">
        <v>21</v>
      </c>
      <c r="G688">
        <v>3</v>
      </c>
      <c r="H688" t="s">
        <v>22</v>
      </c>
      <c r="I688" t="b">
        <v>1</v>
      </c>
      <c r="J688" t="s">
        <v>19</v>
      </c>
      <c r="K688" s="10">
        <v>0.384027777777778</v>
      </c>
      <c r="L688" s="10">
        <v>0.456944444444444</v>
      </c>
      <c r="M688">
        <v>105</v>
      </c>
      <c r="N688" t="b">
        <v>0</v>
      </c>
    </row>
    <row r="689" spans="1:15">
      <c r="A689">
        <v>688</v>
      </c>
      <c r="B689" t="s">
        <v>990</v>
      </c>
      <c r="C689" t="s">
        <v>25</v>
      </c>
      <c r="D689" s="9">
        <v>40760</v>
      </c>
      <c r="E689">
        <v>13</v>
      </c>
      <c r="F689" t="s">
        <v>17</v>
      </c>
      <c r="G689">
        <v>3</v>
      </c>
      <c r="H689" t="s">
        <v>215</v>
      </c>
      <c r="I689" t="b">
        <v>0</v>
      </c>
      <c r="K689" s="10">
        <v>0.850694444444445</v>
      </c>
      <c r="L689" s="10">
        <v>0.959722222222222</v>
      </c>
      <c r="M689">
        <v>157</v>
      </c>
      <c r="N689" t="b">
        <v>1</v>
      </c>
      <c r="O689" t="s">
        <v>23</v>
      </c>
    </row>
    <row r="690" spans="1:15">
      <c r="A690">
        <v>689</v>
      </c>
      <c r="B690" t="s">
        <v>991</v>
      </c>
      <c r="C690" t="s">
        <v>16</v>
      </c>
      <c r="D690" s="9">
        <v>40665</v>
      </c>
      <c r="E690">
        <v>13</v>
      </c>
      <c r="F690" t="s">
        <v>21</v>
      </c>
      <c r="G690">
        <v>5</v>
      </c>
      <c r="H690" t="s">
        <v>567</v>
      </c>
      <c r="I690" t="b">
        <v>0</v>
      </c>
      <c r="K690" s="10">
        <v>0.407638888888889</v>
      </c>
      <c r="L690" s="10">
        <v>0.472222222222222</v>
      </c>
      <c r="M690">
        <v>93</v>
      </c>
      <c r="N690" t="b">
        <v>1</v>
      </c>
      <c r="O690" t="s">
        <v>47</v>
      </c>
    </row>
    <row r="691" spans="1:15">
      <c r="A691">
        <v>690</v>
      </c>
      <c r="B691" t="s">
        <v>992</v>
      </c>
      <c r="C691" t="s">
        <v>25</v>
      </c>
      <c r="D691" s="9">
        <v>29095</v>
      </c>
      <c r="E691">
        <v>45</v>
      </c>
      <c r="F691" t="s">
        <v>17</v>
      </c>
      <c r="G691">
        <v>3</v>
      </c>
      <c r="H691" t="s">
        <v>164</v>
      </c>
      <c r="I691" t="b">
        <v>0</v>
      </c>
      <c r="K691" s="10">
        <v>0.548611111111111</v>
      </c>
      <c r="L691" s="10">
        <v>0.604166666666667</v>
      </c>
      <c r="M691">
        <v>80</v>
      </c>
      <c r="N691" t="b">
        <v>0</v>
      </c>
    </row>
    <row r="692" spans="1:15">
      <c r="A692">
        <v>691</v>
      </c>
      <c r="B692" t="s">
        <v>993</v>
      </c>
      <c r="C692" t="s">
        <v>25</v>
      </c>
      <c r="D692" s="9">
        <v>35191</v>
      </c>
      <c r="E692">
        <v>28</v>
      </c>
      <c r="F692" t="s">
        <v>17</v>
      </c>
      <c r="G692">
        <v>3</v>
      </c>
      <c r="H692" t="s">
        <v>159</v>
      </c>
      <c r="I692" t="b">
        <v>0</v>
      </c>
      <c r="K692" s="10">
        <v>0.428472222222222</v>
      </c>
      <c r="L692" s="10">
        <v>0.478472222222222</v>
      </c>
      <c r="M692">
        <v>72</v>
      </c>
      <c r="N692" t="b">
        <v>1</v>
      </c>
      <c r="O692" t="s">
        <v>50</v>
      </c>
    </row>
    <row r="693" spans="1:15">
      <c r="A693">
        <v>692</v>
      </c>
      <c r="B693" t="s">
        <v>994</v>
      </c>
      <c r="C693" t="s">
        <v>16</v>
      </c>
      <c r="D693" s="9">
        <v>39416</v>
      </c>
      <c r="E693">
        <v>16</v>
      </c>
      <c r="F693" t="s">
        <v>17</v>
      </c>
      <c r="G693">
        <v>4</v>
      </c>
      <c r="H693" t="s">
        <v>219</v>
      </c>
      <c r="I693" t="b">
        <v>1</v>
      </c>
      <c r="J693" t="s">
        <v>70</v>
      </c>
      <c r="K693" s="10">
        <v>0.68125</v>
      </c>
      <c r="L693" s="10">
        <v>0.76875</v>
      </c>
      <c r="M693">
        <v>126</v>
      </c>
      <c r="N693" t="b">
        <v>1</v>
      </c>
      <c r="O693" t="s">
        <v>50</v>
      </c>
    </row>
    <row r="694" spans="1:15">
      <c r="A694">
        <v>693</v>
      </c>
      <c r="B694" t="s">
        <v>995</v>
      </c>
      <c r="C694" t="s">
        <v>16</v>
      </c>
      <c r="D694" s="9">
        <v>32125</v>
      </c>
      <c r="E694">
        <v>36</v>
      </c>
      <c r="F694" t="s">
        <v>21</v>
      </c>
      <c r="G694">
        <v>4</v>
      </c>
      <c r="H694" t="s">
        <v>439</v>
      </c>
      <c r="I694" t="b">
        <v>0</v>
      </c>
      <c r="K694" s="10">
        <v>0.731944444444444</v>
      </c>
      <c r="L694" s="10">
        <v>0.763194444444444</v>
      </c>
      <c r="M694">
        <v>45</v>
      </c>
      <c r="N694" t="b">
        <v>1</v>
      </c>
      <c r="O694" t="s">
        <v>47</v>
      </c>
    </row>
    <row r="695" spans="1:15">
      <c r="A695">
        <v>694</v>
      </c>
      <c r="B695" t="s">
        <v>996</v>
      </c>
      <c r="C695" t="s">
        <v>16</v>
      </c>
      <c r="D695" s="9">
        <v>38381</v>
      </c>
      <c r="E695">
        <v>19</v>
      </c>
      <c r="F695" t="s">
        <v>21</v>
      </c>
      <c r="G695">
        <v>2</v>
      </c>
      <c r="H695" t="s">
        <v>272</v>
      </c>
      <c r="I695" t="b">
        <v>0</v>
      </c>
      <c r="K695" s="10">
        <v>0.694444444444445</v>
      </c>
      <c r="L695" s="10">
        <v>0.733333333333333</v>
      </c>
      <c r="M695">
        <v>56</v>
      </c>
      <c r="N695" t="b">
        <v>1</v>
      </c>
      <c r="O695" t="s">
        <v>28</v>
      </c>
    </row>
    <row r="696" spans="1:15">
      <c r="A696">
        <v>695</v>
      </c>
      <c r="B696" t="s">
        <v>997</v>
      </c>
      <c r="C696" t="s">
        <v>16</v>
      </c>
      <c r="D696" s="9">
        <v>35635</v>
      </c>
      <c r="E696">
        <v>27</v>
      </c>
      <c r="F696" t="s">
        <v>21</v>
      </c>
      <c r="G696">
        <v>1</v>
      </c>
      <c r="H696" t="s">
        <v>185</v>
      </c>
      <c r="I696" t="b">
        <v>0</v>
      </c>
      <c r="K696" s="10">
        <v>0.520833333333333</v>
      </c>
      <c r="L696" s="10">
        <v>0.631944444444444</v>
      </c>
      <c r="M696">
        <v>160</v>
      </c>
      <c r="N696" t="b">
        <v>0</v>
      </c>
    </row>
    <row r="697" spans="1:15">
      <c r="A697">
        <v>696</v>
      </c>
      <c r="B697" t="s">
        <v>998</v>
      </c>
      <c r="C697" t="s">
        <v>16</v>
      </c>
      <c r="D697" s="9">
        <v>36740</v>
      </c>
      <c r="E697">
        <v>24</v>
      </c>
      <c r="F697" t="s">
        <v>21</v>
      </c>
      <c r="G697">
        <v>4</v>
      </c>
      <c r="H697" t="s">
        <v>123</v>
      </c>
      <c r="I697" t="b">
        <v>1</v>
      </c>
      <c r="J697" t="s">
        <v>260</v>
      </c>
      <c r="K697" s="10">
        <v>0.488194444444444</v>
      </c>
      <c r="L697" s="10">
        <v>0.552083333333333</v>
      </c>
      <c r="M697">
        <v>92</v>
      </c>
      <c r="N697" t="b">
        <v>0</v>
      </c>
    </row>
    <row r="698" spans="1:15">
      <c r="A698">
        <v>697</v>
      </c>
      <c r="B698" t="s">
        <v>584</v>
      </c>
      <c r="C698" t="s">
        <v>25</v>
      </c>
      <c r="D698" s="9">
        <v>37326</v>
      </c>
      <c r="E698">
        <v>22</v>
      </c>
      <c r="F698" t="s">
        <v>21</v>
      </c>
      <c r="G698">
        <v>5</v>
      </c>
      <c r="H698" t="s">
        <v>152</v>
      </c>
      <c r="I698" t="b">
        <v>1</v>
      </c>
      <c r="J698" t="s">
        <v>83</v>
      </c>
      <c r="K698" s="10">
        <v>0.438194444444444</v>
      </c>
      <c r="L698" s="10">
        <v>0.531944444444444</v>
      </c>
      <c r="M698">
        <v>135</v>
      </c>
      <c r="N698" t="b">
        <v>1</v>
      </c>
      <c r="O698" t="s">
        <v>28</v>
      </c>
    </row>
    <row r="699" spans="1:15">
      <c r="A699">
        <v>698</v>
      </c>
      <c r="B699" t="s">
        <v>191</v>
      </c>
      <c r="C699" t="s">
        <v>25</v>
      </c>
      <c r="D699" s="9">
        <v>27474</v>
      </c>
      <c r="E699">
        <v>49</v>
      </c>
      <c r="F699" t="s">
        <v>21</v>
      </c>
      <c r="G699">
        <v>3</v>
      </c>
      <c r="H699" t="s">
        <v>241</v>
      </c>
      <c r="I699" t="b">
        <v>0</v>
      </c>
      <c r="K699" s="10">
        <v>0.619444444444444</v>
      </c>
      <c r="L699" s="10">
        <v>0.718055555555556</v>
      </c>
      <c r="M699">
        <v>142</v>
      </c>
      <c r="N699" t="b">
        <v>1</v>
      </c>
      <c r="O699" t="s">
        <v>23</v>
      </c>
    </row>
    <row r="700" spans="1:15">
      <c r="A700">
        <v>699</v>
      </c>
      <c r="B700" t="s">
        <v>999</v>
      </c>
      <c r="C700" t="s">
        <v>25</v>
      </c>
      <c r="D700" s="9">
        <v>39939</v>
      </c>
      <c r="E700">
        <v>15</v>
      </c>
      <c r="F700" t="s">
        <v>17</v>
      </c>
      <c r="G700">
        <v>3</v>
      </c>
      <c r="H700" t="s">
        <v>159</v>
      </c>
      <c r="I700" t="b">
        <v>1</v>
      </c>
      <c r="J700" t="s">
        <v>201</v>
      </c>
      <c r="K700" s="10">
        <v>0.754166666666667</v>
      </c>
      <c r="L700" s="10">
        <v>0.827083333333333</v>
      </c>
      <c r="M700">
        <v>105</v>
      </c>
      <c r="N700" t="b">
        <v>1</v>
      </c>
      <c r="O700" t="s">
        <v>47</v>
      </c>
    </row>
    <row r="701" spans="1:15">
      <c r="A701">
        <v>700</v>
      </c>
      <c r="B701" t="s">
        <v>1000</v>
      </c>
      <c r="C701" t="s">
        <v>16</v>
      </c>
      <c r="D701" s="9">
        <v>32490</v>
      </c>
      <c r="E701">
        <v>35</v>
      </c>
      <c r="F701" t="s">
        <v>17</v>
      </c>
      <c r="G701">
        <v>3</v>
      </c>
      <c r="H701" t="s">
        <v>315</v>
      </c>
      <c r="I701" t="b">
        <v>0</v>
      </c>
      <c r="K701" s="10">
        <v>0.690972222222222</v>
      </c>
      <c r="L701" s="10">
        <v>0.734027777777778</v>
      </c>
      <c r="M701">
        <v>62</v>
      </c>
      <c r="N701" t="b">
        <v>0</v>
      </c>
    </row>
    <row r="702" spans="1:15">
      <c r="A702">
        <v>701</v>
      </c>
      <c r="B702" t="s">
        <v>1001</v>
      </c>
      <c r="C702" t="s">
        <v>16</v>
      </c>
      <c r="D702" s="9">
        <v>36813</v>
      </c>
      <c r="E702">
        <v>23</v>
      </c>
      <c r="F702" t="s">
        <v>21</v>
      </c>
      <c r="G702">
        <v>5</v>
      </c>
      <c r="H702" t="s">
        <v>863</v>
      </c>
      <c r="I702" t="b">
        <v>1</v>
      </c>
      <c r="J702" t="s">
        <v>973</v>
      </c>
      <c r="K702" s="10">
        <v>0.471527777777778</v>
      </c>
      <c r="L702" s="10">
        <v>0.577777777777778</v>
      </c>
      <c r="M702">
        <v>153</v>
      </c>
      <c r="N702" t="b">
        <v>0</v>
      </c>
    </row>
    <row r="703" spans="1:15">
      <c r="A703">
        <v>702</v>
      </c>
      <c r="B703" t="s">
        <v>1002</v>
      </c>
      <c r="C703" t="s">
        <v>25</v>
      </c>
      <c r="D703" s="9">
        <v>30564</v>
      </c>
      <c r="E703">
        <v>41</v>
      </c>
      <c r="F703" t="s">
        <v>21</v>
      </c>
      <c r="G703">
        <v>5</v>
      </c>
      <c r="H703" t="s">
        <v>152</v>
      </c>
      <c r="I703" t="b">
        <v>0</v>
      </c>
      <c r="K703" s="10">
        <v>0.431944444444444</v>
      </c>
      <c r="L703" s="10">
        <v>0.469444444444444</v>
      </c>
      <c r="M703">
        <v>54</v>
      </c>
      <c r="N703" t="b">
        <v>0</v>
      </c>
    </row>
    <row r="704" spans="1:15">
      <c r="A704">
        <v>703</v>
      </c>
      <c r="B704" t="s">
        <v>1003</v>
      </c>
      <c r="C704" t="s">
        <v>25</v>
      </c>
      <c r="D704" s="9">
        <v>32312</v>
      </c>
      <c r="E704">
        <v>36</v>
      </c>
      <c r="F704" t="s">
        <v>17</v>
      </c>
      <c r="G704">
        <v>3</v>
      </c>
      <c r="H704" t="s">
        <v>85</v>
      </c>
      <c r="I704" t="b">
        <v>1</v>
      </c>
      <c r="J704" t="s">
        <v>1004</v>
      </c>
      <c r="K704" s="10">
        <v>0.667361111111111</v>
      </c>
      <c r="L704" s="10">
        <v>0.747916666666667</v>
      </c>
      <c r="M704">
        <v>116</v>
      </c>
      <c r="N704" t="b">
        <v>1</v>
      </c>
      <c r="O704" t="s">
        <v>28</v>
      </c>
    </row>
    <row r="705" spans="1:15">
      <c r="A705">
        <v>704</v>
      </c>
      <c r="B705" t="s">
        <v>1005</v>
      </c>
      <c r="C705" t="s">
        <v>25</v>
      </c>
      <c r="D705" s="9">
        <v>32555</v>
      </c>
      <c r="E705">
        <v>35</v>
      </c>
      <c r="F705" t="s">
        <v>17</v>
      </c>
      <c r="G705">
        <v>2</v>
      </c>
      <c r="H705" t="s">
        <v>133</v>
      </c>
      <c r="I705" t="b">
        <v>1</v>
      </c>
      <c r="J705" t="s">
        <v>1006</v>
      </c>
      <c r="K705" s="10">
        <v>0.843055555555556</v>
      </c>
      <c r="L705" s="10">
        <v>0.875</v>
      </c>
      <c r="M705">
        <v>46</v>
      </c>
      <c r="N705" t="b">
        <v>1</v>
      </c>
      <c r="O705" t="s">
        <v>47</v>
      </c>
    </row>
    <row r="706" spans="1:15">
      <c r="A706">
        <v>705</v>
      </c>
      <c r="B706" t="s">
        <v>1007</v>
      </c>
      <c r="C706" t="s">
        <v>25</v>
      </c>
      <c r="D706" s="9">
        <v>33572</v>
      </c>
      <c r="E706">
        <v>32</v>
      </c>
      <c r="F706" t="s">
        <v>21</v>
      </c>
      <c r="G706">
        <v>3</v>
      </c>
      <c r="H706" t="s">
        <v>266</v>
      </c>
      <c r="I706" t="b">
        <v>1</v>
      </c>
      <c r="J706" t="s">
        <v>1008</v>
      </c>
      <c r="K706" s="10">
        <v>0.728472222222222</v>
      </c>
      <c r="L706" s="10">
        <v>0.799305555555556</v>
      </c>
      <c r="M706">
        <v>102</v>
      </c>
      <c r="N706" t="b">
        <v>0</v>
      </c>
    </row>
    <row r="707" spans="1:15">
      <c r="A707">
        <v>706</v>
      </c>
      <c r="B707" t="s">
        <v>1009</v>
      </c>
      <c r="C707" t="s">
        <v>16</v>
      </c>
      <c r="D707" s="9">
        <v>31211</v>
      </c>
      <c r="E707">
        <v>39</v>
      </c>
      <c r="F707" t="s">
        <v>21</v>
      </c>
      <c r="G707">
        <v>3</v>
      </c>
      <c r="H707" t="s">
        <v>315</v>
      </c>
      <c r="I707" t="b">
        <v>0</v>
      </c>
      <c r="K707" s="10">
        <v>0.461805555555556</v>
      </c>
      <c r="L707" s="10">
        <v>0.574305555555556</v>
      </c>
      <c r="M707">
        <v>162</v>
      </c>
      <c r="N707" t="b">
        <v>1</v>
      </c>
      <c r="O707" t="s">
        <v>50</v>
      </c>
    </row>
    <row r="708" spans="1:15">
      <c r="A708">
        <v>707</v>
      </c>
      <c r="B708" t="s">
        <v>1010</v>
      </c>
      <c r="C708" t="s">
        <v>25</v>
      </c>
      <c r="D708" s="9">
        <v>35232</v>
      </c>
      <c r="E708">
        <v>28</v>
      </c>
      <c r="F708" t="s">
        <v>17</v>
      </c>
      <c r="G708">
        <v>5</v>
      </c>
      <c r="H708" t="s">
        <v>183</v>
      </c>
      <c r="I708" t="b">
        <v>1</v>
      </c>
      <c r="J708" t="s">
        <v>1011</v>
      </c>
      <c r="K708" s="10">
        <v>0.563194444444444</v>
      </c>
      <c r="L708" s="10">
        <v>0.625694444444444</v>
      </c>
      <c r="M708">
        <v>90</v>
      </c>
      <c r="N708" t="b">
        <v>1</v>
      </c>
      <c r="O708" t="s">
        <v>23</v>
      </c>
    </row>
    <row r="709" spans="1:15">
      <c r="A709">
        <v>708</v>
      </c>
      <c r="B709" t="s">
        <v>1012</v>
      </c>
      <c r="C709" t="s">
        <v>25</v>
      </c>
      <c r="D709" s="9">
        <v>37054</v>
      </c>
      <c r="E709">
        <v>23</v>
      </c>
      <c r="F709" t="s">
        <v>17</v>
      </c>
      <c r="G709">
        <v>2</v>
      </c>
      <c r="H709" t="s">
        <v>40</v>
      </c>
      <c r="I709" t="b">
        <v>1</v>
      </c>
      <c r="J709" t="s">
        <v>67</v>
      </c>
      <c r="K709" s="10">
        <v>0.750694444444444</v>
      </c>
      <c r="L709" s="10">
        <v>0.870138888888889</v>
      </c>
      <c r="M709">
        <v>172</v>
      </c>
      <c r="N709" t="b">
        <v>1</v>
      </c>
      <c r="O709" t="s">
        <v>50</v>
      </c>
    </row>
    <row r="710" spans="1:15">
      <c r="A710">
        <v>709</v>
      </c>
      <c r="B710" t="s">
        <v>1013</v>
      </c>
      <c r="C710" t="s">
        <v>25</v>
      </c>
      <c r="D710" s="9">
        <v>30645</v>
      </c>
      <c r="E710">
        <v>40</v>
      </c>
      <c r="F710" t="s">
        <v>21</v>
      </c>
      <c r="G710">
        <v>3</v>
      </c>
      <c r="H710" t="s">
        <v>215</v>
      </c>
      <c r="I710" t="b">
        <v>1</v>
      </c>
      <c r="J710" t="s">
        <v>1014</v>
      </c>
      <c r="K710" s="10">
        <v>0.748611111111111</v>
      </c>
      <c r="L710" s="10">
        <v>0.838194444444444</v>
      </c>
      <c r="M710">
        <v>129</v>
      </c>
      <c r="N710" t="b">
        <v>0</v>
      </c>
    </row>
    <row r="711" spans="1:15">
      <c r="A711">
        <v>710</v>
      </c>
      <c r="B711" t="s">
        <v>1015</v>
      </c>
      <c r="C711" t="s">
        <v>16</v>
      </c>
      <c r="D711" s="9">
        <v>38583</v>
      </c>
      <c r="E711">
        <v>19</v>
      </c>
      <c r="F711" t="s">
        <v>17</v>
      </c>
      <c r="G711">
        <v>5</v>
      </c>
      <c r="H711" t="s">
        <v>347</v>
      </c>
      <c r="I711" t="b">
        <v>1</v>
      </c>
      <c r="J711" t="s">
        <v>1016</v>
      </c>
      <c r="K711" s="10">
        <v>0.454166666666667</v>
      </c>
      <c r="L711" s="10">
        <v>0.502083333333333</v>
      </c>
      <c r="M711">
        <v>69</v>
      </c>
      <c r="N711" t="b">
        <v>1</v>
      </c>
      <c r="O711" t="s">
        <v>28</v>
      </c>
    </row>
    <row r="712" spans="1:15">
      <c r="A712">
        <v>711</v>
      </c>
      <c r="B712" t="s">
        <v>1017</v>
      </c>
      <c r="C712" t="s">
        <v>16</v>
      </c>
      <c r="D712" s="9">
        <v>30395</v>
      </c>
      <c r="E712">
        <v>41</v>
      </c>
      <c r="F712" t="s">
        <v>21</v>
      </c>
      <c r="G712">
        <v>2</v>
      </c>
      <c r="H712" t="s">
        <v>133</v>
      </c>
      <c r="I712" t="b">
        <v>1</v>
      </c>
      <c r="J712" t="s">
        <v>174</v>
      </c>
      <c r="K712" s="10">
        <v>0.414583333333333</v>
      </c>
      <c r="L712" s="10">
        <v>0.492361111111111</v>
      </c>
      <c r="M712">
        <v>112</v>
      </c>
      <c r="N712" t="b">
        <v>0</v>
      </c>
    </row>
    <row r="713" spans="1:15">
      <c r="A713">
        <v>712</v>
      </c>
      <c r="B713" t="s">
        <v>1018</v>
      </c>
      <c r="C713" t="s">
        <v>25</v>
      </c>
      <c r="D713" s="9">
        <v>36502</v>
      </c>
      <c r="E713">
        <v>24</v>
      </c>
      <c r="F713" t="s">
        <v>21</v>
      </c>
      <c r="G713">
        <v>4</v>
      </c>
      <c r="H713" t="s">
        <v>123</v>
      </c>
      <c r="I713" t="b">
        <v>1</v>
      </c>
      <c r="J713" t="s">
        <v>1019</v>
      </c>
      <c r="K713" s="10">
        <v>0.55</v>
      </c>
      <c r="L713" s="10">
        <v>0.629166666666667</v>
      </c>
      <c r="M713">
        <v>114</v>
      </c>
      <c r="N713" t="b">
        <v>1</v>
      </c>
      <c r="O713" t="s">
        <v>50</v>
      </c>
    </row>
    <row r="714" spans="1:15">
      <c r="A714">
        <v>713</v>
      </c>
      <c r="B714" t="s">
        <v>1020</v>
      </c>
      <c r="C714" t="s">
        <v>25</v>
      </c>
      <c r="D714" s="9">
        <v>31722</v>
      </c>
      <c r="E714">
        <v>37</v>
      </c>
      <c r="F714" t="s">
        <v>21</v>
      </c>
      <c r="G714">
        <v>3</v>
      </c>
      <c r="H714" t="s">
        <v>92</v>
      </c>
      <c r="I714" t="b">
        <v>1</v>
      </c>
      <c r="J714" t="s">
        <v>44</v>
      </c>
      <c r="K714" s="10">
        <v>0.442361111111111</v>
      </c>
      <c r="L714" s="10">
        <v>0.486111111111111</v>
      </c>
      <c r="M714">
        <v>63</v>
      </c>
      <c r="N714" t="b">
        <v>1</v>
      </c>
      <c r="O714" t="s">
        <v>23</v>
      </c>
    </row>
    <row r="715" spans="1:15">
      <c r="A715">
        <v>714</v>
      </c>
      <c r="B715" t="s">
        <v>730</v>
      </c>
      <c r="C715" t="s">
        <v>16</v>
      </c>
      <c r="D715" s="9">
        <v>29817</v>
      </c>
      <c r="E715">
        <v>43</v>
      </c>
      <c r="F715" t="s">
        <v>21</v>
      </c>
      <c r="G715">
        <v>1</v>
      </c>
      <c r="H715" t="s">
        <v>81</v>
      </c>
      <c r="I715" t="b">
        <v>1</v>
      </c>
      <c r="J715" t="s">
        <v>958</v>
      </c>
      <c r="K715" s="10">
        <v>0.451388888888889</v>
      </c>
      <c r="L715" s="10">
        <v>0.495833333333333</v>
      </c>
      <c r="M715">
        <v>64</v>
      </c>
      <c r="N715" t="b">
        <v>0</v>
      </c>
    </row>
    <row r="716" spans="1:15">
      <c r="A716">
        <v>715</v>
      </c>
      <c r="B716" t="s">
        <v>1021</v>
      </c>
      <c r="C716" t="s">
        <v>25</v>
      </c>
      <c r="D716" s="9">
        <v>29743</v>
      </c>
      <c r="E716">
        <v>43</v>
      </c>
      <c r="F716" t="s">
        <v>17</v>
      </c>
      <c r="G716">
        <v>3</v>
      </c>
      <c r="H716" t="s">
        <v>85</v>
      </c>
      <c r="I716" t="b">
        <v>0</v>
      </c>
      <c r="K716" s="10">
        <v>0.501388888888889</v>
      </c>
      <c r="L716" s="10">
        <v>0.536805555555556</v>
      </c>
      <c r="M716">
        <v>51</v>
      </c>
      <c r="N716" t="b">
        <v>1</v>
      </c>
      <c r="O716" t="s">
        <v>28</v>
      </c>
    </row>
    <row r="717" spans="1:15">
      <c r="A717">
        <v>716</v>
      </c>
      <c r="B717" t="s">
        <v>1022</v>
      </c>
      <c r="C717" t="s">
        <v>16</v>
      </c>
      <c r="D717" s="9">
        <v>34913</v>
      </c>
      <c r="E717">
        <v>29</v>
      </c>
      <c r="F717" t="s">
        <v>21</v>
      </c>
      <c r="G717">
        <v>4</v>
      </c>
      <c r="H717" t="s">
        <v>955</v>
      </c>
      <c r="I717" t="b">
        <v>1</v>
      </c>
      <c r="J717" t="s">
        <v>93</v>
      </c>
      <c r="K717" s="10">
        <v>0.760416666666667</v>
      </c>
      <c r="L717" s="10">
        <v>0.818055555555556</v>
      </c>
      <c r="M717">
        <v>83</v>
      </c>
      <c r="N717" t="b">
        <v>1</v>
      </c>
      <c r="O717" t="s">
        <v>28</v>
      </c>
    </row>
    <row r="718" spans="1:15">
      <c r="A718">
        <v>717</v>
      </c>
      <c r="B718" t="s">
        <v>1023</v>
      </c>
      <c r="C718" t="s">
        <v>25</v>
      </c>
      <c r="D718" s="9">
        <v>29258</v>
      </c>
      <c r="E718">
        <v>44</v>
      </c>
      <c r="F718" t="s">
        <v>17</v>
      </c>
      <c r="G718">
        <v>4</v>
      </c>
      <c r="H718" t="s">
        <v>1024</v>
      </c>
      <c r="I718" t="b">
        <v>0</v>
      </c>
      <c r="K718" s="10">
        <v>0.465277777777778</v>
      </c>
      <c r="L718" s="10">
        <v>0.536805555555556</v>
      </c>
      <c r="M718">
        <v>103</v>
      </c>
      <c r="N718" t="b">
        <v>0</v>
      </c>
    </row>
    <row r="719" spans="1:15">
      <c r="A719">
        <v>718</v>
      </c>
      <c r="B719" t="s">
        <v>820</v>
      </c>
      <c r="C719" t="s">
        <v>25</v>
      </c>
      <c r="D719" s="9">
        <v>35397</v>
      </c>
      <c r="E719">
        <v>27</v>
      </c>
      <c r="F719" t="s">
        <v>21</v>
      </c>
      <c r="G719">
        <v>2</v>
      </c>
      <c r="H719" t="s">
        <v>272</v>
      </c>
      <c r="I719" t="b">
        <v>1</v>
      </c>
      <c r="J719" t="s">
        <v>102</v>
      </c>
      <c r="K719" s="10">
        <v>0.855555555555556</v>
      </c>
      <c r="L719" s="10">
        <v>0.888194444444444</v>
      </c>
      <c r="M719">
        <v>47</v>
      </c>
      <c r="N719" t="b">
        <v>0</v>
      </c>
    </row>
    <row r="720" spans="1:15">
      <c r="A720">
        <v>719</v>
      </c>
      <c r="B720" t="s">
        <v>1025</v>
      </c>
      <c r="C720" t="s">
        <v>25</v>
      </c>
      <c r="D720" s="9">
        <v>32893</v>
      </c>
      <c r="E720">
        <v>34</v>
      </c>
      <c r="F720" t="s">
        <v>21</v>
      </c>
      <c r="G720">
        <v>5</v>
      </c>
      <c r="H720" t="s">
        <v>192</v>
      </c>
      <c r="I720" t="b">
        <v>0</v>
      </c>
      <c r="K720" s="10">
        <v>0.35625</v>
      </c>
      <c r="L720" s="10">
        <v>0.473611111111111</v>
      </c>
      <c r="M720">
        <v>169</v>
      </c>
      <c r="N720" t="b">
        <v>0</v>
      </c>
    </row>
    <row r="721" spans="1:15">
      <c r="A721">
        <v>720</v>
      </c>
      <c r="B721" t="s">
        <v>1026</v>
      </c>
      <c r="C721" t="s">
        <v>25</v>
      </c>
      <c r="D721" s="9">
        <v>38765</v>
      </c>
      <c r="E721">
        <v>18</v>
      </c>
      <c r="F721" t="s">
        <v>21</v>
      </c>
      <c r="G721">
        <v>4</v>
      </c>
      <c r="H721" t="s">
        <v>1027</v>
      </c>
      <c r="I721" t="b">
        <v>1</v>
      </c>
      <c r="J721" t="s">
        <v>201</v>
      </c>
      <c r="K721" s="10">
        <v>0.820833333333333</v>
      </c>
      <c r="L721" s="10">
        <v>0.909027777777778</v>
      </c>
      <c r="M721">
        <v>127</v>
      </c>
      <c r="N721" t="b">
        <v>0</v>
      </c>
    </row>
    <row r="722" spans="1:15">
      <c r="A722">
        <v>721</v>
      </c>
      <c r="B722" t="s">
        <v>1028</v>
      </c>
      <c r="C722" t="s">
        <v>25</v>
      </c>
      <c r="D722" s="9">
        <v>34544</v>
      </c>
      <c r="E722">
        <v>30</v>
      </c>
      <c r="F722" t="s">
        <v>17</v>
      </c>
      <c r="G722">
        <v>2</v>
      </c>
      <c r="H722" t="s">
        <v>203</v>
      </c>
      <c r="I722" t="b">
        <v>0</v>
      </c>
      <c r="K722" s="10">
        <v>0.359722222222222</v>
      </c>
      <c r="L722" s="10">
        <v>0.382638888888889</v>
      </c>
      <c r="M722">
        <v>33</v>
      </c>
      <c r="N722" t="b">
        <v>1</v>
      </c>
      <c r="O722" t="s">
        <v>23</v>
      </c>
    </row>
    <row r="723" spans="1:15">
      <c r="A723">
        <v>722</v>
      </c>
      <c r="B723" t="s">
        <v>147</v>
      </c>
      <c r="C723" t="s">
        <v>25</v>
      </c>
      <c r="D723" s="9">
        <v>38515</v>
      </c>
      <c r="E723">
        <v>19</v>
      </c>
      <c r="F723" t="s">
        <v>21</v>
      </c>
      <c r="G723">
        <v>1</v>
      </c>
      <c r="H723" t="s">
        <v>59</v>
      </c>
      <c r="I723" t="b">
        <v>0</v>
      </c>
      <c r="K723" s="10">
        <v>0.478472222222222</v>
      </c>
      <c r="L723" s="10">
        <v>0.568055555555556</v>
      </c>
      <c r="M723">
        <v>129</v>
      </c>
      <c r="N723" t="b">
        <v>1</v>
      </c>
      <c r="O723" t="s">
        <v>47</v>
      </c>
    </row>
    <row r="724" spans="1:15">
      <c r="A724">
        <v>723</v>
      </c>
      <c r="B724" t="s">
        <v>1029</v>
      </c>
      <c r="C724" t="s">
        <v>25</v>
      </c>
      <c r="D724" s="9">
        <v>35676</v>
      </c>
      <c r="E724">
        <v>27</v>
      </c>
      <c r="F724" t="s">
        <v>17</v>
      </c>
      <c r="G724">
        <v>1</v>
      </c>
      <c r="H724" t="s">
        <v>46</v>
      </c>
      <c r="I724" t="b">
        <v>1</v>
      </c>
      <c r="J724" t="s">
        <v>762</v>
      </c>
      <c r="K724" s="10">
        <v>0.765277777777778</v>
      </c>
      <c r="L724" s="10">
        <v>0.838888888888889</v>
      </c>
      <c r="M724">
        <v>106</v>
      </c>
      <c r="N724" t="b">
        <v>0</v>
      </c>
    </row>
    <row r="725" spans="1:15">
      <c r="A725">
        <v>724</v>
      </c>
      <c r="B725" t="s">
        <v>1030</v>
      </c>
      <c r="C725" t="s">
        <v>25</v>
      </c>
      <c r="D725" s="9">
        <v>28321</v>
      </c>
      <c r="E725">
        <v>47</v>
      </c>
      <c r="F725" t="s">
        <v>17</v>
      </c>
      <c r="G725">
        <v>2</v>
      </c>
      <c r="H725" t="s">
        <v>40</v>
      </c>
      <c r="I725" t="b">
        <v>1</v>
      </c>
      <c r="J725" t="s">
        <v>230</v>
      </c>
      <c r="K725" s="10">
        <v>0.795833333333333</v>
      </c>
      <c r="L725" s="10">
        <v>0.899305555555555</v>
      </c>
      <c r="M725">
        <v>149</v>
      </c>
      <c r="N725" t="b">
        <v>1</v>
      </c>
      <c r="O725" t="s">
        <v>23</v>
      </c>
    </row>
    <row r="726" spans="1:15">
      <c r="A726">
        <v>725</v>
      </c>
      <c r="B726" t="s">
        <v>1031</v>
      </c>
      <c r="C726" t="s">
        <v>16</v>
      </c>
      <c r="D726" s="9">
        <v>30236</v>
      </c>
      <c r="E726">
        <v>41</v>
      </c>
      <c r="F726" t="s">
        <v>17</v>
      </c>
      <c r="G726">
        <v>2</v>
      </c>
      <c r="H726" t="s">
        <v>40</v>
      </c>
      <c r="I726" t="b">
        <v>0</v>
      </c>
      <c r="K726" s="10">
        <v>0.804166666666667</v>
      </c>
      <c r="L726" s="10">
        <v>0.836805555555555</v>
      </c>
      <c r="M726">
        <v>47</v>
      </c>
      <c r="N726" t="b">
        <v>1</v>
      </c>
      <c r="O726" t="s">
        <v>50</v>
      </c>
    </row>
    <row r="727" spans="1:15">
      <c r="A727">
        <v>726</v>
      </c>
      <c r="B727" t="s">
        <v>1032</v>
      </c>
      <c r="C727" t="s">
        <v>25</v>
      </c>
      <c r="D727" s="9">
        <v>33041</v>
      </c>
      <c r="E727">
        <v>34</v>
      </c>
      <c r="F727" t="s">
        <v>17</v>
      </c>
      <c r="G727">
        <v>3</v>
      </c>
      <c r="H727" t="s">
        <v>295</v>
      </c>
      <c r="I727" t="b">
        <v>0</v>
      </c>
      <c r="K727" s="10">
        <v>0.454166666666667</v>
      </c>
      <c r="L727" s="10">
        <v>0.536805555555556</v>
      </c>
      <c r="M727">
        <v>119</v>
      </c>
      <c r="N727" t="b">
        <v>0</v>
      </c>
    </row>
    <row r="728" spans="1:15">
      <c r="A728">
        <v>727</v>
      </c>
      <c r="B728" t="s">
        <v>1033</v>
      </c>
      <c r="C728" t="s">
        <v>25</v>
      </c>
      <c r="D728" s="9">
        <v>31204</v>
      </c>
      <c r="E728">
        <v>39</v>
      </c>
      <c r="F728" t="s">
        <v>17</v>
      </c>
      <c r="G728">
        <v>4</v>
      </c>
      <c r="H728" t="s">
        <v>1034</v>
      </c>
      <c r="I728" t="b">
        <v>1</v>
      </c>
      <c r="J728" t="s">
        <v>691</v>
      </c>
      <c r="K728" s="10">
        <v>0.49375</v>
      </c>
      <c r="L728" s="10">
        <v>0.595138888888889</v>
      </c>
      <c r="M728">
        <v>146</v>
      </c>
      <c r="N728" t="b">
        <v>0</v>
      </c>
    </row>
    <row r="729" spans="1:15">
      <c r="A729">
        <v>728</v>
      </c>
      <c r="B729" t="s">
        <v>1035</v>
      </c>
      <c r="C729" t="s">
        <v>16</v>
      </c>
      <c r="D729" s="9">
        <v>36967</v>
      </c>
      <c r="E729">
        <v>23</v>
      </c>
      <c r="F729" t="s">
        <v>17</v>
      </c>
      <c r="G729">
        <v>5</v>
      </c>
      <c r="H729" t="s">
        <v>417</v>
      </c>
      <c r="I729" t="b">
        <v>1</v>
      </c>
      <c r="J729" t="s">
        <v>1036</v>
      </c>
      <c r="K729" s="10">
        <v>0.872916666666667</v>
      </c>
      <c r="L729" s="10">
        <v>0.978472222222222</v>
      </c>
      <c r="M729">
        <v>152</v>
      </c>
      <c r="N729" t="b">
        <v>0</v>
      </c>
    </row>
    <row r="730" spans="1:15">
      <c r="A730">
        <v>729</v>
      </c>
      <c r="B730" t="s">
        <v>1037</v>
      </c>
      <c r="C730" t="s">
        <v>25</v>
      </c>
      <c r="D730" s="9">
        <v>30621</v>
      </c>
      <c r="E730">
        <v>40</v>
      </c>
      <c r="F730" t="s">
        <v>21</v>
      </c>
      <c r="G730">
        <v>3</v>
      </c>
      <c r="H730" t="s">
        <v>245</v>
      </c>
      <c r="I730" t="b">
        <v>0</v>
      </c>
      <c r="K730" s="10">
        <v>0.818055555555556</v>
      </c>
      <c r="L730" s="10">
        <v>0.943055555555556</v>
      </c>
      <c r="M730">
        <v>180</v>
      </c>
      <c r="N730" t="b">
        <v>1</v>
      </c>
      <c r="O730" t="s">
        <v>23</v>
      </c>
    </row>
    <row r="731" spans="1:15">
      <c r="A731">
        <v>730</v>
      </c>
      <c r="B731" t="s">
        <v>1038</v>
      </c>
      <c r="C731" t="s">
        <v>25</v>
      </c>
      <c r="D731" s="9">
        <v>31238</v>
      </c>
      <c r="E731">
        <v>39</v>
      </c>
      <c r="F731" t="s">
        <v>17</v>
      </c>
      <c r="G731">
        <v>5</v>
      </c>
      <c r="H731" t="s">
        <v>816</v>
      </c>
      <c r="I731" t="b">
        <v>0</v>
      </c>
      <c r="K731" s="10">
        <v>0.644444444444444</v>
      </c>
      <c r="L731" s="10">
        <v>0.763194444444444</v>
      </c>
      <c r="M731">
        <v>171</v>
      </c>
      <c r="N731" t="b">
        <v>1</v>
      </c>
      <c r="O731" t="s">
        <v>23</v>
      </c>
    </row>
    <row r="732" spans="1:15">
      <c r="A732">
        <v>731</v>
      </c>
      <c r="B732" t="s">
        <v>1039</v>
      </c>
      <c r="C732" t="s">
        <v>16</v>
      </c>
      <c r="D732" s="9">
        <v>39592</v>
      </c>
      <c r="E732">
        <v>16</v>
      </c>
      <c r="F732" t="s">
        <v>17</v>
      </c>
      <c r="G732">
        <v>2</v>
      </c>
      <c r="H732" t="s">
        <v>40</v>
      </c>
      <c r="I732" t="b">
        <v>1</v>
      </c>
      <c r="J732" t="s">
        <v>418</v>
      </c>
      <c r="K732" s="10">
        <v>0.381944444444444</v>
      </c>
      <c r="L732" s="10">
        <v>0.497916666666667</v>
      </c>
      <c r="M732">
        <v>167</v>
      </c>
      <c r="N732" t="b">
        <v>1</v>
      </c>
      <c r="O732" t="s">
        <v>50</v>
      </c>
    </row>
    <row r="733" spans="1:15">
      <c r="A733">
        <v>732</v>
      </c>
      <c r="B733" t="s">
        <v>1040</v>
      </c>
      <c r="C733" t="s">
        <v>16</v>
      </c>
      <c r="D733" s="9">
        <v>33409</v>
      </c>
      <c r="E733">
        <v>33</v>
      </c>
      <c r="F733" t="s">
        <v>17</v>
      </c>
      <c r="G733">
        <v>4</v>
      </c>
      <c r="H733" t="s">
        <v>212</v>
      </c>
      <c r="I733" t="b">
        <v>0</v>
      </c>
      <c r="K733" s="10">
        <v>0.5625</v>
      </c>
      <c r="L733" s="10">
        <v>0.623611111111111</v>
      </c>
      <c r="M733">
        <v>88</v>
      </c>
      <c r="N733" t="b">
        <v>1</v>
      </c>
      <c r="O733" t="s">
        <v>50</v>
      </c>
    </row>
    <row r="734" spans="1:15">
      <c r="A734">
        <v>733</v>
      </c>
      <c r="B734" t="s">
        <v>301</v>
      </c>
      <c r="C734" t="s">
        <v>25</v>
      </c>
      <c r="D734" s="9">
        <v>28149</v>
      </c>
      <c r="E734">
        <v>47</v>
      </c>
      <c r="F734" t="s">
        <v>21</v>
      </c>
      <c r="G734">
        <v>1</v>
      </c>
      <c r="H734" t="s">
        <v>26</v>
      </c>
      <c r="I734" t="b">
        <v>1</v>
      </c>
      <c r="J734" t="s">
        <v>44</v>
      </c>
      <c r="K734" s="10">
        <v>0.760416666666667</v>
      </c>
      <c r="L734" s="10">
        <v>0.7875</v>
      </c>
      <c r="M734">
        <v>39</v>
      </c>
      <c r="N734" t="b">
        <v>0</v>
      </c>
    </row>
    <row r="735" spans="1:15">
      <c r="A735">
        <v>734</v>
      </c>
      <c r="B735" t="s">
        <v>1041</v>
      </c>
      <c r="C735" t="s">
        <v>25</v>
      </c>
      <c r="D735" s="9">
        <v>36502</v>
      </c>
      <c r="E735">
        <v>24</v>
      </c>
      <c r="F735" t="s">
        <v>17</v>
      </c>
      <c r="G735">
        <v>3</v>
      </c>
      <c r="H735" t="s">
        <v>150</v>
      </c>
      <c r="I735" t="b">
        <v>0</v>
      </c>
      <c r="K735" s="10">
        <v>0.384027777777778</v>
      </c>
      <c r="L735" s="10">
        <v>0.4125</v>
      </c>
      <c r="M735">
        <v>41</v>
      </c>
      <c r="N735" t="b">
        <v>0</v>
      </c>
    </row>
    <row r="736" spans="1:15">
      <c r="A736">
        <v>735</v>
      </c>
      <c r="B736" t="s">
        <v>1042</v>
      </c>
      <c r="C736" t="s">
        <v>16</v>
      </c>
      <c r="D736" s="9">
        <v>33274</v>
      </c>
      <c r="E736">
        <v>33</v>
      </c>
      <c r="F736" t="s">
        <v>21</v>
      </c>
      <c r="G736">
        <v>2</v>
      </c>
      <c r="H736" t="s">
        <v>189</v>
      </c>
      <c r="I736" t="b">
        <v>1</v>
      </c>
      <c r="J736" t="s">
        <v>1043</v>
      </c>
      <c r="K736" s="10">
        <v>0.391666666666667</v>
      </c>
      <c r="L736" s="10">
        <v>0.470833333333333</v>
      </c>
      <c r="M736">
        <v>114</v>
      </c>
      <c r="N736" t="b">
        <v>1</v>
      </c>
      <c r="O736" t="s">
        <v>47</v>
      </c>
    </row>
    <row r="737" spans="1:15">
      <c r="A737">
        <v>736</v>
      </c>
      <c r="B737" t="s">
        <v>1044</v>
      </c>
      <c r="C737" t="s">
        <v>25</v>
      </c>
      <c r="D737" s="9">
        <v>30301</v>
      </c>
      <c r="E737">
        <v>41</v>
      </c>
      <c r="F737" t="s">
        <v>17</v>
      </c>
      <c r="G737">
        <v>2</v>
      </c>
      <c r="H737" t="s">
        <v>166</v>
      </c>
      <c r="I737" t="b">
        <v>1</v>
      </c>
      <c r="J737" t="s">
        <v>1045</v>
      </c>
      <c r="K737" s="10">
        <v>0.870833333333333</v>
      </c>
      <c r="L737" s="10">
        <v>0.931944444444444</v>
      </c>
      <c r="M737">
        <v>88</v>
      </c>
      <c r="N737" t="b">
        <v>1</v>
      </c>
      <c r="O737" t="s">
        <v>23</v>
      </c>
    </row>
    <row r="738" spans="1:15">
      <c r="A738">
        <v>737</v>
      </c>
      <c r="B738" t="s">
        <v>1046</v>
      </c>
      <c r="C738" t="s">
        <v>25</v>
      </c>
      <c r="D738" s="9">
        <v>32218</v>
      </c>
      <c r="E738">
        <v>36</v>
      </c>
      <c r="F738" t="s">
        <v>17</v>
      </c>
      <c r="G738">
        <v>1</v>
      </c>
      <c r="H738" t="s">
        <v>35</v>
      </c>
      <c r="I738" t="b">
        <v>0</v>
      </c>
      <c r="K738" s="10">
        <v>0.363194444444444</v>
      </c>
      <c r="L738" s="10">
        <v>0.453472222222222</v>
      </c>
      <c r="M738">
        <v>130</v>
      </c>
      <c r="N738" t="b">
        <v>0</v>
      </c>
    </row>
    <row r="739" spans="1:15">
      <c r="A739">
        <v>738</v>
      </c>
      <c r="B739" t="s">
        <v>1047</v>
      </c>
      <c r="C739" t="s">
        <v>16</v>
      </c>
      <c r="D739" s="9">
        <v>28031</v>
      </c>
      <c r="E739">
        <v>48</v>
      </c>
      <c r="F739" t="s">
        <v>21</v>
      </c>
      <c r="G739">
        <v>5</v>
      </c>
      <c r="H739" t="s">
        <v>88</v>
      </c>
      <c r="I739" t="b">
        <v>1</v>
      </c>
      <c r="J739" t="s">
        <v>201</v>
      </c>
      <c r="K739" s="10">
        <v>0.472916666666667</v>
      </c>
      <c r="L739" s="10">
        <v>0.499305555555556</v>
      </c>
      <c r="M739">
        <v>38</v>
      </c>
      <c r="N739" t="b">
        <v>1</v>
      </c>
      <c r="O739" t="s">
        <v>47</v>
      </c>
    </row>
    <row r="740" spans="1:15">
      <c r="A740">
        <v>739</v>
      </c>
      <c r="B740" t="s">
        <v>1048</v>
      </c>
      <c r="C740" t="s">
        <v>16</v>
      </c>
      <c r="D740" s="9">
        <v>37934</v>
      </c>
      <c r="E740">
        <v>20</v>
      </c>
      <c r="F740" t="s">
        <v>17</v>
      </c>
      <c r="G740">
        <v>3</v>
      </c>
      <c r="H740" t="s">
        <v>106</v>
      </c>
      <c r="I740" t="b">
        <v>0</v>
      </c>
      <c r="K740" s="10">
        <v>0.644444444444444</v>
      </c>
      <c r="L740" s="10">
        <v>0.681944444444444</v>
      </c>
      <c r="M740">
        <v>54</v>
      </c>
      <c r="N740" t="b">
        <v>0</v>
      </c>
    </row>
    <row r="741" spans="1:15">
      <c r="A741">
        <v>740</v>
      </c>
      <c r="B741" t="s">
        <v>1049</v>
      </c>
      <c r="C741" t="s">
        <v>16</v>
      </c>
      <c r="D741" s="9">
        <v>38528</v>
      </c>
      <c r="E741">
        <v>19</v>
      </c>
      <c r="F741" t="s">
        <v>17</v>
      </c>
      <c r="G741">
        <v>4</v>
      </c>
      <c r="H741" t="s">
        <v>725</v>
      </c>
      <c r="I741" t="b">
        <v>0</v>
      </c>
      <c r="K741" s="10">
        <v>0.469444444444444</v>
      </c>
      <c r="L741" s="10">
        <v>0.59375</v>
      </c>
      <c r="M741">
        <v>179</v>
      </c>
      <c r="N741" t="b">
        <v>0</v>
      </c>
    </row>
    <row r="742" spans="1:15">
      <c r="A742">
        <v>741</v>
      </c>
      <c r="B742" t="s">
        <v>1050</v>
      </c>
      <c r="C742" t="s">
        <v>25</v>
      </c>
      <c r="D742" s="9">
        <v>39909</v>
      </c>
      <c r="E742">
        <v>15</v>
      </c>
      <c r="F742" t="s">
        <v>21</v>
      </c>
      <c r="G742">
        <v>2</v>
      </c>
      <c r="H742" t="s">
        <v>306</v>
      </c>
      <c r="I742" t="b">
        <v>1</v>
      </c>
      <c r="J742" t="s">
        <v>67</v>
      </c>
      <c r="K742" s="10">
        <v>0.838194444444444</v>
      </c>
      <c r="L742" s="10">
        <v>0.913888888888889</v>
      </c>
      <c r="M742">
        <v>109</v>
      </c>
      <c r="N742" t="b">
        <v>0</v>
      </c>
    </row>
    <row r="743" spans="1:15">
      <c r="A743">
        <v>742</v>
      </c>
      <c r="B743" t="s">
        <v>1051</v>
      </c>
      <c r="C743" t="s">
        <v>25</v>
      </c>
      <c r="D743" s="9">
        <v>35669</v>
      </c>
      <c r="E743">
        <v>27</v>
      </c>
      <c r="F743" t="s">
        <v>21</v>
      </c>
      <c r="G743">
        <v>1</v>
      </c>
      <c r="H743" t="s">
        <v>26</v>
      </c>
      <c r="I743" t="b">
        <v>0</v>
      </c>
      <c r="K743" s="10">
        <v>0.751388888888889</v>
      </c>
      <c r="L743" s="10">
        <v>0.800694444444444</v>
      </c>
      <c r="M743">
        <v>71</v>
      </c>
      <c r="N743" t="b">
        <v>0</v>
      </c>
    </row>
    <row r="744" spans="1:15">
      <c r="A744">
        <v>743</v>
      </c>
      <c r="B744" t="s">
        <v>1052</v>
      </c>
      <c r="C744" t="s">
        <v>25</v>
      </c>
      <c r="D744" s="9">
        <v>33946</v>
      </c>
      <c r="E744">
        <v>31</v>
      </c>
      <c r="F744" t="s">
        <v>21</v>
      </c>
      <c r="G744">
        <v>2</v>
      </c>
      <c r="H744" t="s">
        <v>55</v>
      </c>
      <c r="I744" t="b">
        <v>1</v>
      </c>
      <c r="J744" t="s">
        <v>114</v>
      </c>
      <c r="K744" s="10">
        <v>0.852777777777778</v>
      </c>
      <c r="L744" s="10">
        <v>0.877777777777778</v>
      </c>
      <c r="M744">
        <v>36</v>
      </c>
      <c r="N744" t="b">
        <v>1</v>
      </c>
      <c r="O744" t="s">
        <v>28</v>
      </c>
    </row>
    <row r="745" spans="1:15">
      <c r="A745">
        <v>744</v>
      </c>
      <c r="B745" t="s">
        <v>1053</v>
      </c>
      <c r="C745" t="s">
        <v>25</v>
      </c>
      <c r="D745" s="9">
        <v>38262</v>
      </c>
      <c r="E745">
        <v>20</v>
      </c>
      <c r="F745" t="s">
        <v>17</v>
      </c>
      <c r="G745">
        <v>3</v>
      </c>
      <c r="H745" t="s">
        <v>247</v>
      </c>
      <c r="I745" t="b">
        <v>1</v>
      </c>
      <c r="J745" t="s">
        <v>1054</v>
      </c>
      <c r="K745" s="10">
        <v>0.445833333333333</v>
      </c>
      <c r="L745" s="10">
        <v>0.5625</v>
      </c>
      <c r="M745">
        <v>168</v>
      </c>
      <c r="N745" t="b">
        <v>1</v>
      </c>
      <c r="O745" t="s">
        <v>28</v>
      </c>
    </row>
    <row r="746" spans="1:15">
      <c r="A746">
        <v>745</v>
      </c>
      <c r="B746" t="s">
        <v>1055</v>
      </c>
      <c r="C746" t="s">
        <v>16</v>
      </c>
      <c r="D746" s="9">
        <v>40664</v>
      </c>
      <c r="E746">
        <v>13</v>
      </c>
      <c r="F746" t="s">
        <v>21</v>
      </c>
      <c r="G746">
        <v>3</v>
      </c>
      <c r="H746" t="s">
        <v>215</v>
      </c>
      <c r="I746" t="b">
        <v>1</v>
      </c>
      <c r="J746" t="s">
        <v>83</v>
      </c>
      <c r="K746" s="10">
        <v>0.567361111111111</v>
      </c>
      <c r="L746" s="10">
        <v>0.609722222222222</v>
      </c>
      <c r="M746">
        <v>61</v>
      </c>
      <c r="N746" t="b">
        <v>0</v>
      </c>
    </row>
    <row r="747" spans="1:15">
      <c r="A747">
        <v>746</v>
      </c>
      <c r="B747" t="s">
        <v>1056</v>
      </c>
      <c r="C747" t="s">
        <v>25</v>
      </c>
      <c r="D747" s="9">
        <v>39295</v>
      </c>
      <c r="E747">
        <v>17</v>
      </c>
      <c r="F747" t="s">
        <v>17</v>
      </c>
      <c r="G747">
        <v>2</v>
      </c>
      <c r="H747" t="s">
        <v>55</v>
      </c>
      <c r="I747" t="b">
        <v>1</v>
      </c>
      <c r="J747" t="s">
        <v>67</v>
      </c>
      <c r="K747" s="10">
        <v>0.422916666666667</v>
      </c>
      <c r="L747" s="10">
        <v>0.482638888888889</v>
      </c>
      <c r="M747">
        <v>86</v>
      </c>
      <c r="N747" t="b">
        <v>0</v>
      </c>
    </row>
    <row r="748" spans="1:15">
      <c r="A748">
        <v>747</v>
      </c>
      <c r="B748" t="s">
        <v>1057</v>
      </c>
      <c r="C748" t="s">
        <v>25</v>
      </c>
      <c r="D748" s="9">
        <v>29519</v>
      </c>
      <c r="E748">
        <v>43</v>
      </c>
      <c r="F748" t="s">
        <v>21</v>
      </c>
      <c r="G748">
        <v>2</v>
      </c>
      <c r="H748" t="s">
        <v>138</v>
      </c>
      <c r="I748" t="b">
        <v>0</v>
      </c>
      <c r="K748" s="10">
        <v>0.548611111111111</v>
      </c>
      <c r="L748" s="10">
        <v>0.570833333333333</v>
      </c>
      <c r="M748">
        <v>32</v>
      </c>
      <c r="N748" t="b">
        <v>1</v>
      </c>
      <c r="O748" t="s">
        <v>28</v>
      </c>
    </row>
    <row r="749" spans="1:15">
      <c r="A749">
        <v>748</v>
      </c>
      <c r="B749" t="s">
        <v>399</v>
      </c>
      <c r="C749" t="s">
        <v>25</v>
      </c>
      <c r="D749" s="9">
        <v>29830</v>
      </c>
      <c r="E749">
        <v>43</v>
      </c>
      <c r="F749" t="s">
        <v>17</v>
      </c>
      <c r="G749">
        <v>1</v>
      </c>
      <c r="H749" t="s">
        <v>46</v>
      </c>
      <c r="I749" t="b">
        <v>0</v>
      </c>
      <c r="K749" s="10">
        <v>0.821527777777778</v>
      </c>
      <c r="L749" s="10">
        <v>0.9</v>
      </c>
      <c r="M749">
        <v>113</v>
      </c>
      <c r="N749" t="b">
        <v>1</v>
      </c>
      <c r="O749" t="s">
        <v>28</v>
      </c>
    </row>
    <row r="750" spans="1:15">
      <c r="A750">
        <v>749</v>
      </c>
      <c r="B750" t="s">
        <v>1058</v>
      </c>
      <c r="C750" t="s">
        <v>16</v>
      </c>
      <c r="D750" s="9">
        <v>41111</v>
      </c>
      <c r="E750">
        <v>12</v>
      </c>
      <c r="F750" t="s">
        <v>17</v>
      </c>
      <c r="G750">
        <v>2</v>
      </c>
      <c r="H750" t="s">
        <v>111</v>
      </c>
      <c r="I750" t="b">
        <v>1</v>
      </c>
      <c r="J750" t="s">
        <v>969</v>
      </c>
      <c r="K750" s="10">
        <v>0.445833333333333</v>
      </c>
      <c r="L750" s="10">
        <v>0.540277777777778</v>
      </c>
      <c r="M750">
        <v>136</v>
      </c>
      <c r="N750" t="b">
        <v>0</v>
      </c>
    </row>
    <row r="751" spans="1:15">
      <c r="A751">
        <v>750</v>
      </c>
      <c r="B751" t="s">
        <v>1059</v>
      </c>
      <c r="C751" t="s">
        <v>16</v>
      </c>
      <c r="D751" s="9">
        <v>27510</v>
      </c>
      <c r="E751">
        <v>49</v>
      </c>
      <c r="F751" t="s">
        <v>21</v>
      </c>
      <c r="G751">
        <v>5</v>
      </c>
      <c r="H751" t="s">
        <v>152</v>
      </c>
      <c r="I751" t="b">
        <v>1</v>
      </c>
      <c r="J751" t="s">
        <v>319</v>
      </c>
      <c r="K751" s="10">
        <v>0.436111111111111</v>
      </c>
      <c r="L751" s="10">
        <v>0.555555555555556</v>
      </c>
      <c r="M751">
        <v>172</v>
      </c>
      <c r="N751" t="b">
        <v>0</v>
      </c>
    </row>
    <row r="752" spans="1:15">
      <c r="A752">
        <v>751</v>
      </c>
      <c r="B752" t="s">
        <v>1060</v>
      </c>
      <c r="C752" t="s">
        <v>16</v>
      </c>
      <c r="D752" s="9">
        <v>33421</v>
      </c>
      <c r="E752">
        <v>33</v>
      </c>
      <c r="F752" t="s">
        <v>21</v>
      </c>
      <c r="G752">
        <v>3</v>
      </c>
      <c r="H752" t="s">
        <v>37</v>
      </c>
      <c r="I752" t="b">
        <v>1</v>
      </c>
      <c r="J752" t="s">
        <v>1061</v>
      </c>
      <c r="K752" s="10">
        <v>0.549305555555556</v>
      </c>
      <c r="L752" s="10">
        <v>0.571527777777778</v>
      </c>
      <c r="M752">
        <v>32</v>
      </c>
      <c r="N752" t="b">
        <v>0</v>
      </c>
    </row>
    <row r="753" spans="1:15">
      <c r="A753">
        <v>752</v>
      </c>
      <c r="B753" t="s">
        <v>1062</v>
      </c>
      <c r="C753" t="s">
        <v>16</v>
      </c>
      <c r="D753" s="9">
        <v>34551</v>
      </c>
      <c r="E753">
        <v>30</v>
      </c>
      <c r="F753" t="s">
        <v>21</v>
      </c>
      <c r="G753">
        <v>3</v>
      </c>
      <c r="H753" t="s">
        <v>295</v>
      </c>
      <c r="I753" t="b">
        <v>0</v>
      </c>
      <c r="K753" s="10">
        <v>0.336805555555556</v>
      </c>
      <c r="L753" s="10">
        <v>0.438888888888889</v>
      </c>
      <c r="M753">
        <v>147</v>
      </c>
      <c r="N753" t="b">
        <v>1</v>
      </c>
      <c r="O753" t="s">
        <v>47</v>
      </c>
    </row>
    <row r="754" spans="1:15">
      <c r="A754">
        <v>753</v>
      </c>
      <c r="B754" t="s">
        <v>1063</v>
      </c>
      <c r="C754" t="s">
        <v>16</v>
      </c>
      <c r="D754" s="9">
        <v>35002</v>
      </c>
      <c r="E754">
        <v>28</v>
      </c>
      <c r="F754" t="s">
        <v>17</v>
      </c>
      <c r="G754">
        <v>3</v>
      </c>
      <c r="H754" t="s">
        <v>30</v>
      </c>
      <c r="I754" t="b">
        <v>0</v>
      </c>
      <c r="K754" s="10">
        <v>0.424305555555556</v>
      </c>
      <c r="L754" s="10">
        <v>0.529166666666667</v>
      </c>
      <c r="M754">
        <v>151</v>
      </c>
      <c r="N754" t="b">
        <v>0</v>
      </c>
    </row>
    <row r="755" spans="1:15">
      <c r="A755">
        <v>754</v>
      </c>
      <c r="B755" t="s">
        <v>1064</v>
      </c>
      <c r="C755" t="s">
        <v>16</v>
      </c>
      <c r="D755" s="9">
        <v>33216</v>
      </c>
      <c r="E755">
        <v>33</v>
      </c>
      <c r="F755" t="s">
        <v>21</v>
      </c>
      <c r="G755">
        <v>3</v>
      </c>
      <c r="H755" t="s">
        <v>164</v>
      </c>
      <c r="I755" t="b">
        <v>0</v>
      </c>
      <c r="K755" s="10">
        <v>0.634027777777778</v>
      </c>
      <c r="L755" s="10">
        <v>0.665277777777778</v>
      </c>
      <c r="M755">
        <v>45</v>
      </c>
      <c r="N755" t="b">
        <v>1</v>
      </c>
      <c r="O755" t="s">
        <v>23</v>
      </c>
    </row>
    <row r="756" spans="1:15">
      <c r="A756">
        <v>755</v>
      </c>
      <c r="B756" t="s">
        <v>1065</v>
      </c>
      <c r="C756" t="s">
        <v>16</v>
      </c>
      <c r="D756" s="9">
        <v>39576</v>
      </c>
      <c r="E756">
        <v>16</v>
      </c>
      <c r="F756" t="s">
        <v>21</v>
      </c>
      <c r="G756">
        <v>3</v>
      </c>
      <c r="H756" t="s">
        <v>130</v>
      </c>
      <c r="I756" t="b">
        <v>0</v>
      </c>
      <c r="K756" s="10">
        <v>0.777083333333333</v>
      </c>
      <c r="L756" s="10">
        <v>0.85625</v>
      </c>
      <c r="M756">
        <v>114</v>
      </c>
      <c r="N756" t="b">
        <v>0</v>
      </c>
    </row>
    <row r="757" spans="1:15">
      <c r="A757">
        <v>756</v>
      </c>
      <c r="B757" t="s">
        <v>197</v>
      </c>
      <c r="C757" t="s">
        <v>25</v>
      </c>
      <c r="D757" s="9">
        <v>30445</v>
      </c>
      <c r="E757">
        <v>41</v>
      </c>
      <c r="F757" t="s">
        <v>17</v>
      </c>
      <c r="G757">
        <v>1</v>
      </c>
      <c r="H757" t="s">
        <v>35</v>
      </c>
      <c r="I757" t="b">
        <v>1</v>
      </c>
      <c r="J757" t="s">
        <v>1066</v>
      </c>
      <c r="K757" s="10">
        <v>0.807638888888889</v>
      </c>
      <c r="L757" s="10">
        <v>0.904166666666667</v>
      </c>
      <c r="M757">
        <v>139</v>
      </c>
      <c r="N757" t="b">
        <v>0</v>
      </c>
    </row>
    <row r="758" spans="1:15">
      <c r="A758">
        <v>757</v>
      </c>
      <c r="B758" t="s">
        <v>1067</v>
      </c>
      <c r="C758" t="s">
        <v>25</v>
      </c>
      <c r="D758" s="9">
        <v>37985</v>
      </c>
      <c r="E758">
        <v>20</v>
      </c>
      <c r="F758" t="s">
        <v>17</v>
      </c>
      <c r="G758">
        <v>1</v>
      </c>
      <c r="H758" t="s">
        <v>185</v>
      </c>
      <c r="I758" t="b">
        <v>0</v>
      </c>
      <c r="K758" s="10">
        <v>0.474305555555556</v>
      </c>
      <c r="L758" s="10">
        <v>0.515277777777778</v>
      </c>
      <c r="M758">
        <v>59</v>
      </c>
      <c r="N758" t="b">
        <v>0</v>
      </c>
    </row>
    <row r="759" spans="1:15">
      <c r="A759">
        <v>758</v>
      </c>
      <c r="B759" t="s">
        <v>1068</v>
      </c>
      <c r="C759" t="s">
        <v>16</v>
      </c>
      <c r="D759" s="9">
        <v>35739</v>
      </c>
      <c r="E759">
        <v>26</v>
      </c>
      <c r="F759" t="s">
        <v>21</v>
      </c>
      <c r="G759">
        <v>5</v>
      </c>
      <c r="H759" t="s">
        <v>88</v>
      </c>
      <c r="I759" t="b">
        <v>0</v>
      </c>
      <c r="K759" s="10">
        <v>0.636111111111111</v>
      </c>
      <c r="L759" s="10">
        <v>0.754166666666667</v>
      </c>
      <c r="M759">
        <v>170</v>
      </c>
      <c r="N759" t="b">
        <v>1</v>
      </c>
      <c r="O759" t="s">
        <v>47</v>
      </c>
    </row>
    <row r="760" spans="1:15">
      <c r="A760">
        <v>759</v>
      </c>
      <c r="B760" t="s">
        <v>1069</v>
      </c>
      <c r="C760" t="s">
        <v>25</v>
      </c>
      <c r="D760" s="9">
        <v>38574</v>
      </c>
      <c r="E760">
        <v>19</v>
      </c>
      <c r="F760" t="s">
        <v>21</v>
      </c>
      <c r="G760">
        <v>3</v>
      </c>
      <c r="H760" t="s">
        <v>215</v>
      </c>
      <c r="I760" t="b">
        <v>1</v>
      </c>
      <c r="J760" t="s">
        <v>1070</v>
      </c>
      <c r="K760" s="10">
        <v>0.554861111111111</v>
      </c>
      <c r="L760" s="10">
        <v>0.611111111111111</v>
      </c>
      <c r="M760">
        <v>81</v>
      </c>
      <c r="N760" t="b">
        <v>0</v>
      </c>
    </row>
    <row r="761" spans="1:15">
      <c r="A761">
        <v>760</v>
      </c>
      <c r="B761" t="s">
        <v>992</v>
      </c>
      <c r="C761" t="s">
        <v>25</v>
      </c>
      <c r="D761" s="9">
        <v>29721</v>
      </c>
      <c r="E761">
        <v>43</v>
      </c>
      <c r="F761" t="s">
        <v>17</v>
      </c>
      <c r="G761">
        <v>5</v>
      </c>
      <c r="H761" t="s">
        <v>816</v>
      </c>
      <c r="I761" t="b">
        <v>1</v>
      </c>
      <c r="J761" t="s">
        <v>1071</v>
      </c>
      <c r="K761" s="10">
        <v>0.395138888888889</v>
      </c>
      <c r="L761" s="10">
        <v>0.459027777777778</v>
      </c>
      <c r="M761">
        <v>92</v>
      </c>
      <c r="N761" t="b">
        <v>1</v>
      </c>
      <c r="O761" t="s">
        <v>23</v>
      </c>
    </row>
    <row r="762" spans="1:15">
      <c r="A762">
        <v>761</v>
      </c>
      <c r="B762" t="s">
        <v>1072</v>
      </c>
      <c r="C762" t="s">
        <v>25</v>
      </c>
      <c r="D762" s="9">
        <v>30548</v>
      </c>
      <c r="E762">
        <v>41</v>
      </c>
      <c r="F762" t="s">
        <v>21</v>
      </c>
      <c r="G762">
        <v>1</v>
      </c>
      <c r="H762" t="s">
        <v>46</v>
      </c>
      <c r="I762" t="b">
        <v>1</v>
      </c>
      <c r="J762" t="s">
        <v>1054</v>
      </c>
      <c r="K762" s="10">
        <v>0.570138888888889</v>
      </c>
      <c r="L762" s="10">
        <v>0.6125</v>
      </c>
      <c r="M762">
        <v>61</v>
      </c>
      <c r="N762" t="b">
        <v>1</v>
      </c>
      <c r="O762" t="s">
        <v>28</v>
      </c>
    </row>
    <row r="763" spans="1:15">
      <c r="A763">
        <v>762</v>
      </c>
      <c r="B763" t="s">
        <v>1073</v>
      </c>
      <c r="C763" t="s">
        <v>16</v>
      </c>
      <c r="D763" s="9">
        <v>37248</v>
      </c>
      <c r="E763">
        <v>22</v>
      </c>
      <c r="F763" t="s">
        <v>21</v>
      </c>
      <c r="G763">
        <v>2</v>
      </c>
      <c r="H763" t="s">
        <v>72</v>
      </c>
      <c r="I763" t="b">
        <v>1</v>
      </c>
      <c r="J763" t="s">
        <v>666</v>
      </c>
      <c r="K763" s="10">
        <v>0.509027777777778</v>
      </c>
      <c r="L763" s="10">
        <v>0.579166666666667</v>
      </c>
      <c r="M763">
        <v>101</v>
      </c>
      <c r="N763" t="b">
        <v>0</v>
      </c>
    </row>
    <row r="764" spans="1:15">
      <c r="A764">
        <v>763</v>
      </c>
      <c r="B764" t="s">
        <v>1074</v>
      </c>
      <c r="C764" t="s">
        <v>16</v>
      </c>
      <c r="D764" s="9">
        <v>28816</v>
      </c>
      <c r="E764">
        <v>45</v>
      </c>
      <c r="F764" t="s">
        <v>17</v>
      </c>
      <c r="G764">
        <v>3</v>
      </c>
      <c r="H764" t="s">
        <v>159</v>
      </c>
      <c r="I764" t="b">
        <v>1</v>
      </c>
      <c r="J764" t="s">
        <v>1075</v>
      </c>
      <c r="K764" s="10">
        <v>0.652083333333333</v>
      </c>
      <c r="L764" s="10">
        <v>0.686111111111111</v>
      </c>
      <c r="M764">
        <v>49</v>
      </c>
      <c r="N764" t="b">
        <v>1</v>
      </c>
      <c r="O764" t="s">
        <v>28</v>
      </c>
    </row>
    <row r="765" spans="1:15">
      <c r="A765">
        <v>764</v>
      </c>
      <c r="B765" t="s">
        <v>1076</v>
      </c>
      <c r="C765" t="s">
        <v>25</v>
      </c>
      <c r="D765" s="9">
        <v>40108</v>
      </c>
      <c r="E765">
        <v>14</v>
      </c>
      <c r="F765" t="s">
        <v>17</v>
      </c>
      <c r="G765">
        <v>5</v>
      </c>
      <c r="H765" t="s">
        <v>417</v>
      </c>
      <c r="I765" t="b">
        <v>1</v>
      </c>
      <c r="J765" t="s">
        <v>1077</v>
      </c>
      <c r="K765" s="10">
        <v>0.340277777777778</v>
      </c>
      <c r="L765" s="10">
        <v>0.399305555555556</v>
      </c>
      <c r="M765">
        <v>85</v>
      </c>
      <c r="N765" t="b">
        <v>0</v>
      </c>
    </row>
    <row r="766" spans="1:15">
      <c r="A766">
        <v>765</v>
      </c>
      <c r="B766" t="s">
        <v>1078</v>
      </c>
      <c r="C766" t="s">
        <v>25</v>
      </c>
      <c r="D766" s="9">
        <v>35743</v>
      </c>
      <c r="E766">
        <v>26</v>
      </c>
      <c r="F766" t="s">
        <v>21</v>
      </c>
      <c r="G766">
        <v>1</v>
      </c>
      <c r="H766" t="s">
        <v>185</v>
      </c>
      <c r="I766" t="b">
        <v>0</v>
      </c>
      <c r="K766" s="10">
        <v>0.597916666666667</v>
      </c>
      <c r="L766" s="10">
        <v>0.629166666666667</v>
      </c>
      <c r="M766">
        <v>45</v>
      </c>
      <c r="N766" t="b">
        <v>0</v>
      </c>
    </row>
    <row r="767" spans="1:15">
      <c r="A767">
        <v>766</v>
      </c>
      <c r="B767" t="s">
        <v>1079</v>
      </c>
      <c r="C767" t="s">
        <v>16</v>
      </c>
      <c r="D767" s="9">
        <v>28566</v>
      </c>
      <c r="E767">
        <v>46</v>
      </c>
      <c r="F767" t="s">
        <v>17</v>
      </c>
      <c r="G767">
        <v>1</v>
      </c>
      <c r="H767" t="s">
        <v>46</v>
      </c>
      <c r="I767" t="b">
        <v>1</v>
      </c>
      <c r="J767" t="s">
        <v>1080</v>
      </c>
      <c r="K767" s="10">
        <v>0.613888888888889</v>
      </c>
      <c r="L767" s="10">
        <v>0.708333333333333</v>
      </c>
      <c r="M767">
        <v>136</v>
      </c>
      <c r="N767" t="b">
        <v>1</v>
      </c>
      <c r="O767" t="s">
        <v>23</v>
      </c>
    </row>
    <row r="768" spans="1:15">
      <c r="A768">
        <v>767</v>
      </c>
      <c r="B768" t="s">
        <v>1081</v>
      </c>
      <c r="C768" t="s">
        <v>25</v>
      </c>
      <c r="D768" s="9">
        <v>32702</v>
      </c>
      <c r="E768">
        <v>35</v>
      </c>
      <c r="F768" t="s">
        <v>17</v>
      </c>
      <c r="G768">
        <v>5</v>
      </c>
      <c r="H768" t="s">
        <v>458</v>
      </c>
      <c r="I768" t="b">
        <v>0</v>
      </c>
      <c r="K768" s="10">
        <v>0.546527777777778</v>
      </c>
      <c r="L768" s="10">
        <v>0.64375</v>
      </c>
      <c r="M768">
        <v>140</v>
      </c>
      <c r="N768" t="b">
        <v>1</v>
      </c>
      <c r="O768" t="s">
        <v>23</v>
      </c>
    </row>
    <row r="769" spans="1:15">
      <c r="A769">
        <v>768</v>
      </c>
      <c r="B769" t="s">
        <v>1082</v>
      </c>
      <c r="C769" t="s">
        <v>25</v>
      </c>
      <c r="D769" s="9">
        <v>38689</v>
      </c>
      <c r="E769">
        <v>18</v>
      </c>
      <c r="F769" t="s">
        <v>21</v>
      </c>
      <c r="G769">
        <v>2</v>
      </c>
      <c r="H769" t="s">
        <v>189</v>
      </c>
      <c r="I769" t="b">
        <v>0</v>
      </c>
      <c r="K769" s="10">
        <v>0.594444444444444</v>
      </c>
      <c r="L769" s="10">
        <v>0.621527777777778</v>
      </c>
      <c r="M769">
        <v>39</v>
      </c>
      <c r="N769" t="b">
        <v>1</v>
      </c>
      <c r="O769" t="s">
        <v>47</v>
      </c>
    </row>
    <row r="770" spans="1:15">
      <c r="A770">
        <v>769</v>
      </c>
      <c r="B770" t="s">
        <v>1083</v>
      </c>
      <c r="C770" t="s">
        <v>16</v>
      </c>
      <c r="D770" s="9">
        <v>34911</v>
      </c>
      <c r="E770">
        <v>29</v>
      </c>
      <c r="F770" t="s">
        <v>21</v>
      </c>
      <c r="G770">
        <v>4</v>
      </c>
      <c r="H770" t="s">
        <v>1084</v>
      </c>
      <c r="I770" t="b">
        <v>1</v>
      </c>
      <c r="J770" t="s">
        <v>230</v>
      </c>
      <c r="K770" s="10">
        <v>0.559027777777778</v>
      </c>
      <c r="L770" s="10">
        <v>0.634722222222222</v>
      </c>
      <c r="M770">
        <v>109</v>
      </c>
      <c r="N770" t="b">
        <v>0</v>
      </c>
    </row>
    <row r="771" spans="1:15">
      <c r="A771">
        <v>770</v>
      </c>
      <c r="B771" t="s">
        <v>1085</v>
      </c>
      <c r="C771" t="s">
        <v>25</v>
      </c>
      <c r="D771" s="9">
        <v>35674</v>
      </c>
      <c r="E771">
        <v>27</v>
      </c>
      <c r="F771" t="s">
        <v>17</v>
      </c>
      <c r="G771">
        <v>2</v>
      </c>
      <c r="H771" t="s">
        <v>111</v>
      </c>
      <c r="I771" t="b">
        <v>0</v>
      </c>
      <c r="K771" s="10">
        <v>0.723611111111111</v>
      </c>
      <c r="L771" s="10">
        <v>0.765277777777778</v>
      </c>
      <c r="M771">
        <v>60</v>
      </c>
      <c r="N771" t="b">
        <v>1</v>
      </c>
      <c r="O771" t="s">
        <v>23</v>
      </c>
    </row>
    <row r="772" spans="1:15">
      <c r="A772">
        <v>771</v>
      </c>
      <c r="B772" t="s">
        <v>1086</v>
      </c>
      <c r="C772" t="s">
        <v>16</v>
      </c>
      <c r="D772" s="9">
        <v>32321</v>
      </c>
      <c r="E772">
        <v>36</v>
      </c>
      <c r="F772" t="s">
        <v>17</v>
      </c>
      <c r="G772">
        <v>1</v>
      </c>
      <c r="H772" t="s">
        <v>26</v>
      </c>
      <c r="I772" t="b">
        <v>0</v>
      </c>
      <c r="K772" s="10">
        <v>0.833333333333333</v>
      </c>
      <c r="L772" s="10">
        <v>0.896527777777778</v>
      </c>
      <c r="M772">
        <v>91</v>
      </c>
      <c r="N772" t="b">
        <v>1</v>
      </c>
      <c r="O772" t="s">
        <v>28</v>
      </c>
    </row>
    <row r="773" spans="1:15">
      <c r="A773">
        <v>772</v>
      </c>
      <c r="B773" t="s">
        <v>1087</v>
      </c>
      <c r="C773" t="s">
        <v>16</v>
      </c>
      <c r="D773" s="9">
        <v>34729</v>
      </c>
      <c r="E773">
        <v>29</v>
      </c>
      <c r="F773" t="s">
        <v>21</v>
      </c>
      <c r="G773">
        <v>2</v>
      </c>
      <c r="H773" t="s">
        <v>187</v>
      </c>
      <c r="I773" t="b">
        <v>0</v>
      </c>
      <c r="K773" s="10">
        <v>0.869444444444444</v>
      </c>
      <c r="L773" s="10">
        <v>0.938888888888889</v>
      </c>
      <c r="M773">
        <v>100</v>
      </c>
      <c r="N773" t="b">
        <v>1</v>
      </c>
      <c r="O773" t="s">
        <v>23</v>
      </c>
    </row>
    <row r="774" spans="1:15">
      <c r="A774">
        <v>773</v>
      </c>
      <c r="B774" t="s">
        <v>1088</v>
      </c>
      <c r="C774" t="s">
        <v>25</v>
      </c>
      <c r="D774" s="9">
        <v>32320</v>
      </c>
      <c r="E774">
        <v>36</v>
      </c>
      <c r="F774" t="s">
        <v>21</v>
      </c>
      <c r="G774">
        <v>3</v>
      </c>
      <c r="H774" t="s">
        <v>98</v>
      </c>
      <c r="I774" t="b">
        <v>1</v>
      </c>
      <c r="J774" t="s">
        <v>1089</v>
      </c>
      <c r="K774" s="10">
        <v>0.767361111111111</v>
      </c>
      <c r="L774" s="10">
        <v>0.852083333333333</v>
      </c>
      <c r="M774">
        <v>122</v>
      </c>
      <c r="N774" t="b">
        <v>1</v>
      </c>
      <c r="O774" t="s">
        <v>23</v>
      </c>
    </row>
    <row r="775" spans="1:15">
      <c r="A775">
        <v>774</v>
      </c>
      <c r="B775" t="s">
        <v>1090</v>
      </c>
      <c r="C775" t="s">
        <v>25</v>
      </c>
      <c r="D775" s="9">
        <v>32251</v>
      </c>
      <c r="E775">
        <v>36</v>
      </c>
      <c r="F775" t="s">
        <v>17</v>
      </c>
      <c r="G775">
        <v>4</v>
      </c>
      <c r="H775" t="s">
        <v>704</v>
      </c>
      <c r="I775" t="b">
        <v>0</v>
      </c>
      <c r="K775" s="10">
        <v>0.522222222222222</v>
      </c>
      <c r="L775" s="10">
        <v>0.54375</v>
      </c>
      <c r="M775">
        <v>31</v>
      </c>
      <c r="N775" t="b">
        <v>0</v>
      </c>
    </row>
    <row r="776" spans="1:15">
      <c r="A776">
        <v>775</v>
      </c>
      <c r="B776" t="s">
        <v>1091</v>
      </c>
      <c r="C776" t="s">
        <v>16</v>
      </c>
      <c r="D776" s="9">
        <v>40977</v>
      </c>
      <c r="E776">
        <v>12</v>
      </c>
      <c r="F776" t="s">
        <v>17</v>
      </c>
      <c r="G776">
        <v>5</v>
      </c>
      <c r="H776" t="s">
        <v>567</v>
      </c>
      <c r="I776" t="b">
        <v>1</v>
      </c>
      <c r="J776" t="s">
        <v>114</v>
      </c>
      <c r="K776" s="10">
        <v>0.399305555555556</v>
      </c>
      <c r="L776" s="10">
        <v>0.45</v>
      </c>
      <c r="M776">
        <v>73</v>
      </c>
      <c r="N776" t="b">
        <v>0</v>
      </c>
    </row>
    <row r="777" spans="1:15">
      <c r="A777">
        <v>776</v>
      </c>
      <c r="B777" t="s">
        <v>1092</v>
      </c>
      <c r="C777" t="s">
        <v>25</v>
      </c>
      <c r="D777" s="9">
        <v>33074</v>
      </c>
      <c r="E777">
        <v>34</v>
      </c>
      <c r="F777" t="s">
        <v>17</v>
      </c>
      <c r="G777">
        <v>2</v>
      </c>
      <c r="H777" t="s">
        <v>69</v>
      </c>
      <c r="I777" t="b">
        <v>0</v>
      </c>
      <c r="K777" s="10">
        <v>0.780555555555556</v>
      </c>
      <c r="L777" s="10">
        <v>0.813888888888889</v>
      </c>
      <c r="M777">
        <v>48</v>
      </c>
      <c r="N777" t="b">
        <v>0</v>
      </c>
    </row>
    <row r="778" spans="1:15">
      <c r="A778">
        <v>777</v>
      </c>
      <c r="B778" t="s">
        <v>1093</v>
      </c>
      <c r="C778" t="s">
        <v>16</v>
      </c>
      <c r="D778" s="9">
        <v>29329</v>
      </c>
      <c r="E778">
        <v>44</v>
      </c>
      <c r="F778" t="s">
        <v>17</v>
      </c>
      <c r="G778">
        <v>2</v>
      </c>
      <c r="H778" t="s">
        <v>210</v>
      </c>
      <c r="I778" t="b">
        <v>0</v>
      </c>
      <c r="K778" s="10">
        <v>0.623611111111111</v>
      </c>
      <c r="L778" s="10">
        <v>0.676388888888889</v>
      </c>
      <c r="M778">
        <v>76</v>
      </c>
      <c r="N778" t="b">
        <v>1</v>
      </c>
      <c r="O778" t="s">
        <v>50</v>
      </c>
    </row>
    <row r="779" spans="1:15">
      <c r="A779">
        <v>778</v>
      </c>
      <c r="B779" t="s">
        <v>1094</v>
      </c>
      <c r="C779" t="s">
        <v>25</v>
      </c>
      <c r="D779" s="9">
        <v>28637</v>
      </c>
      <c r="E779">
        <v>46</v>
      </c>
      <c r="F779" t="s">
        <v>17</v>
      </c>
      <c r="G779">
        <v>3</v>
      </c>
      <c r="H779" t="s">
        <v>164</v>
      </c>
      <c r="I779" t="b">
        <v>1</v>
      </c>
      <c r="J779" t="s">
        <v>717</v>
      </c>
      <c r="K779" s="10">
        <v>0.845138888888889</v>
      </c>
      <c r="L779" s="10">
        <v>0.885416666666667</v>
      </c>
      <c r="M779">
        <v>58</v>
      </c>
      <c r="N779" t="b">
        <v>0</v>
      </c>
    </row>
    <row r="780" spans="1:15">
      <c r="A780">
        <v>779</v>
      </c>
      <c r="B780" t="s">
        <v>1095</v>
      </c>
      <c r="C780" t="s">
        <v>16</v>
      </c>
      <c r="D780" s="9">
        <v>32034</v>
      </c>
      <c r="E780">
        <v>37</v>
      </c>
      <c r="F780" t="s">
        <v>21</v>
      </c>
      <c r="G780">
        <v>1</v>
      </c>
      <c r="H780" t="s">
        <v>59</v>
      </c>
      <c r="I780" t="b">
        <v>1</v>
      </c>
      <c r="J780" t="s">
        <v>1043</v>
      </c>
      <c r="K780" s="10">
        <v>0.359027777777778</v>
      </c>
      <c r="L780" s="10">
        <v>0.434722222222222</v>
      </c>
      <c r="M780">
        <v>109</v>
      </c>
      <c r="N780" t="b">
        <v>1</v>
      </c>
      <c r="O780" t="s">
        <v>28</v>
      </c>
    </row>
    <row r="781" spans="1:15">
      <c r="A781">
        <v>780</v>
      </c>
      <c r="B781" t="s">
        <v>1096</v>
      </c>
      <c r="C781" t="s">
        <v>16</v>
      </c>
      <c r="D781" s="9">
        <v>36546</v>
      </c>
      <c r="E781">
        <v>24</v>
      </c>
      <c r="F781" t="s">
        <v>17</v>
      </c>
      <c r="G781">
        <v>3</v>
      </c>
      <c r="H781" t="s">
        <v>85</v>
      </c>
      <c r="I781" t="b">
        <v>0</v>
      </c>
      <c r="K781" s="10">
        <v>0.555555555555556</v>
      </c>
      <c r="L781" s="10">
        <v>0.656944444444444</v>
      </c>
      <c r="M781">
        <v>146</v>
      </c>
      <c r="N781" t="b">
        <v>0</v>
      </c>
    </row>
    <row r="782" spans="1:15">
      <c r="A782">
        <v>781</v>
      </c>
      <c r="B782" t="s">
        <v>1097</v>
      </c>
      <c r="C782" t="s">
        <v>25</v>
      </c>
      <c r="D782" s="9">
        <v>28549</v>
      </c>
      <c r="E782">
        <v>46</v>
      </c>
      <c r="F782" t="s">
        <v>17</v>
      </c>
      <c r="G782">
        <v>4</v>
      </c>
      <c r="H782" t="s">
        <v>672</v>
      </c>
      <c r="I782" t="b">
        <v>1</v>
      </c>
      <c r="J782" t="s">
        <v>832</v>
      </c>
      <c r="K782" s="10">
        <v>0.688888888888889</v>
      </c>
      <c r="L782" s="10">
        <v>0.76875</v>
      </c>
      <c r="M782">
        <v>115</v>
      </c>
      <c r="N782" t="b">
        <v>1</v>
      </c>
      <c r="O782" t="s">
        <v>50</v>
      </c>
    </row>
    <row r="783" spans="1:15">
      <c r="A783">
        <v>782</v>
      </c>
      <c r="B783" t="s">
        <v>1098</v>
      </c>
      <c r="C783" t="s">
        <v>16</v>
      </c>
      <c r="D783" s="9">
        <v>37998</v>
      </c>
      <c r="E783">
        <v>20</v>
      </c>
      <c r="F783" t="s">
        <v>17</v>
      </c>
      <c r="G783">
        <v>2</v>
      </c>
      <c r="H783" t="s">
        <v>121</v>
      </c>
      <c r="I783" t="b">
        <v>0</v>
      </c>
      <c r="K783" s="10">
        <v>0.585416666666667</v>
      </c>
      <c r="L783" s="10">
        <v>0.68125</v>
      </c>
      <c r="M783">
        <v>138</v>
      </c>
      <c r="N783" t="b">
        <v>1</v>
      </c>
      <c r="O783" t="s">
        <v>50</v>
      </c>
    </row>
    <row r="784" spans="1:15">
      <c r="A784">
        <v>783</v>
      </c>
      <c r="B784" t="s">
        <v>1099</v>
      </c>
      <c r="C784" t="s">
        <v>25</v>
      </c>
      <c r="D784" s="9">
        <v>33588</v>
      </c>
      <c r="E784">
        <v>32</v>
      </c>
      <c r="F784" t="s">
        <v>21</v>
      </c>
      <c r="G784">
        <v>3</v>
      </c>
      <c r="H784" t="s">
        <v>513</v>
      </c>
      <c r="I784" t="b">
        <v>1</v>
      </c>
      <c r="J784" t="s">
        <v>107</v>
      </c>
      <c r="K784" s="10">
        <v>0.511111111111111</v>
      </c>
      <c r="L784" s="10">
        <v>0.567361111111111</v>
      </c>
      <c r="M784">
        <v>81</v>
      </c>
      <c r="N784" t="b">
        <v>1</v>
      </c>
      <c r="O784" t="s">
        <v>28</v>
      </c>
    </row>
    <row r="785" spans="1:15">
      <c r="A785">
        <v>784</v>
      </c>
      <c r="B785" t="s">
        <v>1100</v>
      </c>
      <c r="C785" t="s">
        <v>16</v>
      </c>
      <c r="D785" s="9">
        <v>35756</v>
      </c>
      <c r="E785">
        <v>26</v>
      </c>
      <c r="F785" t="s">
        <v>21</v>
      </c>
      <c r="G785">
        <v>3</v>
      </c>
      <c r="H785" t="s">
        <v>504</v>
      </c>
      <c r="I785" t="b">
        <v>0</v>
      </c>
      <c r="K785" s="10">
        <v>0.401388888888889</v>
      </c>
      <c r="L785" s="10">
        <v>0.5125</v>
      </c>
      <c r="M785">
        <v>160</v>
      </c>
      <c r="N785" t="b">
        <v>1</v>
      </c>
      <c r="O785" t="s">
        <v>50</v>
      </c>
    </row>
    <row r="786" spans="1:15">
      <c r="A786">
        <v>785</v>
      </c>
      <c r="B786" t="s">
        <v>1101</v>
      </c>
      <c r="C786" t="s">
        <v>16</v>
      </c>
      <c r="D786" s="9">
        <v>31336</v>
      </c>
      <c r="E786">
        <v>38</v>
      </c>
      <c r="F786" t="s">
        <v>21</v>
      </c>
      <c r="G786">
        <v>1</v>
      </c>
      <c r="H786" t="s">
        <v>59</v>
      </c>
      <c r="I786" t="b">
        <v>1</v>
      </c>
      <c r="J786" t="s">
        <v>44</v>
      </c>
      <c r="K786" s="10">
        <v>0.770138888888889</v>
      </c>
      <c r="L786" s="10">
        <v>0.791666666666667</v>
      </c>
      <c r="M786">
        <v>31</v>
      </c>
      <c r="N786" t="b">
        <v>0</v>
      </c>
    </row>
    <row r="787" spans="1:15">
      <c r="A787">
        <v>786</v>
      </c>
      <c r="B787" t="s">
        <v>1102</v>
      </c>
      <c r="C787" t="s">
        <v>16</v>
      </c>
      <c r="D787" s="9">
        <v>29117</v>
      </c>
      <c r="E787">
        <v>45</v>
      </c>
      <c r="F787" t="s">
        <v>17</v>
      </c>
      <c r="G787">
        <v>4</v>
      </c>
      <c r="H787" t="s">
        <v>143</v>
      </c>
      <c r="I787" t="b">
        <v>0</v>
      </c>
      <c r="K787" s="10">
        <v>0.813888888888889</v>
      </c>
      <c r="L787" s="10">
        <v>0.897222222222222</v>
      </c>
      <c r="M787">
        <v>120</v>
      </c>
      <c r="N787" t="b">
        <v>0</v>
      </c>
    </row>
    <row r="788" spans="1:15">
      <c r="A788">
        <v>787</v>
      </c>
      <c r="B788" t="s">
        <v>1103</v>
      </c>
      <c r="C788" t="s">
        <v>16</v>
      </c>
      <c r="D788" s="9">
        <v>37942</v>
      </c>
      <c r="E788">
        <v>20</v>
      </c>
      <c r="F788" t="s">
        <v>21</v>
      </c>
      <c r="G788">
        <v>1</v>
      </c>
      <c r="H788" t="s">
        <v>185</v>
      </c>
      <c r="I788" t="b">
        <v>0</v>
      </c>
      <c r="K788" s="10">
        <v>0.482638888888889</v>
      </c>
      <c r="L788" s="10">
        <v>0.578472222222222</v>
      </c>
      <c r="M788">
        <v>138</v>
      </c>
      <c r="N788" t="b">
        <v>0</v>
      </c>
    </row>
    <row r="789" spans="1:15">
      <c r="A789">
        <v>788</v>
      </c>
      <c r="B789" t="s">
        <v>1104</v>
      </c>
      <c r="C789" t="s">
        <v>25</v>
      </c>
      <c r="D789" s="9">
        <v>27863</v>
      </c>
      <c r="E789">
        <v>48</v>
      </c>
      <c r="F789" t="s">
        <v>21</v>
      </c>
      <c r="G789">
        <v>3</v>
      </c>
      <c r="H789" t="s">
        <v>136</v>
      </c>
      <c r="I789" t="b">
        <v>0</v>
      </c>
      <c r="K789" s="10">
        <v>0.822222222222222</v>
      </c>
      <c r="L789" s="10">
        <v>0.929166666666667</v>
      </c>
      <c r="M789">
        <v>154</v>
      </c>
      <c r="N789" t="b">
        <v>0</v>
      </c>
    </row>
    <row r="790" spans="1:15">
      <c r="A790">
        <v>789</v>
      </c>
      <c r="B790" t="s">
        <v>1105</v>
      </c>
      <c r="C790" t="s">
        <v>16</v>
      </c>
      <c r="D790" s="9">
        <v>30271</v>
      </c>
      <c r="E790">
        <v>41</v>
      </c>
      <c r="F790" t="s">
        <v>17</v>
      </c>
      <c r="G790">
        <v>4</v>
      </c>
      <c r="H790" t="s">
        <v>61</v>
      </c>
      <c r="I790" t="b">
        <v>0</v>
      </c>
      <c r="K790" s="10">
        <v>0.713888888888889</v>
      </c>
      <c r="L790" s="10">
        <v>0.735416666666667</v>
      </c>
      <c r="M790">
        <v>31</v>
      </c>
      <c r="N790" t="b">
        <v>1</v>
      </c>
      <c r="O790" t="s">
        <v>47</v>
      </c>
    </row>
    <row r="791" spans="1:15">
      <c r="A791">
        <v>790</v>
      </c>
      <c r="B791" t="s">
        <v>1106</v>
      </c>
      <c r="C791" t="s">
        <v>25</v>
      </c>
      <c r="D791" s="9">
        <v>36521</v>
      </c>
      <c r="E791">
        <v>24</v>
      </c>
      <c r="F791" t="s">
        <v>21</v>
      </c>
      <c r="G791">
        <v>2</v>
      </c>
      <c r="H791" t="s">
        <v>461</v>
      </c>
      <c r="I791" t="b">
        <v>0</v>
      </c>
      <c r="K791" s="10">
        <v>0.556944444444444</v>
      </c>
      <c r="L791" s="10">
        <v>0.597916666666667</v>
      </c>
      <c r="M791">
        <v>59</v>
      </c>
      <c r="N791" t="b">
        <v>1</v>
      </c>
      <c r="O791" t="s">
        <v>47</v>
      </c>
    </row>
    <row r="792" spans="1:15">
      <c r="A792">
        <v>791</v>
      </c>
      <c r="B792" t="s">
        <v>1107</v>
      </c>
      <c r="C792" t="s">
        <v>16</v>
      </c>
      <c r="D792" s="9">
        <v>28302</v>
      </c>
      <c r="E792">
        <v>47</v>
      </c>
      <c r="F792" t="s">
        <v>21</v>
      </c>
      <c r="G792">
        <v>3</v>
      </c>
      <c r="H792" t="s">
        <v>65</v>
      </c>
      <c r="I792" t="b">
        <v>0</v>
      </c>
      <c r="K792" s="10">
        <v>0.700694444444444</v>
      </c>
      <c r="L792" s="10">
        <v>0.758333333333333</v>
      </c>
      <c r="M792">
        <v>83</v>
      </c>
      <c r="N792" t="b">
        <v>0</v>
      </c>
    </row>
    <row r="793" spans="1:15">
      <c r="A793">
        <v>792</v>
      </c>
      <c r="B793" t="s">
        <v>1108</v>
      </c>
      <c r="C793" t="s">
        <v>16</v>
      </c>
      <c r="D793" s="9">
        <v>30085</v>
      </c>
      <c r="E793">
        <v>42</v>
      </c>
      <c r="F793" t="s">
        <v>17</v>
      </c>
      <c r="G793">
        <v>3</v>
      </c>
      <c r="H793" t="s">
        <v>325</v>
      </c>
      <c r="I793" t="b">
        <v>1</v>
      </c>
      <c r="J793" t="s">
        <v>1109</v>
      </c>
      <c r="K793" s="10">
        <v>0.488888888888889</v>
      </c>
      <c r="L793" s="10">
        <v>0.554166666666667</v>
      </c>
      <c r="M793">
        <v>94</v>
      </c>
      <c r="N793" t="b">
        <v>1</v>
      </c>
      <c r="O793" t="s">
        <v>23</v>
      </c>
    </row>
    <row r="794" spans="1:15">
      <c r="A794">
        <v>793</v>
      </c>
      <c r="B794" t="s">
        <v>1110</v>
      </c>
      <c r="C794" t="s">
        <v>25</v>
      </c>
      <c r="D794" s="9">
        <v>33162</v>
      </c>
      <c r="E794">
        <v>33</v>
      </c>
      <c r="F794" t="s">
        <v>21</v>
      </c>
      <c r="G794">
        <v>1</v>
      </c>
      <c r="H794" t="s">
        <v>35</v>
      </c>
      <c r="I794" t="b">
        <v>1</v>
      </c>
      <c r="J794" t="s">
        <v>217</v>
      </c>
      <c r="K794" s="10">
        <v>0.670833333333333</v>
      </c>
      <c r="L794" s="10">
        <v>0.784027777777778</v>
      </c>
      <c r="M794">
        <v>163</v>
      </c>
      <c r="N794" t="b">
        <v>0</v>
      </c>
    </row>
    <row r="795" spans="1:15">
      <c r="A795">
        <v>794</v>
      </c>
      <c r="B795" t="s">
        <v>1111</v>
      </c>
      <c r="C795" t="s">
        <v>16</v>
      </c>
      <c r="D795" s="9">
        <v>36635</v>
      </c>
      <c r="E795">
        <v>24</v>
      </c>
      <c r="F795" t="s">
        <v>21</v>
      </c>
      <c r="G795">
        <v>4</v>
      </c>
      <c r="H795" t="s">
        <v>798</v>
      </c>
      <c r="I795" t="b">
        <v>0</v>
      </c>
      <c r="K795" s="10">
        <v>0.720138888888889</v>
      </c>
      <c r="L795" s="10">
        <v>0.763888888888889</v>
      </c>
      <c r="M795">
        <v>63</v>
      </c>
      <c r="N795" t="b">
        <v>0</v>
      </c>
    </row>
    <row r="796" spans="1:15">
      <c r="A796">
        <v>795</v>
      </c>
      <c r="B796" t="s">
        <v>1112</v>
      </c>
      <c r="C796" t="s">
        <v>25</v>
      </c>
      <c r="D796" s="9">
        <v>34748</v>
      </c>
      <c r="E796">
        <v>29</v>
      </c>
      <c r="F796" t="s">
        <v>21</v>
      </c>
      <c r="G796">
        <v>1</v>
      </c>
      <c r="H796" t="s">
        <v>49</v>
      </c>
      <c r="I796" t="b">
        <v>1</v>
      </c>
      <c r="J796" t="s">
        <v>114</v>
      </c>
      <c r="K796" s="10">
        <v>0.540972222222222</v>
      </c>
      <c r="L796" s="10">
        <v>0.621527777777778</v>
      </c>
      <c r="M796">
        <v>116</v>
      </c>
      <c r="N796" t="b">
        <v>1</v>
      </c>
      <c r="O796" t="s">
        <v>28</v>
      </c>
    </row>
    <row r="797" spans="1:15">
      <c r="A797">
        <v>796</v>
      </c>
      <c r="B797" t="s">
        <v>1113</v>
      </c>
      <c r="C797" t="s">
        <v>16</v>
      </c>
      <c r="D797" s="9">
        <v>34613</v>
      </c>
      <c r="E797">
        <v>29</v>
      </c>
      <c r="F797" t="s">
        <v>21</v>
      </c>
      <c r="G797">
        <v>4</v>
      </c>
      <c r="H797" t="s">
        <v>375</v>
      </c>
      <c r="I797" t="b">
        <v>1</v>
      </c>
      <c r="J797" t="s">
        <v>1114</v>
      </c>
      <c r="K797" s="10">
        <v>0.389583333333333</v>
      </c>
      <c r="L797" s="10">
        <v>0.484722222222222</v>
      </c>
      <c r="M797">
        <v>137</v>
      </c>
      <c r="N797" t="b">
        <v>1</v>
      </c>
      <c r="O797" t="s">
        <v>47</v>
      </c>
    </row>
    <row r="798" spans="1:15">
      <c r="A798">
        <v>797</v>
      </c>
      <c r="B798" t="s">
        <v>1115</v>
      </c>
      <c r="C798" t="s">
        <v>25</v>
      </c>
      <c r="D798" s="9">
        <v>28511</v>
      </c>
      <c r="E798">
        <v>46</v>
      </c>
      <c r="F798" t="s">
        <v>21</v>
      </c>
      <c r="G798">
        <v>5</v>
      </c>
      <c r="H798" t="s">
        <v>183</v>
      </c>
      <c r="I798" t="b">
        <v>1</v>
      </c>
      <c r="J798" t="s">
        <v>93</v>
      </c>
      <c r="K798" s="10">
        <v>0.403472222222222</v>
      </c>
      <c r="L798" s="10">
        <v>0.432638888888889</v>
      </c>
      <c r="M798">
        <v>42</v>
      </c>
      <c r="N798" t="b">
        <v>1</v>
      </c>
      <c r="O798" t="s">
        <v>23</v>
      </c>
    </row>
    <row r="799" spans="1:15">
      <c r="A799">
        <v>798</v>
      </c>
      <c r="B799" t="s">
        <v>1116</v>
      </c>
      <c r="C799" t="s">
        <v>25</v>
      </c>
      <c r="D799" s="9">
        <v>32204</v>
      </c>
      <c r="E799">
        <v>36</v>
      </c>
      <c r="F799" t="s">
        <v>21</v>
      </c>
      <c r="G799">
        <v>1</v>
      </c>
      <c r="H799" t="s">
        <v>81</v>
      </c>
      <c r="I799" t="b">
        <v>1</v>
      </c>
      <c r="J799" t="s">
        <v>1117</v>
      </c>
      <c r="K799" s="10">
        <v>0.863888888888889</v>
      </c>
      <c r="L799" s="10">
        <v>0.894444444444444</v>
      </c>
      <c r="M799">
        <v>44</v>
      </c>
      <c r="N799" t="b">
        <v>1</v>
      </c>
      <c r="O799" t="s">
        <v>23</v>
      </c>
    </row>
    <row r="800" spans="1:15">
      <c r="A800">
        <v>799</v>
      </c>
      <c r="B800" t="s">
        <v>1118</v>
      </c>
      <c r="C800" t="s">
        <v>16</v>
      </c>
      <c r="D800" s="9">
        <v>34923</v>
      </c>
      <c r="E800">
        <v>29</v>
      </c>
      <c r="F800" t="s">
        <v>21</v>
      </c>
      <c r="G800">
        <v>4</v>
      </c>
      <c r="H800" t="s">
        <v>61</v>
      </c>
      <c r="I800" t="b">
        <v>1</v>
      </c>
      <c r="J800" t="s">
        <v>1119</v>
      </c>
      <c r="K800" s="10">
        <v>0.382638888888889</v>
      </c>
      <c r="L800" s="10">
        <v>0.476388888888889</v>
      </c>
      <c r="M800">
        <v>135</v>
      </c>
      <c r="N800" t="b">
        <v>0</v>
      </c>
    </row>
    <row r="801" spans="1:15">
      <c r="A801">
        <v>800</v>
      </c>
      <c r="B801" t="s">
        <v>1120</v>
      </c>
      <c r="C801" t="s">
        <v>16</v>
      </c>
      <c r="D801" s="9">
        <v>33112</v>
      </c>
      <c r="E801">
        <v>34</v>
      </c>
      <c r="F801" t="s">
        <v>17</v>
      </c>
      <c r="G801">
        <v>3</v>
      </c>
      <c r="H801" t="s">
        <v>241</v>
      </c>
      <c r="I801" t="b">
        <v>0</v>
      </c>
      <c r="K801" s="10">
        <v>0.389583333333333</v>
      </c>
      <c r="L801" s="10">
        <v>0.467361111111111</v>
      </c>
      <c r="M801">
        <v>112</v>
      </c>
      <c r="N801" t="b">
        <v>0</v>
      </c>
    </row>
    <row r="802" spans="1:15">
      <c r="A802">
        <v>801</v>
      </c>
      <c r="B802" t="s">
        <v>1121</v>
      </c>
      <c r="C802" t="s">
        <v>16</v>
      </c>
      <c r="D802" s="9">
        <v>28329</v>
      </c>
      <c r="E802">
        <v>47</v>
      </c>
      <c r="F802" t="s">
        <v>21</v>
      </c>
      <c r="G802">
        <v>2</v>
      </c>
      <c r="H802" t="s">
        <v>32</v>
      </c>
      <c r="I802" t="b">
        <v>1</v>
      </c>
      <c r="J802" t="s">
        <v>626</v>
      </c>
      <c r="K802" s="10">
        <v>0.804861111111111</v>
      </c>
      <c r="L802" s="10">
        <v>0.905555555555556</v>
      </c>
      <c r="M802">
        <v>145</v>
      </c>
      <c r="N802" t="b">
        <v>0</v>
      </c>
    </row>
    <row r="803" spans="1:15">
      <c r="A803">
        <v>802</v>
      </c>
      <c r="B803" t="s">
        <v>1122</v>
      </c>
      <c r="C803" t="s">
        <v>16</v>
      </c>
      <c r="D803" s="9">
        <v>35744</v>
      </c>
      <c r="E803">
        <v>26</v>
      </c>
      <c r="F803" t="s">
        <v>17</v>
      </c>
      <c r="G803">
        <v>2</v>
      </c>
      <c r="H803" t="s">
        <v>210</v>
      </c>
      <c r="I803" t="b">
        <v>1</v>
      </c>
      <c r="J803" t="s">
        <v>124</v>
      </c>
      <c r="K803" s="10">
        <v>0.333333333333333</v>
      </c>
      <c r="L803" s="10">
        <v>0.433333333333333</v>
      </c>
      <c r="M803">
        <v>144</v>
      </c>
      <c r="N803" t="b">
        <v>1</v>
      </c>
      <c r="O803" t="s">
        <v>50</v>
      </c>
    </row>
    <row r="804" spans="1:15">
      <c r="A804">
        <v>803</v>
      </c>
      <c r="B804" t="s">
        <v>1123</v>
      </c>
      <c r="C804" t="s">
        <v>16</v>
      </c>
      <c r="D804" s="9">
        <v>30503</v>
      </c>
      <c r="E804">
        <v>41</v>
      </c>
      <c r="F804" t="s">
        <v>21</v>
      </c>
      <c r="G804">
        <v>3</v>
      </c>
      <c r="H804" t="s">
        <v>245</v>
      </c>
      <c r="I804" t="b">
        <v>0</v>
      </c>
      <c r="K804" s="10">
        <v>0.393055555555556</v>
      </c>
      <c r="L804" s="10">
        <v>0.474305555555556</v>
      </c>
      <c r="M804">
        <v>117</v>
      </c>
      <c r="N804" t="b">
        <v>0</v>
      </c>
    </row>
    <row r="805" spans="1:15">
      <c r="A805">
        <v>804</v>
      </c>
      <c r="B805" t="s">
        <v>1124</v>
      </c>
      <c r="C805" t="s">
        <v>25</v>
      </c>
      <c r="D805" s="9">
        <v>38857</v>
      </c>
      <c r="E805">
        <v>18</v>
      </c>
      <c r="F805" t="s">
        <v>17</v>
      </c>
      <c r="G805">
        <v>4</v>
      </c>
      <c r="H805" t="s">
        <v>377</v>
      </c>
      <c r="I805" t="b">
        <v>0</v>
      </c>
      <c r="K805" s="10">
        <v>0.374305555555556</v>
      </c>
      <c r="L805" s="10">
        <v>0.413888888888889</v>
      </c>
      <c r="M805">
        <v>57</v>
      </c>
      <c r="N805" t="b">
        <v>1</v>
      </c>
      <c r="O805" t="s">
        <v>28</v>
      </c>
    </row>
    <row r="806" spans="1:15">
      <c r="A806">
        <v>805</v>
      </c>
      <c r="B806" t="s">
        <v>1125</v>
      </c>
      <c r="C806" t="s">
        <v>16</v>
      </c>
      <c r="D806" s="9">
        <v>27915</v>
      </c>
      <c r="E806">
        <v>48</v>
      </c>
      <c r="F806" t="s">
        <v>17</v>
      </c>
      <c r="G806">
        <v>2</v>
      </c>
      <c r="H806" t="s">
        <v>306</v>
      </c>
      <c r="I806" t="b">
        <v>1</v>
      </c>
      <c r="J806" t="s">
        <v>139</v>
      </c>
      <c r="K806" s="10">
        <v>0.34375</v>
      </c>
      <c r="L806" s="10">
        <v>0.408333333333333</v>
      </c>
      <c r="M806">
        <v>93</v>
      </c>
      <c r="N806" t="b">
        <v>1</v>
      </c>
      <c r="O806" t="s">
        <v>47</v>
      </c>
    </row>
    <row r="807" spans="1:15">
      <c r="A807">
        <v>806</v>
      </c>
      <c r="B807" t="s">
        <v>1126</v>
      </c>
      <c r="C807" t="s">
        <v>16</v>
      </c>
      <c r="D807" s="9">
        <v>36361</v>
      </c>
      <c r="E807">
        <v>25</v>
      </c>
      <c r="F807" t="s">
        <v>17</v>
      </c>
      <c r="G807">
        <v>5</v>
      </c>
      <c r="H807" t="s">
        <v>417</v>
      </c>
      <c r="I807" t="b">
        <v>0</v>
      </c>
      <c r="K807" s="10">
        <v>0.675694444444444</v>
      </c>
      <c r="L807" s="10">
        <v>0.755555555555556</v>
      </c>
      <c r="M807">
        <v>115</v>
      </c>
      <c r="N807" t="b">
        <v>0</v>
      </c>
    </row>
    <row r="808" spans="1:15">
      <c r="A808">
        <v>807</v>
      </c>
      <c r="B808" t="s">
        <v>1127</v>
      </c>
      <c r="C808" t="s">
        <v>16</v>
      </c>
      <c r="D808" s="9">
        <v>30782</v>
      </c>
      <c r="E808">
        <v>40</v>
      </c>
      <c r="F808" t="s">
        <v>17</v>
      </c>
      <c r="G808">
        <v>4</v>
      </c>
      <c r="H808" t="s">
        <v>814</v>
      </c>
      <c r="I808" t="b">
        <v>1</v>
      </c>
      <c r="J808" t="s">
        <v>1054</v>
      </c>
      <c r="K808" s="10">
        <v>0.815972222222222</v>
      </c>
      <c r="L808" s="10">
        <v>0.923611111111111</v>
      </c>
      <c r="M808">
        <v>155</v>
      </c>
      <c r="N808" t="b">
        <v>0</v>
      </c>
    </row>
    <row r="809" spans="1:15">
      <c r="A809">
        <v>808</v>
      </c>
      <c r="B809" t="s">
        <v>1128</v>
      </c>
      <c r="C809" t="s">
        <v>16</v>
      </c>
      <c r="D809" s="9">
        <v>35555</v>
      </c>
      <c r="E809">
        <v>27</v>
      </c>
      <c r="F809" t="s">
        <v>17</v>
      </c>
      <c r="G809">
        <v>4</v>
      </c>
      <c r="H809" t="s">
        <v>61</v>
      </c>
      <c r="I809" t="b">
        <v>0</v>
      </c>
      <c r="K809" s="10">
        <v>0.688888888888889</v>
      </c>
      <c r="L809" s="10">
        <v>0.770138888888889</v>
      </c>
      <c r="M809">
        <v>117</v>
      </c>
      <c r="N809" t="b">
        <v>1</v>
      </c>
      <c r="O809" t="s">
        <v>50</v>
      </c>
    </row>
    <row r="810" spans="1:15">
      <c r="A810">
        <v>809</v>
      </c>
      <c r="B810" t="s">
        <v>1129</v>
      </c>
      <c r="C810" t="s">
        <v>16</v>
      </c>
      <c r="D810" s="9">
        <v>32832</v>
      </c>
      <c r="E810">
        <v>34</v>
      </c>
      <c r="F810" t="s">
        <v>17</v>
      </c>
      <c r="G810">
        <v>2</v>
      </c>
      <c r="H810" t="s">
        <v>111</v>
      </c>
      <c r="I810" t="b">
        <v>0</v>
      </c>
      <c r="K810" s="10">
        <v>0.559027777777778</v>
      </c>
      <c r="L810" s="10">
        <v>0.645138888888889</v>
      </c>
      <c r="M810">
        <v>124</v>
      </c>
      <c r="N810" t="b">
        <v>0</v>
      </c>
    </row>
    <row r="811" spans="1:15">
      <c r="A811">
        <v>810</v>
      </c>
      <c r="B811" t="s">
        <v>1130</v>
      </c>
      <c r="C811" t="s">
        <v>25</v>
      </c>
      <c r="D811" s="9">
        <v>34601</v>
      </c>
      <c r="E811">
        <v>30</v>
      </c>
      <c r="F811" t="s">
        <v>17</v>
      </c>
      <c r="G811">
        <v>2</v>
      </c>
      <c r="H811" t="s">
        <v>133</v>
      </c>
      <c r="I811" t="b">
        <v>1</v>
      </c>
      <c r="J811" t="s">
        <v>83</v>
      </c>
      <c r="K811" s="10">
        <v>0.596527777777778</v>
      </c>
      <c r="L811" s="10">
        <v>0.711805555555555</v>
      </c>
      <c r="M811">
        <v>166</v>
      </c>
      <c r="N811" t="b">
        <v>1</v>
      </c>
      <c r="O811" t="s">
        <v>23</v>
      </c>
    </row>
    <row r="812" spans="1:15">
      <c r="A812">
        <v>811</v>
      </c>
      <c r="B812" t="s">
        <v>162</v>
      </c>
      <c r="C812" t="s">
        <v>25</v>
      </c>
      <c r="D812" s="9">
        <v>34412</v>
      </c>
      <c r="E812">
        <v>30</v>
      </c>
      <c r="F812" t="s">
        <v>17</v>
      </c>
      <c r="G812">
        <v>2</v>
      </c>
      <c r="H812" t="s">
        <v>189</v>
      </c>
      <c r="I812" t="b">
        <v>0</v>
      </c>
      <c r="K812" s="10">
        <v>0.470833333333333</v>
      </c>
      <c r="L812" s="10">
        <v>0.5625</v>
      </c>
      <c r="M812">
        <v>132</v>
      </c>
      <c r="N812" t="b">
        <v>1</v>
      </c>
      <c r="O812" t="s">
        <v>47</v>
      </c>
    </row>
    <row r="813" spans="1:15">
      <c r="A813">
        <v>812</v>
      </c>
      <c r="B813" t="s">
        <v>1131</v>
      </c>
      <c r="C813" t="s">
        <v>25</v>
      </c>
      <c r="D813" s="9">
        <v>38518</v>
      </c>
      <c r="E813">
        <v>19</v>
      </c>
      <c r="F813" t="s">
        <v>17</v>
      </c>
      <c r="G813">
        <v>1</v>
      </c>
      <c r="H813" t="s">
        <v>26</v>
      </c>
      <c r="I813" t="b">
        <v>1</v>
      </c>
      <c r="J813" t="s">
        <v>666</v>
      </c>
      <c r="K813" s="10">
        <v>0.604166666666667</v>
      </c>
      <c r="L813" s="10">
        <v>0.665277777777778</v>
      </c>
      <c r="M813">
        <v>88</v>
      </c>
      <c r="N813" t="b">
        <v>1</v>
      </c>
      <c r="O813" t="s">
        <v>50</v>
      </c>
    </row>
    <row r="814" spans="1:15">
      <c r="A814">
        <v>813</v>
      </c>
      <c r="B814" t="s">
        <v>1132</v>
      </c>
      <c r="C814" t="s">
        <v>25</v>
      </c>
      <c r="D814" s="9">
        <v>27567</v>
      </c>
      <c r="E814">
        <v>49</v>
      </c>
      <c r="F814" t="s">
        <v>21</v>
      </c>
      <c r="G814">
        <v>5</v>
      </c>
      <c r="H814" t="s">
        <v>96</v>
      </c>
      <c r="I814" t="b">
        <v>0</v>
      </c>
      <c r="K814" s="10">
        <v>0.588194444444444</v>
      </c>
      <c r="L814" s="10">
        <v>0.620138888888889</v>
      </c>
      <c r="M814">
        <v>46</v>
      </c>
      <c r="N814" t="b">
        <v>0</v>
      </c>
    </row>
    <row r="815" spans="1:15">
      <c r="A815">
        <v>814</v>
      </c>
      <c r="B815" t="s">
        <v>1133</v>
      </c>
      <c r="C815" t="s">
        <v>16</v>
      </c>
      <c r="D815" s="9">
        <v>35412</v>
      </c>
      <c r="E815">
        <v>27</v>
      </c>
      <c r="F815" t="s">
        <v>21</v>
      </c>
      <c r="G815">
        <v>1</v>
      </c>
      <c r="H815" t="s">
        <v>185</v>
      </c>
      <c r="I815" t="b">
        <v>1</v>
      </c>
      <c r="J815" t="s">
        <v>93</v>
      </c>
      <c r="K815" s="10">
        <v>0.648611111111111</v>
      </c>
      <c r="L815" s="10">
        <v>0.683333333333333</v>
      </c>
      <c r="M815">
        <v>50</v>
      </c>
      <c r="N815" t="b">
        <v>1</v>
      </c>
      <c r="O815" t="s">
        <v>23</v>
      </c>
    </row>
    <row r="816" spans="1:15">
      <c r="A816">
        <v>815</v>
      </c>
      <c r="B816" t="s">
        <v>1134</v>
      </c>
      <c r="C816" t="s">
        <v>16</v>
      </c>
      <c r="D816" s="9">
        <v>31630</v>
      </c>
      <c r="E816">
        <v>38</v>
      </c>
      <c r="F816" t="s">
        <v>17</v>
      </c>
      <c r="G816">
        <v>1</v>
      </c>
      <c r="H816" t="s">
        <v>26</v>
      </c>
      <c r="I816" t="b">
        <v>0</v>
      </c>
      <c r="K816" s="10">
        <v>0.591666666666667</v>
      </c>
      <c r="L816" s="10">
        <v>0.648611111111111</v>
      </c>
      <c r="M816">
        <v>82</v>
      </c>
      <c r="N816" t="b">
        <v>0</v>
      </c>
    </row>
    <row r="817" spans="1:15">
      <c r="A817">
        <v>816</v>
      </c>
      <c r="B817" t="s">
        <v>1135</v>
      </c>
      <c r="C817" t="s">
        <v>25</v>
      </c>
      <c r="D817" s="9">
        <v>28273</v>
      </c>
      <c r="E817">
        <v>47</v>
      </c>
      <c r="F817" t="s">
        <v>21</v>
      </c>
      <c r="G817">
        <v>2</v>
      </c>
      <c r="H817" t="s">
        <v>55</v>
      </c>
      <c r="I817" t="b">
        <v>0</v>
      </c>
      <c r="K817" s="10">
        <v>0.5125</v>
      </c>
      <c r="L817" s="10">
        <v>0.608333333333333</v>
      </c>
      <c r="M817">
        <v>138</v>
      </c>
      <c r="N817" t="b">
        <v>1</v>
      </c>
      <c r="O817" t="s">
        <v>28</v>
      </c>
    </row>
    <row r="818" spans="1:15">
      <c r="A818">
        <v>817</v>
      </c>
      <c r="B818" t="s">
        <v>1136</v>
      </c>
      <c r="C818" t="s">
        <v>16</v>
      </c>
      <c r="D818" s="9">
        <v>31290</v>
      </c>
      <c r="E818">
        <v>39</v>
      </c>
      <c r="F818" t="s">
        <v>21</v>
      </c>
      <c r="G818">
        <v>3</v>
      </c>
      <c r="H818" t="s">
        <v>57</v>
      </c>
      <c r="I818" t="b">
        <v>0</v>
      </c>
      <c r="K818" s="10">
        <v>0.7125</v>
      </c>
      <c r="L818" s="10">
        <v>0.800694444444444</v>
      </c>
      <c r="M818">
        <v>127</v>
      </c>
      <c r="N818" t="b">
        <v>1</v>
      </c>
      <c r="O818" t="s">
        <v>47</v>
      </c>
    </row>
    <row r="819" spans="1:15">
      <c r="A819">
        <v>818</v>
      </c>
      <c r="B819" t="s">
        <v>1137</v>
      </c>
      <c r="C819" t="s">
        <v>25</v>
      </c>
      <c r="D819" s="9">
        <v>39067</v>
      </c>
      <c r="E819">
        <v>17</v>
      </c>
      <c r="F819" t="s">
        <v>21</v>
      </c>
      <c r="G819">
        <v>3</v>
      </c>
      <c r="H819" t="s">
        <v>245</v>
      </c>
      <c r="I819" t="b">
        <v>1</v>
      </c>
      <c r="J819" t="s">
        <v>238</v>
      </c>
      <c r="K819" s="10">
        <v>0.49375</v>
      </c>
      <c r="L819" s="10">
        <v>0.568055555555556</v>
      </c>
      <c r="M819">
        <v>107</v>
      </c>
      <c r="N819" t="b">
        <v>0</v>
      </c>
    </row>
    <row r="820" spans="1:15">
      <c r="A820">
        <v>819</v>
      </c>
      <c r="B820" t="s">
        <v>1138</v>
      </c>
      <c r="C820" t="s">
        <v>16</v>
      </c>
      <c r="D820" s="9">
        <v>37939</v>
      </c>
      <c r="E820">
        <v>20</v>
      </c>
      <c r="F820" t="s">
        <v>21</v>
      </c>
      <c r="G820">
        <v>3</v>
      </c>
      <c r="H820" t="s">
        <v>136</v>
      </c>
      <c r="I820" t="b">
        <v>0</v>
      </c>
      <c r="K820" s="10">
        <v>0.349305555555556</v>
      </c>
      <c r="L820" s="10">
        <v>0.40625</v>
      </c>
      <c r="M820">
        <v>82</v>
      </c>
      <c r="N820" t="b">
        <v>0</v>
      </c>
    </row>
    <row r="821" spans="1:15">
      <c r="A821">
        <v>820</v>
      </c>
      <c r="B821" t="s">
        <v>1139</v>
      </c>
      <c r="C821" t="s">
        <v>16</v>
      </c>
      <c r="D821" s="9">
        <v>40007</v>
      </c>
      <c r="E821">
        <v>15</v>
      </c>
      <c r="F821" t="s">
        <v>21</v>
      </c>
      <c r="G821">
        <v>3</v>
      </c>
      <c r="H821" t="s">
        <v>321</v>
      </c>
      <c r="I821" t="b">
        <v>0</v>
      </c>
      <c r="K821" s="10">
        <v>0.60625</v>
      </c>
      <c r="L821" s="10">
        <v>0.710416666666667</v>
      </c>
      <c r="M821">
        <v>150</v>
      </c>
      <c r="N821" t="b">
        <v>0</v>
      </c>
    </row>
    <row r="822" spans="1:15">
      <c r="A822">
        <v>821</v>
      </c>
      <c r="B822" t="s">
        <v>1140</v>
      </c>
      <c r="C822" t="s">
        <v>16</v>
      </c>
      <c r="D822" s="9">
        <v>31642</v>
      </c>
      <c r="E822">
        <v>38</v>
      </c>
      <c r="F822" t="s">
        <v>17</v>
      </c>
      <c r="G822">
        <v>3</v>
      </c>
      <c r="H822" t="s">
        <v>74</v>
      </c>
      <c r="I822" t="b">
        <v>1</v>
      </c>
      <c r="J822" t="s">
        <v>107</v>
      </c>
      <c r="K822" s="10">
        <v>0.555555555555556</v>
      </c>
      <c r="L822" s="10">
        <v>0.653472222222222</v>
      </c>
      <c r="M822">
        <v>141</v>
      </c>
      <c r="N822" t="b">
        <v>0</v>
      </c>
    </row>
    <row r="823" spans="1:15">
      <c r="A823">
        <v>822</v>
      </c>
      <c r="B823" t="s">
        <v>1141</v>
      </c>
      <c r="C823" t="s">
        <v>25</v>
      </c>
      <c r="D823" s="9">
        <v>27678</v>
      </c>
      <c r="E823">
        <v>48</v>
      </c>
      <c r="F823" t="s">
        <v>17</v>
      </c>
      <c r="G823">
        <v>3</v>
      </c>
      <c r="H823" t="s">
        <v>92</v>
      </c>
      <c r="I823" t="b">
        <v>0</v>
      </c>
      <c r="K823" s="10">
        <v>0.822222222222222</v>
      </c>
      <c r="L823" s="10">
        <v>0.9125</v>
      </c>
      <c r="M823">
        <v>130</v>
      </c>
      <c r="N823" t="b">
        <v>1</v>
      </c>
      <c r="O823" t="s">
        <v>23</v>
      </c>
    </row>
    <row r="824" spans="1:15">
      <c r="A824">
        <v>823</v>
      </c>
      <c r="B824" t="s">
        <v>1142</v>
      </c>
      <c r="C824" t="s">
        <v>16</v>
      </c>
      <c r="D824" s="9">
        <v>34991</v>
      </c>
      <c r="E824">
        <v>28</v>
      </c>
      <c r="F824" t="s">
        <v>21</v>
      </c>
      <c r="G824">
        <v>4</v>
      </c>
      <c r="H824" t="s">
        <v>143</v>
      </c>
      <c r="I824" t="b">
        <v>0</v>
      </c>
      <c r="K824" s="10">
        <v>0.689583333333333</v>
      </c>
      <c r="L824" s="10">
        <v>0.766666666666667</v>
      </c>
      <c r="M824">
        <v>111</v>
      </c>
      <c r="N824" t="b">
        <v>0</v>
      </c>
    </row>
    <row r="825" spans="1:15">
      <c r="A825">
        <v>824</v>
      </c>
      <c r="B825" t="s">
        <v>1143</v>
      </c>
      <c r="C825" t="s">
        <v>16</v>
      </c>
      <c r="D825" s="9">
        <v>31614</v>
      </c>
      <c r="E825">
        <v>38</v>
      </c>
      <c r="F825" t="s">
        <v>21</v>
      </c>
      <c r="G825">
        <v>5</v>
      </c>
      <c r="H825" t="s">
        <v>192</v>
      </c>
      <c r="I825" t="b">
        <v>0</v>
      </c>
      <c r="K825" s="10">
        <v>0.749305555555556</v>
      </c>
      <c r="L825" s="10">
        <v>0.839583333333333</v>
      </c>
      <c r="M825">
        <v>130</v>
      </c>
      <c r="N825" t="b">
        <v>0</v>
      </c>
    </row>
    <row r="826" spans="1:15">
      <c r="A826">
        <v>825</v>
      </c>
      <c r="B826" t="s">
        <v>1144</v>
      </c>
      <c r="C826" t="s">
        <v>25</v>
      </c>
      <c r="D826" s="9">
        <v>27605</v>
      </c>
      <c r="E826">
        <v>49</v>
      </c>
      <c r="F826" t="s">
        <v>17</v>
      </c>
      <c r="G826">
        <v>3</v>
      </c>
      <c r="H826" t="s">
        <v>136</v>
      </c>
      <c r="I826" t="b">
        <v>1</v>
      </c>
      <c r="J826" t="s">
        <v>1145</v>
      </c>
      <c r="K826" s="10">
        <v>0.453472222222222</v>
      </c>
      <c r="L826" s="10">
        <v>0.534027777777778</v>
      </c>
      <c r="M826">
        <v>116</v>
      </c>
      <c r="N826" t="b">
        <v>1</v>
      </c>
      <c r="O826" t="s">
        <v>28</v>
      </c>
    </row>
    <row r="827" spans="1:15">
      <c r="A827">
        <v>826</v>
      </c>
      <c r="B827" t="s">
        <v>1146</v>
      </c>
      <c r="C827" t="s">
        <v>16</v>
      </c>
      <c r="D827" s="9">
        <v>33660</v>
      </c>
      <c r="E827">
        <v>32</v>
      </c>
      <c r="F827" t="s">
        <v>21</v>
      </c>
      <c r="G827">
        <v>1</v>
      </c>
      <c r="H827" t="s">
        <v>185</v>
      </c>
      <c r="I827" t="b">
        <v>0</v>
      </c>
      <c r="K827" s="10">
        <v>0.748611111111111</v>
      </c>
      <c r="L827" s="10">
        <v>0.870833333333333</v>
      </c>
      <c r="M827">
        <v>176</v>
      </c>
      <c r="N827" t="b">
        <v>0</v>
      </c>
    </row>
    <row r="828" spans="1:15">
      <c r="A828">
        <v>827</v>
      </c>
      <c r="B828" t="s">
        <v>1147</v>
      </c>
      <c r="C828" t="s">
        <v>25</v>
      </c>
      <c r="D828" s="9">
        <v>38776</v>
      </c>
      <c r="E828">
        <v>18</v>
      </c>
      <c r="F828" t="s">
        <v>21</v>
      </c>
      <c r="G828">
        <v>3</v>
      </c>
      <c r="H828" t="s">
        <v>266</v>
      </c>
      <c r="I828" t="b">
        <v>1</v>
      </c>
      <c r="J828" t="s">
        <v>1148</v>
      </c>
      <c r="K828" s="10">
        <v>0.60625</v>
      </c>
      <c r="L828" s="10">
        <v>0.669444444444444</v>
      </c>
      <c r="M828">
        <v>91</v>
      </c>
      <c r="N828" t="b">
        <v>0</v>
      </c>
    </row>
    <row r="829" spans="1:15">
      <c r="A829">
        <v>828</v>
      </c>
      <c r="B829" t="s">
        <v>446</v>
      </c>
      <c r="C829" t="s">
        <v>16</v>
      </c>
      <c r="D829" s="9">
        <v>38807</v>
      </c>
      <c r="E829">
        <v>18</v>
      </c>
      <c r="F829" t="s">
        <v>17</v>
      </c>
      <c r="G829">
        <v>2</v>
      </c>
      <c r="H829" t="s">
        <v>121</v>
      </c>
      <c r="I829" t="b">
        <v>1</v>
      </c>
      <c r="J829" t="s">
        <v>448</v>
      </c>
      <c r="K829" s="10">
        <v>0.661805555555556</v>
      </c>
      <c r="L829" s="10">
        <v>0.703472222222222</v>
      </c>
      <c r="M829">
        <v>60</v>
      </c>
      <c r="N829" t="b">
        <v>1</v>
      </c>
      <c r="O829" t="s">
        <v>50</v>
      </c>
    </row>
    <row r="830" spans="1:15">
      <c r="A830">
        <v>829</v>
      </c>
      <c r="B830" t="s">
        <v>1149</v>
      </c>
      <c r="C830" t="s">
        <v>25</v>
      </c>
      <c r="D830" s="9">
        <v>30854</v>
      </c>
      <c r="E830">
        <v>40</v>
      </c>
      <c r="F830" t="s">
        <v>17</v>
      </c>
      <c r="G830">
        <v>2</v>
      </c>
      <c r="H830" t="s">
        <v>189</v>
      </c>
      <c r="I830" t="b">
        <v>1</v>
      </c>
      <c r="J830" t="s">
        <v>598</v>
      </c>
      <c r="K830" s="10">
        <v>0.402777777777778</v>
      </c>
      <c r="L830" s="10">
        <v>0.426388888888889</v>
      </c>
      <c r="M830">
        <v>34</v>
      </c>
      <c r="N830" t="b">
        <v>1</v>
      </c>
      <c r="O830" t="s">
        <v>50</v>
      </c>
    </row>
    <row r="831" spans="1:15">
      <c r="A831">
        <v>830</v>
      </c>
      <c r="B831" t="s">
        <v>1150</v>
      </c>
      <c r="C831" t="s">
        <v>25</v>
      </c>
      <c r="D831" s="9">
        <v>30040</v>
      </c>
      <c r="E831">
        <v>42</v>
      </c>
      <c r="F831" t="s">
        <v>17</v>
      </c>
      <c r="G831">
        <v>5</v>
      </c>
      <c r="H831" t="s">
        <v>283</v>
      </c>
      <c r="I831" t="b">
        <v>1</v>
      </c>
      <c r="J831" t="s">
        <v>649</v>
      </c>
      <c r="K831" s="10">
        <v>0.503472222222222</v>
      </c>
      <c r="L831" s="10">
        <v>0.608333333333333</v>
      </c>
      <c r="M831">
        <v>151</v>
      </c>
      <c r="N831" t="b">
        <v>1</v>
      </c>
      <c r="O831" t="s">
        <v>28</v>
      </c>
    </row>
    <row r="832" spans="1:15">
      <c r="A832">
        <v>831</v>
      </c>
      <c r="B832" t="s">
        <v>1151</v>
      </c>
      <c r="C832" t="s">
        <v>25</v>
      </c>
      <c r="D832" s="9">
        <v>35335</v>
      </c>
      <c r="E832">
        <v>28</v>
      </c>
      <c r="F832" t="s">
        <v>21</v>
      </c>
      <c r="G832">
        <v>4</v>
      </c>
      <c r="H832" t="s">
        <v>212</v>
      </c>
      <c r="I832" t="b">
        <v>0</v>
      </c>
      <c r="K832" s="10">
        <v>0.399305555555556</v>
      </c>
      <c r="L832" s="10">
        <v>0.499305555555556</v>
      </c>
      <c r="M832">
        <v>144</v>
      </c>
      <c r="N832" t="b">
        <v>1</v>
      </c>
      <c r="O832" t="s">
        <v>28</v>
      </c>
    </row>
    <row r="833" spans="1:15">
      <c r="A833">
        <v>832</v>
      </c>
      <c r="B833" t="s">
        <v>1152</v>
      </c>
      <c r="C833" t="s">
        <v>16</v>
      </c>
      <c r="D833" s="9">
        <v>39656</v>
      </c>
      <c r="E833">
        <v>16</v>
      </c>
      <c r="F833" t="s">
        <v>17</v>
      </c>
      <c r="G833">
        <v>1</v>
      </c>
      <c r="H833" t="s">
        <v>35</v>
      </c>
      <c r="I833" t="b">
        <v>0</v>
      </c>
      <c r="K833" s="10">
        <v>0.361805555555556</v>
      </c>
      <c r="L833" s="10">
        <v>0.454861111111111</v>
      </c>
      <c r="M833">
        <v>134</v>
      </c>
      <c r="N833" t="b">
        <v>0</v>
      </c>
    </row>
    <row r="834" spans="1:15">
      <c r="A834">
        <v>833</v>
      </c>
      <c r="B834" t="s">
        <v>1153</v>
      </c>
      <c r="C834" t="s">
        <v>16</v>
      </c>
      <c r="D834" s="9">
        <v>36486</v>
      </c>
      <c r="E834">
        <v>24</v>
      </c>
      <c r="F834" t="s">
        <v>21</v>
      </c>
      <c r="G834">
        <v>2</v>
      </c>
      <c r="H834" t="s">
        <v>133</v>
      </c>
      <c r="I834" t="b">
        <v>1</v>
      </c>
      <c r="J834" t="s">
        <v>729</v>
      </c>
      <c r="K834" s="10">
        <v>0.738888888888889</v>
      </c>
      <c r="L834" s="10">
        <v>0.805555555555555</v>
      </c>
      <c r="M834">
        <v>96</v>
      </c>
      <c r="N834" t="b">
        <v>1</v>
      </c>
      <c r="O834" t="s">
        <v>50</v>
      </c>
    </row>
    <row r="835" spans="1:15">
      <c r="A835">
        <v>834</v>
      </c>
      <c r="B835" t="s">
        <v>1154</v>
      </c>
      <c r="C835" t="s">
        <v>25</v>
      </c>
      <c r="D835" s="9">
        <v>40265</v>
      </c>
      <c r="E835">
        <v>14</v>
      </c>
      <c r="F835" t="s">
        <v>21</v>
      </c>
      <c r="G835">
        <v>3</v>
      </c>
      <c r="H835" t="s">
        <v>295</v>
      </c>
      <c r="I835" t="b">
        <v>0</v>
      </c>
      <c r="K835" s="10">
        <v>0.802777777777778</v>
      </c>
      <c r="L835" s="10">
        <v>0.854166666666667</v>
      </c>
      <c r="M835">
        <v>74</v>
      </c>
      <c r="N835" t="b">
        <v>1</v>
      </c>
      <c r="O835" t="s">
        <v>50</v>
      </c>
    </row>
    <row r="836" spans="1:15">
      <c r="A836">
        <v>835</v>
      </c>
      <c r="B836" t="s">
        <v>1155</v>
      </c>
      <c r="C836" t="s">
        <v>16</v>
      </c>
      <c r="D836" s="9">
        <v>37933</v>
      </c>
      <c r="E836">
        <v>20</v>
      </c>
      <c r="F836" t="s">
        <v>17</v>
      </c>
      <c r="G836">
        <v>3</v>
      </c>
      <c r="H836" t="s">
        <v>74</v>
      </c>
      <c r="I836" t="b">
        <v>0</v>
      </c>
      <c r="K836" s="10">
        <v>0.650694444444444</v>
      </c>
      <c r="L836" s="10">
        <v>0.704166666666667</v>
      </c>
      <c r="M836">
        <v>77</v>
      </c>
      <c r="N836" t="b">
        <v>1</v>
      </c>
      <c r="O836" t="s">
        <v>50</v>
      </c>
    </row>
    <row r="837" spans="1:15">
      <c r="A837">
        <v>836</v>
      </c>
      <c r="B837" t="s">
        <v>1156</v>
      </c>
      <c r="C837" t="s">
        <v>16</v>
      </c>
      <c r="D837" s="9">
        <v>30579</v>
      </c>
      <c r="E837">
        <v>41</v>
      </c>
      <c r="F837" t="s">
        <v>21</v>
      </c>
      <c r="G837">
        <v>1</v>
      </c>
      <c r="H837" t="s">
        <v>35</v>
      </c>
      <c r="I837" t="b">
        <v>1</v>
      </c>
      <c r="J837" t="s">
        <v>1157</v>
      </c>
      <c r="K837" s="10">
        <v>0.406944444444444</v>
      </c>
      <c r="L837" s="10">
        <v>0.494444444444444</v>
      </c>
      <c r="M837">
        <v>126</v>
      </c>
      <c r="N837" t="b">
        <v>1</v>
      </c>
      <c r="O837" t="s">
        <v>23</v>
      </c>
    </row>
    <row r="838" spans="1:15">
      <c r="A838">
        <v>837</v>
      </c>
      <c r="B838" t="s">
        <v>1158</v>
      </c>
      <c r="C838" t="s">
        <v>25</v>
      </c>
      <c r="D838" s="9">
        <v>36884</v>
      </c>
      <c r="E838">
        <v>23</v>
      </c>
      <c r="F838" t="s">
        <v>17</v>
      </c>
      <c r="G838">
        <v>2</v>
      </c>
      <c r="H838" t="s">
        <v>101</v>
      </c>
      <c r="I838" t="b">
        <v>0</v>
      </c>
      <c r="K838" s="10">
        <v>0.799305555555556</v>
      </c>
      <c r="L838" s="10">
        <v>0.886805555555556</v>
      </c>
      <c r="M838">
        <v>126</v>
      </c>
      <c r="N838" t="b">
        <v>1</v>
      </c>
      <c r="O838" t="s">
        <v>23</v>
      </c>
    </row>
    <row r="839" spans="1:15">
      <c r="A839">
        <v>838</v>
      </c>
      <c r="B839" t="s">
        <v>1159</v>
      </c>
      <c r="C839" t="s">
        <v>25</v>
      </c>
      <c r="D839" s="9">
        <v>27604</v>
      </c>
      <c r="E839">
        <v>49</v>
      </c>
      <c r="F839" t="s">
        <v>21</v>
      </c>
      <c r="G839">
        <v>3</v>
      </c>
      <c r="H839" t="s">
        <v>164</v>
      </c>
      <c r="I839" t="b">
        <v>1</v>
      </c>
      <c r="J839" t="s">
        <v>912</v>
      </c>
      <c r="K839" s="10">
        <v>0.861111111111111</v>
      </c>
      <c r="L839" s="10">
        <v>0.961805555555555</v>
      </c>
      <c r="M839">
        <v>145</v>
      </c>
      <c r="N839" t="b">
        <v>1</v>
      </c>
      <c r="O839" t="s">
        <v>28</v>
      </c>
    </row>
    <row r="840" spans="1:15">
      <c r="A840">
        <v>839</v>
      </c>
      <c r="B840" t="s">
        <v>1160</v>
      </c>
      <c r="C840" t="s">
        <v>16</v>
      </c>
      <c r="D840" s="9">
        <v>28848</v>
      </c>
      <c r="E840">
        <v>45</v>
      </c>
      <c r="F840" t="s">
        <v>21</v>
      </c>
      <c r="G840">
        <v>2</v>
      </c>
      <c r="H840" t="s">
        <v>111</v>
      </c>
      <c r="I840" t="b">
        <v>0</v>
      </c>
      <c r="K840" s="10">
        <v>0.370833333333333</v>
      </c>
      <c r="L840" s="10">
        <v>0.402777777777778</v>
      </c>
      <c r="M840">
        <v>46</v>
      </c>
      <c r="N840" t="b">
        <v>1</v>
      </c>
      <c r="O840" t="s">
        <v>50</v>
      </c>
    </row>
    <row r="841" spans="1:15">
      <c r="A841">
        <v>840</v>
      </c>
      <c r="B841" t="s">
        <v>1161</v>
      </c>
      <c r="C841" t="s">
        <v>16</v>
      </c>
      <c r="D841" s="9">
        <v>27710</v>
      </c>
      <c r="E841">
        <v>48</v>
      </c>
      <c r="F841" t="s">
        <v>21</v>
      </c>
      <c r="G841">
        <v>2</v>
      </c>
      <c r="H841" t="s">
        <v>509</v>
      </c>
      <c r="I841" t="b">
        <v>0</v>
      </c>
      <c r="K841" s="10">
        <v>0.851388888888889</v>
      </c>
      <c r="L841" s="10">
        <v>0.936805555555556</v>
      </c>
      <c r="M841">
        <v>123</v>
      </c>
      <c r="N841" t="b">
        <v>1</v>
      </c>
      <c r="O841" t="s">
        <v>50</v>
      </c>
    </row>
    <row r="842" spans="1:15">
      <c r="A842">
        <v>841</v>
      </c>
      <c r="B842" t="s">
        <v>1162</v>
      </c>
      <c r="C842" t="s">
        <v>16</v>
      </c>
      <c r="D842" s="9">
        <v>34958</v>
      </c>
      <c r="E842">
        <v>29</v>
      </c>
      <c r="F842" t="s">
        <v>21</v>
      </c>
      <c r="G842">
        <v>3</v>
      </c>
      <c r="H842" t="s">
        <v>74</v>
      </c>
      <c r="I842" t="b">
        <v>0</v>
      </c>
      <c r="K842" s="10">
        <v>0.458333333333333</v>
      </c>
      <c r="L842" s="10">
        <v>0.545833333333333</v>
      </c>
      <c r="M842">
        <v>126</v>
      </c>
      <c r="N842" t="b">
        <v>0</v>
      </c>
    </row>
    <row r="843" spans="1:15">
      <c r="A843">
        <v>842</v>
      </c>
      <c r="B843" t="s">
        <v>1163</v>
      </c>
      <c r="C843" t="s">
        <v>16</v>
      </c>
      <c r="D843" s="9">
        <v>34088</v>
      </c>
      <c r="E843">
        <v>31</v>
      </c>
      <c r="F843" t="s">
        <v>21</v>
      </c>
      <c r="G843">
        <v>5</v>
      </c>
      <c r="H843" t="s">
        <v>177</v>
      </c>
      <c r="I843" t="b">
        <v>1</v>
      </c>
      <c r="J843" t="s">
        <v>67</v>
      </c>
      <c r="K843" s="10">
        <v>0.407638888888889</v>
      </c>
      <c r="L843" s="10">
        <v>0.4875</v>
      </c>
      <c r="M843">
        <v>115</v>
      </c>
      <c r="N843" t="b">
        <v>1</v>
      </c>
      <c r="O843" t="s">
        <v>23</v>
      </c>
    </row>
    <row r="844" spans="1:15">
      <c r="A844">
        <v>843</v>
      </c>
      <c r="B844" t="s">
        <v>1164</v>
      </c>
      <c r="C844" t="s">
        <v>16</v>
      </c>
      <c r="D844" s="9">
        <v>34770</v>
      </c>
      <c r="E844">
        <v>29</v>
      </c>
      <c r="F844" t="s">
        <v>17</v>
      </c>
      <c r="G844">
        <v>1</v>
      </c>
      <c r="H844" t="s">
        <v>49</v>
      </c>
      <c r="I844" t="b">
        <v>1</v>
      </c>
      <c r="J844" t="s">
        <v>83</v>
      </c>
      <c r="K844" s="10">
        <v>0.798611111111111</v>
      </c>
      <c r="L844" s="10">
        <v>0.826388888888889</v>
      </c>
      <c r="M844">
        <v>40</v>
      </c>
      <c r="N844" t="b">
        <v>1</v>
      </c>
      <c r="O844" t="s">
        <v>28</v>
      </c>
    </row>
    <row r="845" spans="1:15">
      <c r="A845">
        <v>844</v>
      </c>
      <c r="B845" t="s">
        <v>1165</v>
      </c>
      <c r="C845" t="s">
        <v>25</v>
      </c>
      <c r="D845" s="9">
        <v>29870</v>
      </c>
      <c r="E845">
        <v>42</v>
      </c>
      <c r="F845" t="s">
        <v>17</v>
      </c>
      <c r="G845">
        <v>3</v>
      </c>
      <c r="H845" t="s">
        <v>159</v>
      </c>
      <c r="I845" t="b">
        <v>1</v>
      </c>
      <c r="J845" t="s">
        <v>19</v>
      </c>
      <c r="K845" s="10">
        <v>0.569444444444444</v>
      </c>
      <c r="L845" s="10">
        <v>0.602777777777778</v>
      </c>
      <c r="M845">
        <v>48</v>
      </c>
      <c r="N845" t="b">
        <v>1</v>
      </c>
      <c r="O845" t="s">
        <v>28</v>
      </c>
    </row>
    <row r="846" spans="1:15">
      <c r="A846">
        <v>845</v>
      </c>
      <c r="B846" t="s">
        <v>536</v>
      </c>
      <c r="C846" t="s">
        <v>25</v>
      </c>
      <c r="D846" s="9">
        <v>34704</v>
      </c>
      <c r="E846">
        <v>29</v>
      </c>
      <c r="F846" t="s">
        <v>21</v>
      </c>
      <c r="G846">
        <v>2</v>
      </c>
      <c r="H846" t="s">
        <v>133</v>
      </c>
      <c r="I846" t="b">
        <v>0</v>
      </c>
      <c r="K846" s="10">
        <v>0.714583333333333</v>
      </c>
      <c r="L846" s="10">
        <v>0.770833333333333</v>
      </c>
      <c r="M846">
        <v>81</v>
      </c>
      <c r="N846" t="b">
        <v>1</v>
      </c>
      <c r="O846" t="s">
        <v>50</v>
      </c>
    </row>
    <row r="847" spans="1:15">
      <c r="A847">
        <v>846</v>
      </c>
      <c r="B847" t="s">
        <v>1166</v>
      </c>
      <c r="C847" t="s">
        <v>25</v>
      </c>
      <c r="D847" s="9">
        <v>28869</v>
      </c>
      <c r="E847">
        <v>45</v>
      </c>
      <c r="F847" t="s">
        <v>21</v>
      </c>
      <c r="G847">
        <v>2</v>
      </c>
      <c r="H847" t="s">
        <v>40</v>
      </c>
      <c r="I847" t="b">
        <v>1</v>
      </c>
      <c r="J847" t="s">
        <v>1043</v>
      </c>
      <c r="K847" s="10">
        <v>0.665972222222222</v>
      </c>
      <c r="L847" s="10">
        <v>0.744444444444444</v>
      </c>
      <c r="M847">
        <v>113</v>
      </c>
      <c r="N847" t="b">
        <v>1</v>
      </c>
      <c r="O847" t="s">
        <v>50</v>
      </c>
    </row>
    <row r="848" spans="1:15">
      <c r="A848">
        <v>847</v>
      </c>
      <c r="B848" t="s">
        <v>1167</v>
      </c>
      <c r="C848" t="s">
        <v>25</v>
      </c>
      <c r="D848" s="9">
        <v>34648</v>
      </c>
      <c r="E848">
        <v>29</v>
      </c>
      <c r="F848" t="s">
        <v>21</v>
      </c>
      <c r="G848">
        <v>1</v>
      </c>
      <c r="H848" t="s">
        <v>185</v>
      </c>
      <c r="I848" t="b">
        <v>0</v>
      </c>
      <c r="K848" s="10">
        <v>0.863194444444444</v>
      </c>
      <c r="L848" s="10">
        <v>0.959027777777778</v>
      </c>
      <c r="M848">
        <v>138</v>
      </c>
      <c r="N848" t="b">
        <v>1</v>
      </c>
      <c r="O848" t="s">
        <v>28</v>
      </c>
    </row>
    <row r="849" spans="1:15">
      <c r="A849">
        <v>848</v>
      </c>
      <c r="B849" t="s">
        <v>1168</v>
      </c>
      <c r="C849" t="s">
        <v>25</v>
      </c>
      <c r="D849" s="9">
        <v>36697</v>
      </c>
      <c r="E849">
        <v>24</v>
      </c>
      <c r="F849" t="s">
        <v>21</v>
      </c>
      <c r="G849">
        <v>3</v>
      </c>
      <c r="H849" t="s">
        <v>245</v>
      </c>
      <c r="I849" t="b">
        <v>1</v>
      </c>
      <c r="J849" t="s">
        <v>93</v>
      </c>
      <c r="K849" s="10">
        <v>0.5</v>
      </c>
      <c r="L849" s="10">
        <v>0.538194444444444</v>
      </c>
      <c r="M849">
        <v>55</v>
      </c>
      <c r="N849" t="b">
        <v>0</v>
      </c>
    </row>
    <row r="850" spans="1:15">
      <c r="A850">
        <v>849</v>
      </c>
      <c r="B850" t="s">
        <v>1169</v>
      </c>
      <c r="C850" t="s">
        <v>16</v>
      </c>
      <c r="D850" s="9">
        <v>31155</v>
      </c>
      <c r="E850">
        <v>39</v>
      </c>
      <c r="F850" t="s">
        <v>17</v>
      </c>
      <c r="G850">
        <v>3</v>
      </c>
      <c r="H850" t="s">
        <v>245</v>
      </c>
      <c r="I850" t="b">
        <v>1</v>
      </c>
      <c r="J850" t="s">
        <v>1170</v>
      </c>
      <c r="K850" s="10">
        <v>0.692361111111111</v>
      </c>
      <c r="L850" s="10">
        <v>0.814583333333333</v>
      </c>
      <c r="M850">
        <v>176</v>
      </c>
      <c r="N850" t="b">
        <v>1</v>
      </c>
      <c r="O850" t="s">
        <v>47</v>
      </c>
    </row>
    <row r="851" spans="1:15">
      <c r="A851">
        <v>850</v>
      </c>
      <c r="B851" t="s">
        <v>1171</v>
      </c>
      <c r="C851" t="s">
        <v>25</v>
      </c>
      <c r="D851" s="9">
        <v>33318</v>
      </c>
      <c r="E851">
        <v>33</v>
      </c>
      <c r="F851" t="s">
        <v>21</v>
      </c>
      <c r="G851">
        <v>2</v>
      </c>
      <c r="H851" t="s">
        <v>187</v>
      </c>
      <c r="I851" t="b">
        <v>1</v>
      </c>
      <c r="J851" t="s">
        <v>1172</v>
      </c>
      <c r="K851" s="10">
        <v>0.622222222222222</v>
      </c>
      <c r="L851" s="10">
        <v>0.684722222222222</v>
      </c>
      <c r="M851">
        <v>90</v>
      </c>
      <c r="N851" t="b">
        <v>1</v>
      </c>
      <c r="O851" t="s">
        <v>28</v>
      </c>
    </row>
    <row r="852" spans="1:15">
      <c r="A852">
        <v>851</v>
      </c>
      <c r="B852" t="s">
        <v>1173</v>
      </c>
      <c r="C852" t="s">
        <v>16</v>
      </c>
      <c r="D852" s="9">
        <v>39317</v>
      </c>
      <c r="E852">
        <v>17</v>
      </c>
      <c r="F852" t="s">
        <v>21</v>
      </c>
      <c r="G852">
        <v>2</v>
      </c>
      <c r="H852" t="s">
        <v>133</v>
      </c>
      <c r="I852" t="b">
        <v>0</v>
      </c>
      <c r="K852" s="10">
        <v>0.3375</v>
      </c>
      <c r="L852" s="10">
        <v>0.405555555555556</v>
      </c>
      <c r="M852">
        <v>98</v>
      </c>
      <c r="N852" t="b">
        <v>0</v>
      </c>
    </row>
    <row r="853" spans="1:15">
      <c r="A853">
        <v>852</v>
      </c>
      <c r="B853" t="s">
        <v>1174</v>
      </c>
      <c r="C853" t="s">
        <v>16</v>
      </c>
      <c r="D853" s="9">
        <v>32737</v>
      </c>
      <c r="E853">
        <v>35</v>
      </c>
      <c r="F853" t="s">
        <v>21</v>
      </c>
      <c r="G853">
        <v>4</v>
      </c>
      <c r="H853" t="s">
        <v>672</v>
      </c>
      <c r="I853" t="b">
        <v>0</v>
      </c>
      <c r="K853" s="10">
        <v>0.654861111111111</v>
      </c>
      <c r="L853" s="10">
        <v>0.730555555555556</v>
      </c>
      <c r="M853">
        <v>109</v>
      </c>
      <c r="N853" t="b">
        <v>1</v>
      </c>
      <c r="O853" t="s">
        <v>50</v>
      </c>
    </row>
    <row r="854" spans="1:15">
      <c r="A854">
        <v>853</v>
      </c>
      <c r="B854" t="s">
        <v>1175</v>
      </c>
      <c r="C854" t="s">
        <v>25</v>
      </c>
      <c r="D854" s="9">
        <v>31241</v>
      </c>
      <c r="E854">
        <v>39</v>
      </c>
      <c r="F854" t="s">
        <v>17</v>
      </c>
      <c r="G854">
        <v>3</v>
      </c>
      <c r="H854" t="s">
        <v>251</v>
      </c>
      <c r="I854" t="b">
        <v>1</v>
      </c>
      <c r="J854" t="s">
        <v>1176</v>
      </c>
      <c r="K854" s="10">
        <v>0.511111111111111</v>
      </c>
      <c r="L854" s="10">
        <v>0.6125</v>
      </c>
      <c r="M854">
        <v>146</v>
      </c>
      <c r="N854" t="b">
        <v>0</v>
      </c>
    </row>
    <row r="855" spans="1:15">
      <c r="A855">
        <v>854</v>
      </c>
      <c r="B855" t="s">
        <v>1177</v>
      </c>
      <c r="C855" t="s">
        <v>16</v>
      </c>
      <c r="D855" s="9">
        <v>36097</v>
      </c>
      <c r="E855">
        <v>25</v>
      </c>
      <c r="F855" t="s">
        <v>17</v>
      </c>
      <c r="G855">
        <v>2</v>
      </c>
      <c r="H855" t="s">
        <v>203</v>
      </c>
      <c r="I855" t="b">
        <v>0</v>
      </c>
      <c r="K855" s="10">
        <v>0.847222222222222</v>
      </c>
      <c r="L855" s="10">
        <v>0.969444444444444</v>
      </c>
      <c r="M855">
        <v>176</v>
      </c>
      <c r="N855" t="b">
        <v>0</v>
      </c>
    </row>
    <row r="856" spans="1:15">
      <c r="A856">
        <v>855</v>
      </c>
      <c r="B856" t="s">
        <v>1178</v>
      </c>
      <c r="C856" t="s">
        <v>25</v>
      </c>
      <c r="D856" s="9">
        <v>40258</v>
      </c>
      <c r="E856">
        <v>14</v>
      </c>
      <c r="F856" t="s">
        <v>17</v>
      </c>
      <c r="G856">
        <v>1</v>
      </c>
      <c r="H856" t="s">
        <v>81</v>
      </c>
      <c r="I856" t="b">
        <v>0</v>
      </c>
      <c r="K856" s="10">
        <v>0.506944444444444</v>
      </c>
      <c r="L856" s="10">
        <v>0.55</v>
      </c>
      <c r="M856">
        <v>62</v>
      </c>
      <c r="N856" t="b">
        <v>0</v>
      </c>
    </row>
    <row r="857" spans="1:15">
      <c r="A857">
        <v>856</v>
      </c>
      <c r="B857" t="s">
        <v>1179</v>
      </c>
      <c r="C857" t="s">
        <v>16</v>
      </c>
      <c r="D857" s="9">
        <v>30930</v>
      </c>
      <c r="E857">
        <v>40</v>
      </c>
      <c r="F857" t="s">
        <v>21</v>
      </c>
      <c r="G857">
        <v>3</v>
      </c>
      <c r="H857" t="s">
        <v>22</v>
      </c>
      <c r="I857" t="b">
        <v>1</v>
      </c>
      <c r="J857" t="s">
        <v>230</v>
      </c>
      <c r="K857" s="10">
        <v>0.711805555555555</v>
      </c>
      <c r="L857" s="10">
        <v>0.734027777777778</v>
      </c>
      <c r="M857">
        <v>32</v>
      </c>
      <c r="N857" t="b">
        <v>1</v>
      </c>
      <c r="O857" t="s">
        <v>28</v>
      </c>
    </row>
    <row r="858" spans="1:15">
      <c r="A858">
        <v>857</v>
      </c>
      <c r="B858" t="s">
        <v>1180</v>
      </c>
      <c r="C858" t="s">
        <v>16</v>
      </c>
      <c r="D858" s="9">
        <v>36256</v>
      </c>
      <c r="E858">
        <v>25</v>
      </c>
      <c r="F858" t="s">
        <v>17</v>
      </c>
      <c r="G858">
        <v>1</v>
      </c>
      <c r="H858" t="s">
        <v>46</v>
      </c>
      <c r="I858" t="b">
        <v>0</v>
      </c>
      <c r="K858" s="10">
        <v>0.663194444444444</v>
      </c>
      <c r="L858" s="10">
        <v>0.702777777777778</v>
      </c>
      <c r="M858">
        <v>57</v>
      </c>
      <c r="N858" t="b">
        <v>0</v>
      </c>
    </row>
    <row r="859" spans="1:15">
      <c r="A859">
        <v>858</v>
      </c>
      <c r="B859" t="s">
        <v>1181</v>
      </c>
      <c r="C859" t="s">
        <v>16</v>
      </c>
      <c r="D859" s="9">
        <v>32172</v>
      </c>
      <c r="E859">
        <v>36</v>
      </c>
      <c r="F859" t="s">
        <v>17</v>
      </c>
      <c r="G859">
        <v>2</v>
      </c>
      <c r="H859" t="s">
        <v>189</v>
      </c>
      <c r="I859" t="b">
        <v>1</v>
      </c>
      <c r="J859" t="s">
        <v>1182</v>
      </c>
      <c r="K859" s="10">
        <v>0.430555555555556</v>
      </c>
      <c r="L859" s="10">
        <v>0.538888888888889</v>
      </c>
      <c r="M859">
        <v>156</v>
      </c>
      <c r="N859" t="b">
        <v>1</v>
      </c>
      <c r="O859" t="s">
        <v>47</v>
      </c>
    </row>
    <row r="860" spans="1:15">
      <c r="A860">
        <v>859</v>
      </c>
      <c r="B860" t="s">
        <v>1183</v>
      </c>
      <c r="C860" t="s">
        <v>25</v>
      </c>
      <c r="D860" s="9">
        <v>36161</v>
      </c>
      <c r="E860">
        <v>25</v>
      </c>
      <c r="F860" t="s">
        <v>17</v>
      </c>
      <c r="G860">
        <v>3</v>
      </c>
      <c r="H860" t="s">
        <v>215</v>
      </c>
      <c r="I860" t="b">
        <v>1</v>
      </c>
      <c r="J860" t="s">
        <v>230</v>
      </c>
      <c r="K860" s="10">
        <v>0.614583333333333</v>
      </c>
      <c r="L860" s="10">
        <v>0.697222222222222</v>
      </c>
      <c r="M860">
        <v>119</v>
      </c>
      <c r="N860" t="b">
        <v>0</v>
      </c>
    </row>
    <row r="861" spans="1:15">
      <c r="A861">
        <v>860</v>
      </c>
      <c r="B861" t="s">
        <v>1184</v>
      </c>
      <c r="C861" t="s">
        <v>16</v>
      </c>
      <c r="D861" s="9">
        <v>36510</v>
      </c>
      <c r="E861">
        <v>24</v>
      </c>
      <c r="F861" t="s">
        <v>17</v>
      </c>
      <c r="G861">
        <v>2</v>
      </c>
      <c r="H861" t="s">
        <v>32</v>
      </c>
      <c r="I861" t="b">
        <v>1</v>
      </c>
      <c r="J861" t="s">
        <v>699</v>
      </c>
      <c r="K861" s="10">
        <v>0.772916666666667</v>
      </c>
      <c r="L861" s="10">
        <v>0.892361111111111</v>
      </c>
      <c r="M861">
        <v>172</v>
      </c>
      <c r="N861" t="b">
        <v>0</v>
      </c>
    </row>
    <row r="862" spans="1:15">
      <c r="A862">
        <v>861</v>
      </c>
      <c r="B862" t="s">
        <v>1185</v>
      </c>
      <c r="C862" t="s">
        <v>16</v>
      </c>
      <c r="D862" s="9">
        <v>32606</v>
      </c>
      <c r="E862">
        <v>35</v>
      </c>
      <c r="F862" t="s">
        <v>17</v>
      </c>
      <c r="G862">
        <v>2</v>
      </c>
      <c r="H862" t="s">
        <v>72</v>
      </c>
      <c r="I862" t="b">
        <v>1</v>
      </c>
      <c r="J862" t="s">
        <v>762</v>
      </c>
      <c r="K862" s="10">
        <v>0.598611111111111</v>
      </c>
      <c r="L862" s="10">
        <v>0.668055555555556</v>
      </c>
      <c r="M862">
        <v>100</v>
      </c>
      <c r="N862" t="b">
        <v>0</v>
      </c>
    </row>
    <row r="863" spans="1:15">
      <c r="A863">
        <v>862</v>
      </c>
      <c r="B863" t="s">
        <v>1186</v>
      </c>
      <c r="C863" t="s">
        <v>25</v>
      </c>
      <c r="D863" s="9">
        <v>33971</v>
      </c>
      <c r="E863">
        <v>31</v>
      </c>
      <c r="F863" t="s">
        <v>21</v>
      </c>
      <c r="G863">
        <v>4</v>
      </c>
      <c r="H863" t="s">
        <v>212</v>
      </c>
      <c r="I863" t="b">
        <v>1</v>
      </c>
      <c r="J863" t="s">
        <v>380</v>
      </c>
      <c r="K863" s="10">
        <v>0.721527777777778</v>
      </c>
      <c r="L863" s="10">
        <v>0.763888888888889</v>
      </c>
      <c r="M863">
        <v>61</v>
      </c>
      <c r="N863" t="b">
        <v>1</v>
      </c>
      <c r="O863" t="s">
        <v>28</v>
      </c>
    </row>
    <row r="864" spans="1:15">
      <c r="A864">
        <v>863</v>
      </c>
      <c r="B864" t="s">
        <v>1187</v>
      </c>
      <c r="C864" t="s">
        <v>25</v>
      </c>
      <c r="D864" s="9">
        <v>33850</v>
      </c>
      <c r="E864">
        <v>32</v>
      </c>
      <c r="F864" t="s">
        <v>17</v>
      </c>
      <c r="G864">
        <v>5</v>
      </c>
      <c r="H864" t="s">
        <v>109</v>
      </c>
      <c r="I864" t="b">
        <v>0</v>
      </c>
      <c r="K864" s="10">
        <v>0.463888888888889</v>
      </c>
      <c r="L864" s="10">
        <v>0.539583333333333</v>
      </c>
      <c r="M864">
        <v>109</v>
      </c>
      <c r="N864" t="b">
        <v>0</v>
      </c>
    </row>
    <row r="865" spans="1:15">
      <c r="A865">
        <v>864</v>
      </c>
      <c r="B865" t="s">
        <v>1188</v>
      </c>
      <c r="C865" t="s">
        <v>25</v>
      </c>
      <c r="D865" s="9">
        <v>28027</v>
      </c>
      <c r="E865">
        <v>48</v>
      </c>
      <c r="F865" t="s">
        <v>17</v>
      </c>
      <c r="G865">
        <v>3</v>
      </c>
      <c r="H865" t="s">
        <v>222</v>
      </c>
      <c r="I865" t="b">
        <v>1</v>
      </c>
      <c r="J865" t="s">
        <v>83</v>
      </c>
      <c r="K865" s="10">
        <v>0.667361111111111</v>
      </c>
      <c r="L865" s="10">
        <v>0.701388888888889</v>
      </c>
      <c r="M865">
        <v>49</v>
      </c>
      <c r="N865" t="b">
        <v>1</v>
      </c>
      <c r="O865" t="s">
        <v>50</v>
      </c>
    </row>
    <row r="866" spans="1:15">
      <c r="A866">
        <v>865</v>
      </c>
      <c r="B866" t="s">
        <v>1189</v>
      </c>
      <c r="C866" t="s">
        <v>25</v>
      </c>
      <c r="D866" s="9">
        <v>28932</v>
      </c>
      <c r="E866">
        <v>45</v>
      </c>
      <c r="F866" t="s">
        <v>21</v>
      </c>
      <c r="G866">
        <v>4</v>
      </c>
      <c r="H866" t="s">
        <v>1084</v>
      </c>
      <c r="I866" t="b">
        <v>0</v>
      </c>
      <c r="K866" s="10">
        <v>0.471527777777778</v>
      </c>
      <c r="L866" s="10">
        <v>0.543055555555556</v>
      </c>
      <c r="M866">
        <v>103</v>
      </c>
      <c r="N866" t="b">
        <v>1</v>
      </c>
      <c r="O866" t="s">
        <v>50</v>
      </c>
    </row>
    <row r="867" spans="1:15">
      <c r="A867">
        <v>866</v>
      </c>
      <c r="B867" t="s">
        <v>1190</v>
      </c>
      <c r="C867" t="s">
        <v>16</v>
      </c>
      <c r="D867" s="9">
        <v>37447</v>
      </c>
      <c r="E867">
        <v>22</v>
      </c>
      <c r="F867" t="s">
        <v>17</v>
      </c>
      <c r="G867">
        <v>3</v>
      </c>
      <c r="H867" t="s">
        <v>215</v>
      </c>
      <c r="I867" t="b">
        <v>1</v>
      </c>
      <c r="J867" t="s">
        <v>174</v>
      </c>
      <c r="K867" s="10">
        <v>0.490277777777778</v>
      </c>
      <c r="L867" s="10">
        <v>0.572916666666667</v>
      </c>
      <c r="M867">
        <v>119</v>
      </c>
      <c r="N867" t="b">
        <v>1</v>
      </c>
      <c r="O867" t="s">
        <v>23</v>
      </c>
    </row>
    <row r="868" spans="1:15">
      <c r="A868">
        <v>867</v>
      </c>
      <c r="B868" t="s">
        <v>1191</v>
      </c>
      <c r="C868" t="s">
        <v>16</v>
      </c>
      <c r="D868" s="9">
        <v>31024</v>
      </c>
      <c r="E868">
        <v>39</v>
      </c>
      <c r="F868" t="s">
        <v>21</v>
      </c>
      <c r="G868">
        <v>5</v>
      </c>
      <c r="H868" t="s">
        <v>347</v>
      </c>
      <c r="I868" t="b">
        <v>1</v>
      </c>
      <c r="J868" t="s">
        <v>784</v>
      </c>
      <c r="K868" s="10">
        <v>0.670138888888889</v>
      </c>
      <c r="L868" s="10">
        <v>0.707638888888889</v>
      </c>
      <c r="M868">
        <v>54</v>
      </c>
      <c r="N868" t="b">
        <v>1</v>
      </c>
      <c r="O868" t="s">
        <v>28</v>
      </c>
    </row>
    <row r="869" spans="1:15">
      <c r="A869">
        <v>868</v>
      </c>
      <c r="B869" t="s">
        <v>1192</v>
      </c>
      <c r="C869" t="s">
        <v>16</v>
      </c>
      <c r="D869" s="9">
        <v>28889</v>
      </c>
      <c r="E869">
        <v>45</v>
      </c>
      <c r="F869" t="s">
        <v>21</v>
      </c>
      <c r="G869">
        <v>2</v>
      </c>
      <c r="H869" t="s">
        <v>40</v>
      </c>
      <c r="I869" t="b">
        <v>1</v>
      </c>
      <c r="J869" t="s">
        <v>768</v>
      </c>
      <c r="K869" s="10">
        <v>0.768055555555556</v>
      </c>
      <c r="L869" s="10">
        <v>0.822916666666667</v>
      </c>
      <c r="M869">
        <v>79</v>
      </c>
      <c r="N869" t="b">
        <v>1</v>
      </c>
      <c r="O869" t="s">
        <v>28</v>
      </c>
    </row>
    <row r="870" spans="1:15">
      <c r="A870">
        <v>869</v>
      </c>
      <c r="B870" t="s">
        <v>1193</v>
      </c>
      <c r="C870" t="s">
        <v>16</v>
      </c>
      <c r="D870" s="9">
        <v>39201</v>
      </c>
      <c r="E870">
        <v>17</v>
      </c>
      <c r="F870" t="s">
        <v>21</v>
      </c>
      <c r="G870">
        <v>2</v>
      </c>
      <c r="H870" t="s">
        <v>133</v>
      </c>
      <c r="I870" t="b">
        <v>1</v>
      </c>
      <c r="J870" t="s">
        <v>114</v>
      </c>
      <c r="K870" s="10">
        <v>0.50625</v>
      </c>
      <c r="L870" s="10">
        <v>0.601388888888889</v>
      </c>
      <c r="M870">
        <v>137</v>
      </c>
      <c r="N870" t="b">
        <v>1</v>
      </c>
      <c r="O870" t="s">
        <v>28</v>
      </c>
    </row>
    <row r="871" spans="1:15">
      <c r="A871">
        <v>870</v>
      </c>
      <c r="B871" t="s">
        <v>1012</v>
      </c>
      <c r="C871" t="s">
        <v>25</v>
      </c>
      <c r="D871" s="9">
        <v>32794</v>
      </c>
      <c r="E871">
        <v>34</v>
      </c>
      <c r="F871" t="s">
        <v>21</v>
      </c>
      <c r="G871">
        <v>2</v>
      </c>
      <c r="H871" t="s">
        <v>121</v>
      </c>
      <c r="I871" t="b">
        <v>1</v>
      </c>
      <c r="J871" t="s">
        <v>1194</v>
      </c>
      <c r="K871" s="10">
        <v>0.540972222222222</v>
      </c>
      <c r="L871" s="10">
        <v>0.563194444444444</v>
      </c>
      <c r="M871">
        <v>32</v>
      </c>
      <c r="N871" t="b">
        <v>0</v>
      </c>
    </row>
    <row r="872" spans="1:15">
      <c r="A872">
        <v>871</v>
      </c>
      <c r="B872" t="s">
        <v>1195</v>
      </c>
      <c r="C872" t="s">
        <v>16</v>
      </c>
      <c r="D872" s="9">
        <v>33428</v>
      </c>
      <c r="E872">
        <v>33</v>
      </c>
      <c r="F872" t="s">
        <v>17</v>
      </c>
      <c r="G872">
        <v>5</v>
      </c>
      <c r="H872" t="s">
        <v>289</v>
      </c>
      <c r="I872" t="b">
        <v>1</v>
      </c>
      <c r="J872" t="s">
        <v>107</v>
      </c>
      <c r="K872" s="10">
        <v>0.514583333333333</v>
      </c>
      <c r="L872" s="10">
        <v>0.613194444444444</v>
      </c>
      <c r="M872">
        <v>142</v>
      </c>
      <c r="N872" t="b">
        <v>0</v>
      </c>
    </row>
    <row r="873" spans="1:15">
      <c r="A873">
        <v>872</v>
      </c>
      <c r="B873" t="s">
        <v>436</v>
      </c>
      <c r="C873" t="s">
        <v>25</v>
      </c>
      <c r="D873" s="9">
        <v>40382</v>
      </c>
      <c r="E873">
        <v>14</v>
      </c>
      <c r="F873" t="s">
        <v>21</v>
      </c>
      <c r="G873">
        <v>2</v>
      </c>
      <c r="H873" t="s">
        <v>187</v>
      </c>
      <c r="I873" t="b">
        <v>0</v>
      </c>
      <c r="K873" s="10">
        <v>0.406944444444444</v>
      </c>
      <c r="L873" s="10">
        <v>0.480555555555556</v>
      </c>
      <c r="M873">
        <v>106</v>
      </c>
      <c r="N873" t="b">
        <v>0</v>
      </c>
    </row>
    <row r="874" spans="1:15">
      <c r="A874">
        <v>873</v>
      </c>
      <c r="B874" t="s">
        <v>1196</v>
      </c>
      <c r="C874" t="s">
        <v>25</v>
      </c>
      <c r="D874" s="9">
        <v>30828</v>
      </c>
      <c r="E874">
        <v>40</v>
      </c>
      <c r="F874" t="s">
        <v>21</v>
      </c>
      <c r="G874">
        <v>1</v>
      </c>
      <c r="H874" t="s">
        <v>59</v>
      </c>
      <c r="I874" t="b">
        <v>0</v>
      </c>
      <c r="K874" s="10">
        <v>0.852083333333333</v>
      </c>
      <c r="L874" s="10">
        <v>0.938888888888889</v>
      </c>
      <c r="M874">
        <v>125</v>
      </c>
      <c r="N874" t="b">
        <v>0</v>
      </c>
    </row>
    <row r="875" spans="1:15">
      <c r="A875">
        <v>874</v>
      </c>
      <c r="B875" t="s">
        <v>590</v>
      </c>
      <c r="C875" t="s">
        <v>16</v>
      </c>
      <c r="D875" s="9">
        <v>37124</v>
      </c>
      <c r="E875">
        <v>23</v>
      </c>
      <c r="F875" t="s">
        <v>17</v>
      </c>
      <c r="G875">
        <v>2</v>
      </c>
      <c r="H875" t="s">
        <v>306</v>
      </c>
      <c r="I875" t="b">
        <v>1</v>
      </c>
      <c r="J875" t="s">
        <v>1197</v>
      </c>
      <c r="K875" s="10">
        <v>0.6125</v>
      </c>
      <c r="L875" s="10">
        <v>0.669444444444444</v>
      </c>
      <c r="M875">
        <v>82</v>
      </c>
      <c r="N875" t="b">
        <v>1</v>
      </c>
      <c r="O875" t="s">
        <v>47</v>
      </c>
    </row>
    <row r="876" spans="1:15">
      <c r="A876">
        <v>875</v>
      </c>
      <c r="B876" t="s">
        <v>868</v>
      </c>
      <c r="C876" t="s">
        <v>25</v>
      </c>
      <c r="D876" s="9">
        <v>40194</v>
      </c>
      <c r="E876">
        <v>14</v>
      </c>
      <c r="F876" t="s">
        <v>17</v>
      </c>
      <c r="G876">
        <v>2</v>
      </c>
      <c r="H876" t="s">
        <v>306</v>
      </c>
      <c r="I876" t="b">
        <v>1</v>
      </c>
      <c r="J876" t="s">
        <v>134</v>
      </c>
      <c r="K876" s="10">
        <v>0.572916666666667</v>
      </c>
      <c r="L876" s="10">
        <v>0.611805555555556</v>
      </c>
      <c r="M876">
        <v>56</v>
      </c>
      <c r="N876" t="b">
        <v>0</v>
      </c>
    </row>
    <row r="877" spans="1:15">
      <c r="A877">
        <v>876</v>
      </c>
      <c r="B877" t="s">
        <v>1198</v>
      </c>
      <c r="C877" t="s">
        <v>16</v>
      </c>
      <c r="D877" s="9">
        <v>40925</v>
      </c>
      <c r="E877">
        <v>12</v>
      </c>
      <c r="F877" t="s">
        <v>21</v>
      </c>
      <c r="G877">
        <v>5</v>
      </c>
      <c r="H877" t="s">
        <v>177</v>
      </c>
      <c r="I877" t="b">
        <v>1</v>
      </c>
      <c r="J877" t="s">
        <v>1199</v>
      </c>
      <c r="K877" s="10">
        <v>0.772222222222222</v>
      </c>
      <c r="L877" s="10">
        <v>0.846527777777778</v>
      </c>
      <c r="M877">
        <v>107</v>
      </c>
      <c r="N877" t="b">
        <v>0</v>
      </c>
    </row>
    <row r="878" spans="1:15">
      <c r="A878">
        <v>877</v>
      </c>
      <c r="B878" t="s">
        <v>1200</v>
      </c>
      <c r="C878" t="s">
        <v>25</v>
      </c>
      <c r="D878" s="9">
        <v>39940</v>
      </c>
      <c r="E878">
        <v>15</v>
      </c>
      <c r="F878" t="s">
        <v>21</v>
      </c>
      <c r="G878">
        <v>2</v>
      </c>
      <c r="H878" t="s">
        <v>461</v>
      </c>
      <c r="I878" t="b">
        <v>0</v>
      </c>
      <c r="K878" s="10">
        <v>0.383333333333333</v>
      </c>
      <c r="L878" s="10">
        <v>0.454166666666667</v>
      </c>
      <c r="M878">
        <v>102</v>
      </c>
      <c r="N878" t="b">
        <v>1</v>
      </c>
      <c r="O878" t="s">
        <v>50</v>
      </c>
    </row>
    <row r="879" spans="1:15">
      <c r="A879">
        <v>878</v>
      </c>
      <c r="B879" t="s">
        <v>959</v>
      </c>
      <c r="C879" t="s">
        <v>16</v>
      </c>
      <c r="D879" s="9">
        <v>38147</v>
      </c>
      <c r="E879">
        <v>20</v>
      </c>
      <c r="F879" t="s">
        <v>17</v>
      </c>
      <c r="G879">
        <v>3</v>
      </c>
      <c r="H879" t="s">
        <v>266</v>
      </c>
      <c r="I879" t="b">
        <v>0</v>
      </c>
      <c r="K879" s="10">
        <v>0.586111111111111</v>
      </c>
      <c r="L879" s="10">
        <v>0.645833333333333</v>
      </c>
      <c r="M879">
        <v>86</v>
      </c>
      <c r="N879" t="b">
        <v>0</v>
      </c>
    </row>
    <row r="880" spans="1:15">
      <c r="A880">
        <v>879</v>
      </c>
      <c r="B880" t="s">
        <v>1201</v>
      </c>
      <c r="C880" t="s">
        <v>16</v>
      </c>
      <c r="D880" s="9">
        <v>37612</v>
      </c>
      <c r="E880">
        <v>21</v>
      </c>
      <c r="F880" t="s">
        <v>17</v>
      </c>
      <c r="G880">
        <v>3</v>
      </c>
      <c r="H880" t="s">
        <v>79</v>
      </c>
      <c r="I880" t="b">
        <v>0</v>
      </c>
      <c r="K880" s="10">
        <v>0.44375</v>
      </c>
      <c r="L880" s="10">
        <v>0.480555555555556</v>
      </c>
      <c r="M880">
        <v>53</v>
      </c>
      <c r="N880" t="b">
        <v>1</v>
      </c>
      <c r="O880" t="s">
        <v>23</v>
      </c>
    </row>
    <row r="881" spans="1:15">
      <c r="A881">
        <v>880</v>
      </c>
      <c r="B881" t="s">
        <v>1202</v>
      </c>
      <c r="C881" t="s">
        <v>16</v>
      </c>
      <c r="D881" s="9">
        <v>34735</v>
      </c>
      <c r="E881">
        <v>29</v>
      </c>
      <c r="F881" t="s">
        <v>17</v>
      </c>
      <c r="G881">
        <v>2</v>
      </c>
      <c r="H881" t="s">
        <v>203</v>
      </c>
      <c r="I881" t="b">
        <v>0</v>
      </c>
      <c r="K881" s="10">
        <v>0.459722222222222</v>
      </c>
      <c r="L881" s="10">
        <v>0.574305555555556</v>
      </c>
      <c r="M881">
        <v>165</v>
      </c>
      <c r="N881" t="b">
        <v>1</v>
      </c>
      <c r="O881" t="s">
        <v>23</v>
      </c>
    </row>
    <row r="882" spans="1:15">
      <c r="A882">
        <v>881</v>
      </c>
      <c r="B882" t="s">
        <v>449</v>
      </c>
      <c r="C882" t="s">
        <v>25</v>
      </c>
      <c r="D882" s="9">
        <v>36791</v>
      </c>
      <c r="E882">
        <v>24</v>
      </c>
      <c r="F882" t="s">
        <v>21</v>
      </c>
      <c r="G882">
        <v>3</v>
      </c>
      <c r="H882" t="s">
        <v>79</v>
      </c>
      <c r="I882" t="b">
        <v>0</v>
      </c>
      <c r="K882" s="10">
        <v>0.448611111111111</v>
      </c>
      <c r="L882" s="10">
        <v>0.5</v>
      </c>
      <c r="M882">
        <v>74</v>
      </c>
      <c r="N882" t="b">
        <v>1</v>
      </c>
      <c r="O882" t="s">
        <v>47</v>
      </c>
    </row>
    <row r="883" spans="1:15">
      <c r="A883">
        <v>882</v>
      </c>
      <c r="B883" t="s">
        <v>1203</v>
      </c>
      <c r="C883" t="s">
        <v>16</v>
      </c>
      <c r="D883" s="9">
        <v>34803</v>
      </c>
      <c r="E883">
        <v>29</v>
      </c>
      <c r="F883" t="s">
        <v>21</v>
      </c>
      <c r="G883">
        <v>2</v>
      </c>
      <c r="H883" t="s">
        <v>259</v>
      </c>
      <c r="I883" t="b">
        <v>0</v>
      </c>
      <c r="K883" s="10">
        <v>0.652083333333333</v>
      </c>
      <c r="L883" s="10">
        <v>0.755555555555556</v>
      </c>
      <c r="M883">
        <v>149</v>
      </c>
      <c r="N883" t="b">
        <v>1</v>
      </c>
      <c r="O883" t="s">
        <v>50</v>
      </c>
    </row>
    <row r="884" spans="1:15">
      <c r="A884">
        <v>883</v>
      </c>
      <c r="B884" t="s">
        <v>1204</v>
      </c>
      <c r="C884" t="s">
        <v>16</v>
      </c>
      <c r="D884" s="9">
        <v>40455</v>
      </c>
      <c r="E884">
        <v>13</v>
      </c>
      <c r="F884" t="s">
        <v>17</v>
      </c>
      <c r="G884">
        <v>3</v>
      </c>
      <c r="H884" t="s">
        <v>315</v>
      </c>
      <c r="I884" t="b">
        <v>1</v>
      </c>
      <c r="J884" t="s">
        <v>1089</v>
      </c>
      <c r="K884" s="10">
        <v>0.646527777777778</v>
      </c>
      <c r="L884" s="10">
        <v>0.744444444444444</v>
      </c>
      <c r="M884">
        <v>141</v>
      </c>
      <c r="N884" t="b">
        <v>0</v>
      </c>
    </row>
    <row r="885" spans="1:15">
      <c r="A885">
        <v>884</v>
      </c>
      <c r="B885" t="s">
        <v>1205</v>
      </c>
      <c r="C885" t="s">
        <v>25</v>
      </c>
      <c r="D885" s="9">
        <v>27566</v>
      </c>
      <c r="E885">
        <v>49</v>
      </c>
      <c r="F885" t="s">
        <v>21</v>
      </c>
      <c r="G885">
        <v>1</v>
      </c>
      <c r="H885" t="s">
        <v>46</v>
      </c>
      <c r="I885" t="b">
        <v>1</v>
      </c>
      <c r="J885" t="s">
        <v>1206</v>
      </c>
      <c r="K885" s="10">
        <v>0.679166666666667</v>
      </c>
      <c r="L885" s="10">
        <v>0.743055555555555</v>
      </c>
      <c r="M885">
        <v>92</v>
      </c>
      <c r="N885" t="b">
        <v>0</v>
      </c>
    </row>
    <row r="886" spans="1:15">
      <c r="A886">
        <v>885</v>
      </c>
      <c r="B886" t="s">
        <v>1207</v>
      </c>
      <c r="C886" t="s">
        <v>16</v>
      </c>
      <c r="D886" s="9">
        <v>31993</v>
      </c>
      <c r="E886">
        <v>37</v>
      </c>
      <c r="F886" t="s">
        <v>21</v>
      </c>
      <c r="G886">
        <v>3</v>
      </c>
      <c r="H886" t="s">
        <v>148</v>
      </c>
      <c r="I886" t="b">
        <v>0</v>
      </c>
      <c r="K886" s="10">
        <v>0.60625</v>
      </c>
      <c r="L886" s="10">
        <v>0.673611111111111</v>
      </c>
      <c r="M886">
        <v>97</v>
      </c>
      <c r="N886" t="b">
        <v>0</v>
      </c>
    </row>
    <row r="887" spans="1:15">
      <c r="A887">
        <v>886</v>
      </c>
      <c r="B887" t="s">
        <v>1208</v>
      </c>
      <c r="C887" t="s">
        <v>16</v>
      </c>
      <c r="D887" s="9">
        <v>38431</v>
      </c>
      <c r="E887">
        <v>19</v>
      </c>
      <c r="F887" t="s">
        <v>21</v>
      </c>
      <c r="G887">
        <v>4</v>
      </c>
      <c r="H887" t="s">
        <v>168</v>
      </c>
      <c r="I887" t="b">
        <v>1</v>
      </c>
      <c r="J887" t="s">
        <v>1209</v>
      </c>
      <c r="K887" s="10">
        <v>0.657638888888889</v>
      </c>
      <c r="L887" s="10">
        <v>0.760416666666667</v>
      </c>
      <c r="M887">
        <v>148</v>
      </c>
      <c r="N887" t="b">
        <v>0</v>
      </c>
    </row>
    <row r="888" spans="1:15">
      <c r="A888">
        <v>887</v>
      </c>
      <c r="B888" t="s">
        <v>369</v>
      </c>
      <c r="C888" t="s">
        <v>25</v>
      </c>
      <c r="D888" s="9">
        <v>36823</v>
      </c>
      <c r="E888">
        <v>23</v>
      </c>
      <c r="F888" t="s">
        <v>17</v>
      </c>
      <c r="G888">
        <v>2</v>
      </c>
      <c r="H888" t="s">
        <v>509</v>
      </c>
      <c r="I888" t="b">
        <v>0</v>
      </c>
      <c r="K888" s="10">
        <v>0.794444444444444</v>
      </c>
      <c r="L888" s="10">
        <v>0.830555555555556</v>
      </c>
      <c r="M888">
        <v>52</v>
      </c>
      <c r="N888" t="b">
        <v>0</v>
      </c>
    </row>
    <row r="889" spans="1:15">
      <c r="A889">
        <v>888</v>
      </c>
      <c r="B889" t="s">
        <v>1210</v>
      </c>
      <c r="C889" t="s">
        <v>16</v>
      </c>
      <c r="D889" s="9">
        <v>33073</v>
      </c>
      <c r="E889">
        <v>34</v>
      </c>
      <c r="F889" t="s">
        <v>17</v>
      </c>
      <c r="G889">
        <v>2</v>
      </c>
      <c r="H889" t="s">
        <v>189</v>
      </c>
      <c r="I889" t="b">
        <v>0</v>
      </c>
      <c r="K889" s="10">
        <v>0.709722222222222</v>
      </c>
      <c r="L889" s="10">
        <v>0.751388888888889</v>
      </c>
      <c r="M889">
        <v>60</v>
      </c>
      <c r="N889" t="b">
        <v>1</v>
      </c>
      <c r="O889" t="s">
        <v>28</v>
      </c>
    </row>
    <row r="890" spans="1:15">
      <c r="A890">
        <v>889</v>
      </c>
      <c r="B890" t="s">
        <v>1211</v>
      </c>
      <c r="C890" t="s">
        <v>25</v>
      </c>
      <c r="D890" s="9">
        <v>38771</v>
      </c>
      <c r="E890">
        <v>18</v>
      </c>
      <c r="F890" t="s">
        <v>17</v>
      </c>
      <c r="G890">
        <v>3</v>
      </c>
      <c r="H890" t="s">
        <v>245</v>
      </c>
      <c r="I890" t="b">
        <v>1</v>
      </c>
      <c r="J890" t="s">
        <v>1212</v>
      </c>
      <c r="K890" s="10">
        <v>0.486805555555556</v>
      </c>
      <c r="L890" s="10">
        <v>0.576388888888889</v>
      </c>
      <c r="M890">
        <v>129</v>
      </c>
      <c r="N890" t="b">
        <v>0</v>
      </c>
    </row>
    <row r="891" spans="1:15">
      <c r="A891">
        <v>890</v>
      </c>
      <c r="B891" t="s">
        <v>1213</v>
      </c>
      <c r="C891" t="s">
        <v>25</v>
      </c>
      <c r="D891" s="9">
        <v>35670</v>
      </c>
      <c r="E891">
        <v>27</v>
      </c>
      <c r="F891" t="s">
        <v>17</v>
      </c>
      <c r="G891">
        <v>3</v>
      </c>
      <c r="H891" t="s">
        <v>315</v>
      </c>
      <c r="I891" t="b">
        <v>0</v>
      </c>
      <c r="K891" s="10">
        <v>0.845833333333333</v>
      </c>
      <c r="L891" s="10">
        <v>0.879166666666667</v>
      </c>
      <c r="M891">
        <v>48</v>
      </c>
      <c r="N891" t="b">
        <v>1</v>
      </c>
      <c r="O891" t="s">
        <v>50</v>
      </c>
    </row>
    <row r="892" spans="1:15">
      <c r="A892">
        <v>891</v>
      </c>
      <c r="B892" t="s">
        <v>1214</v>
      </c>
      <c r="C892" t="s">
        <v>25</v>
      </c>
      <c r="D892" s="9">
        <v>28387</v>
      </c>
      <c r="E892">
        <v>47</v>
      </c>
      <c r="F892" t="s">
        <v>17</v>
      </c>
      <c r="G892">
        <v>5</v>
      </c>
      <c r="H892" t="s">
        <v>863</v>
      </c>
      <c r="I892" t="b">
        <v>0</v>
      </c>
      <c r="K892" s="10">
        <v>0.476388888888889</v>
      </c>
      <c r="L892" s="10">
        <v>0.594444444444444</v>
      </c>
      <c r="M892">
        <v>170</v>
      </c>
      <c r="N892" t="b">
        <v>0</v>
      </c>
    </row>
    <row r="893" spans="1:15">
      <c r="A893">
        <v>892</v>
      </c>
      <c r="B893" t="s">
        <v>1215</v>
      </c>
      <c r="C893" t="s">
        <v>25</v>
      </c>
      <c r="D893" s="9">
        <v>34298</v>
      </c>
      <c r="E893">
        <v>30</v>
      </c>
      <c r="F893" t="s">
        <v>21</v>
      </c>
      <c r="G893">
        <v>2</v>
      </c>
      <c r="H893" t="s">
        <v>203</v>
      </c>
      <c r="I893" t="b">
        <v>0</v>
      </c>
      <c r="K893" s="10">
        <v>0.515277777777778</v>
      </c>
      <c r="L893" s="10">
        <v>0.543055555555556</v>
      </c>
      <c r="M893">
        <v>40</v>
      </c>
      <c r="N893" t="b">
        <v>1</v>
      </c>
      <c r="O893" t="s">
        <v>28</v>
      </c>
    </row>
    <row r="894" spans="1:15">
      <c r="A894">
        <v>893</v>
      </c>
      <c r="B894" t="s">
        <v>42</v>
      </c>
      <c r="C894" t="s">
        <v>25</v>
      </c>
      <c r="D894" s="9">
        <v>30938</v>
      </c>
      <c r="E894">
        <v>40</v>
      </c>
      <c r="F894" t="s">
        <v>17</v>
      </c>
      <c r="G894">
        <v>2</v>
      </c>
      <c r="H894" t="s">
        <v>111</v>
      </c>
      <c r="I894" t="b">
        <v>1</v>
      </c>
      <c r="J894" t="s">
        <v>654</v>
      </c>
      <c r="K894" s="10">
        <v>0.85625</v>
      </c>
      <c r="L894" s="10">
        <v>0.877777777777778</v>
      </c>
      <c r="M894">
        <v>31</v>
      </c>
      <c r="N894" t="b">
        <v>1</v>
      </c>
      <c r="O894" t="s">
        <v>47</v>
      </c>
    </row>
    <row r="895" spans="1:15">
      <c r="A895">
        <v>894</v>
      </c>
      <c r="B895" t="s">
        <v>1216</v>
      </c>
      <c r="C895" t="s">
        <v>16</v>
      </c>
      <c r="D895" s="9">
        <v>38067</v>
      </c>
      <c r="E895">
        <v>20</v>
      </c>
      <c r="F895" t="s">
        <v>21</v>
      </c>
      <c r="G895">
        <v>1</v>
      </c>
      <c r="H895" t="s">
        <v>81</v>
      </c>
      <c r="I895" t="b">
        <v>1</v>
      </c>
      <c r="J895" t="s">
        <v>107</v>
      </c>
      <c r="K895" s="10">
        <v>0.629166666666667</v>
      </c>
      <c r="L895" s="10">
        <v>0.674305555555556</v>
      </c>
      <c r="M895">
        <v>65</v>
      </c>
      <c r="N895" t="b">
        <v>0</v>
      </c>
    </row>
    <row r="896" spans="1:15">
      <c r="A896">
        <v>895</v>
      </c>
      <c r="B896" t="s">
        <v>1217</v>
      </c>
      <c r="C896" t="s">
        <v>25</v>
      </c>
      <c r="D896" s="9">
        <v>32308</v>
      </c>
      <c r="E896">
        <v>36</v>
      </c>
      <c r="F896" t="s">
        <v>17</v>
      </c>
      <c r="G896">
        <v>3</v>
      </c>
      <c r="H896" t="s">
        <v>504</v>
      </c>
      <c r="I896" t="b">
        <v>0</v>
      </c>
      <c r="K896" s="10">
        <v>0.703472222222222</v>
      </c>
      <c r="L896" s="10">
        <v>0.828472222222222</v>
      </c>
      <c r="M896">
        <v>180</v>
      </c>
      <c r="N896" t="b">
        <v>1</v>
      </c>
      <c r="O896" t="s">
        <v>50</v>
      </c>
    </row>
    <row r="897" spans="1:15">
      <c r="A897">
        <v>896</v>
      </c>
      <c r="B897" t="s">
        <v>1218</v>
      </c>
      <c r="C897" t="s">
        <v>16</v>
      </c>
      <c r="D897" s="9">
        <v>28983</v>
      </c>
      <c r="E897">
        <v>45</v>
      </c>
      <c r="F897" t="s">
        <v>17</v>
      </c>
      <c r="G897">
        <v>4</v>
      </c>
      <c r="H897" t="s">
        <v>61</v>
      </c>
      <c r="I897" t="b">
        <v>0</v>
      </c>
      <c r="K897" s="10">
        <v>0.420138888888889</v>
      </c>
      <c r="L897" s="10">
        <v>0.532638888888889</v>
      </c>
      <c r="M897">
        <v>162</v>
      </c>
      <c r="N897" t="b">
        <v>1</v>
      </c>
      <c r="O897" t="s">
        <v>50</v>
      </c>
    </row>
    <row r="898" spans="1:15">
      <c r="A898">
        <v>897</v>
      </c>
      <c r="B898" t="s">
        <v>1219</v>
      </c>
      <c r="C898" t="s">
        <v>16</v>
      </c>
      <c r="D898" s="9">
        <v>32087</v>
      </c>
      <c r="E898">
        <v>36</v>
      </c>
      <c r="F898" t="s">
        <v>17</v>
      </c>
      <c r="G898">
        <v>3</v>
      </c>
      <c r="H898" t="s">
        <v>247</v>
      </c>
      <c r="I898" t="b">
        <v>1</v>
      </c>
      <c r="J898" t="s">
        <v>67</v>
      </c>
      <c r="K898" s="10">
        <v>0.402083333333333</v>
      </c>
      <c r="L898" s="10">
        <v>0.424305555555556</v>
      </c>
      <c r="M898">
        <v>32</v>
      </c>
      <c r="N898" t="b">
        <v>0</v>
      </c>
    </row>
    <row r="899" spans="1:15">
      <c r="A899">
        <v>898</v>
      </c>
      <c r="B899" t="s">
        <v>1220</v>
      </c>
      <c r="C899" t="s">
        <v>16</v>
      </c>
      <c r="D899" s="9">
        <v>32077</v>
      </c>
      <c r="E899">
        <v>36</v>
      </c>
      <c r="F899" t="s">
        <v>17</v>
      </c>
      <c r="G899">
        <v>1</v>
      </c>
      <c r="H899" t="s">
        <v>49</v>
      </c>
      <c r="I899" t="b">
        <v>0</v>
      </c>
      <c r="K899" s="10">
        <v>0.461805555555556</v>
      </c>
      <c r="L899" s="10">
        <v>0.536111111111111</v>
      </c>
      <c r="M899">
        <v>107</v>
      </c>
      <c r="N899" t="b">
        <v>0</v>
      </c>
    </row>
    <row r="900" spans="1:15">
      <c r="A900">
        <v>899</v>
      </c>
      <c r="B900" t="s">
        <v>1112</v>
      </c>
      <c r="C900" t="s">
        <v>25</v>
      </c>
      <c r="D900" s="9">
        <v>39534</v>
      </c>
      <c r="E900">
        <v>16</v>
      </c>
      <c r="F900" t="s">
        <v>21</v>
      </c>
      <c r="G900">
        <v>1</v>
      </c>
      <c r="H900" t="s">
        <v>26</v>
      </c>
      <c r="I900" t="b">
        <v>1</v>
      </c>
      <c r="J900" t="s">
        <v>1071</v>
      </c>
      <c r="K900" s="10">
        <v>0.540972222222222</v>
      </c>
      <c r="L900" s="10">
        <v>0.582638888888889</v>
      </c>
      <c r="M900">
        <v>60</v>
      </c>
      <c r="N900" t="b">
        <v>0</v>
      </c>
    </row>
    <row r="901" spans="1:15">
      <c r="A901">
        <v>900</v>
      </c>
      <c r="B901" t="s">
        <v>1221</v>
      </c>
      <c r="C901" t="s">
        <v>16</v>
      </c>
      <c r="D901" s="9">
        <v>36715</v>
      </c>
      <c r="E901">
        <v>24</v>
      </c>
      <c r="F901" t="s">
        <v>21</v>
      </c>
      <c r="G901">
        <v>3</v>
      </c>
      <c r="H901" t="s">
        <v>98</v>
      </c>
      <c r="I901" t="b">
        <v>0</v>
      </c>
      <c r="K901" s="10">
        <v>0.800694444444444</v>
      </c>
      <c r="L901" s="10">
        <v>0.897916666666667</v>
      </c>
      <c r="M901">
        <v>140</v>
      </c>
      <c r="N901" t="b">
        <v>1</v>
      </c>
      <c r="O901" t="s">
        <v>28</v>
      </c>
    </row>
    <row r="902" spans="1:15">
      <c r="A902">
        <v>901</v>
      </c>
      <c r="B902" t="s">
        <v>1222</v>
      </c>
      <c r="C902" t="s">
        <v>16</v>
      </c>
      <c r="D902" s="9">
        <v>32290</v>
      </c>
      <c r="E902">
        <v>36</v>
      </c>
      <c r="F902" t="s">
        <v>17</v>
      </c>
      <c r="G902">
        <v>1</v>
      </c>
      <c r="H902" t="s">
        <v>46</v>
      </c>
      <c r="I902" t="b">
        <v>0</v>
      </c>
      <c r="K902" s="10">
        <v>0.729166666666667</v>
      </c>
      <c r="L902" s="10">
        <v>0.810416666666667</v>
      </c>
      <c r="M902">
        <v>117</v>
      </c>
      <c r="N902" t="b">
        <v>0</v>
      </c>
    </row>
    <row r="903" spans="1:15">
      <c r="A903">
        <v>902</v>
      </c>
      <c r="B903" t="s">
        <v>1223</v>
      </c>
      <c r="C903" t="s">
        <v>16</v>
      </c>
      <c r="D903" s="9">
        <v>30695</v>
      </c>
      <c r="E903">
        <v>40</v>
      </c>
      <c r="F903" t="s">
        <v>21</v>
      </c>
      <c r="G903">
        <v>1</v>
      </c>
      <c r="H903" t="s">
        <v>49</v>
      </c>
      <c r="I903" t="b">
        <v>1</v>
      </c>
      <c r="J903" t="s">
        <v>44</v>
      </c>
      <c r="K903" s="10">
        <v>0.66875</v>
      </c>
      <c r="L903" s="10">
        <v>0.715277777777778</v>
      </c>
      <c r="M903">
        <v>67</v>
      </c>
      <c r="N903" t="b">
        <v>0</v>
      </c>
    </row>
    <row r="904" spans="1:15">
      <c r="A904">
        <v>903</v>
      </c>
      <c r="B904" t="s">
        <v>182</v>
      </c>
      <c r="C904" t="s">
        <v>16</v>
      </c>
      <c r="D904" s="9">
        <v>30755</v>
      </c>
      <c r="E904">
        <v>40</v>
      </c>
      <c r="F904" t="s">
        <v>17</v>
      </c>
      <c r="G904">
        <v>2</v>
      </c>
      <c r="H904" t="s">
        <v>55</v>
      </c>
      <c r="I904" t="b">
        <v>1</v>
      </c>
      <c r="J904" t="s">
        <v>107</v>
      </c>
      <c r="K904" s="10">
        <v>0.796527777777778</v>
      </c>
      <c r="L904" s="10">
        <v>0.825</v>
      </c>
      <c r="M904">
        <v>41</v>
      </c>
      <c r="N904" t="b">
        <v>1</v>
      </c>
      <c r="O904" t="s">
        <v>47</v>
      </c>
    </row>
    <row r="905" spans="1:15">
      <c r="A905">
        <v>904</v>
      </c>
      <c r="B905" t="s">
        <v>1224</v>
      </c>
      <c r="C905" t="s">
        <v>16</v>
      </c>
      <c r="D905" s="9">
        <v>40188</v>
      </c>
      <c r="E905">
        <v>14</v>
      </c>
      <c r="F905" t="s">
        <v>17</v>
      </c>
      <c r="G905">
        <v>2</v>
      </c>
      <c r="H905" t="s">
        <v>195</v>
      </c>
      <c r="I905" t="b">
        <v>0</v>
      </c>
      <c r="K905" s="10">
        <v>0.422916666666667</v>
      </c>
      <c r="L905" s="10">
        <v>0.473611111111111</v>
      </c>
      <c r="M905">
        <v>73</v>
      </c>
      <c r="N905" t="b">
        <v>1</v>
      </c>
      <c r="O905" t="s">
        <v>23</v>
      </c>
    </row>
    <row r="906" spans="1:15">
      <c r="A906">
        <v>905</v>
      </c>
      <c r="B906" t="s">
        <v>1225</v>
      </c>
      <c r="C906" t="s">
        <v>16</v>
      </c>
      <c r="D906" s="9">
        <v>33479</v>
      </c>
      <c r="E906">
        <v>33</v>
      </c>
      <c r="F906" t="s">
        <v>17</v>
      </c>
      <c r="G906">
        <v>1</v>
      </c>
      <c r="H906" t="s">
        <v>185</v>
      </c>
      <c r="I906" t="b">
        <v>0</v>
      </c>
      <c r="K906" s="10">
        <v>0.589583333333333</v>
      </c>
      <c r="L906" s="10">
        <v>0.699305555555556</v>
      </c>
      <c r="M906">
        <v>158</v>
      </c>
      <c r="N906" t="b">
        <v>0</v>
      </c>
    </row>
    <row r="907" spans="1:15">
      <c r="A907">
        <v>906</v>
      </c>
      <c r="B907" t="s">
        <v>207</v>
      </c>
      <c r="C907" t="s">
        <v>25</v>
      </c>
      <c r="D907" s="9">
        <v>29851</v>
      </c>
      <c r="E907">
        <v>43</v>
      </c>
      <c r="F907" t="s">
        <v>21</v>
      </c>
      <c r="G907">
        <v>1</v>
      </c>
      <c r="H907" t="s">
        <v>59</v>
      </c>
      <c r="I907" t="b">
        <v>0</v>
      </c>
      <c r="K907" s="10">
        <v>0.390277777777778</v>
      </c>
      <c r="L907" s="10">
        <v>0.500694444444444</v>
      </c>
      <c r="M907">
        <v>159</v>
      </c>
      <c r="N907" t="b">
        <v>1</v>
      </c>
      <c r="O907" t="s">
        <v>28</v>
      </c>
    </row>
    <row r="908" spans="1:15">
      <c r="A908">
        <v>907</v>
      </c>
      <c r="B908" t="s">
        <v>1226</v>
      </c>
      <c r="C908" t="s">
        <v>25</v>
      </c>
      <c r="D908" s="9">
        <v>27969</v>
      </c>
      <c r="E908">
        <v>48</v>
      </c>
      <c r="F908" t="s">
        <v>21</v>
      </c>
      <c r="G908">
        <v>2</v>
      </c>
      <c r="H908" t="s">
        <v>189</v>
      </c>
      <c r="I908" t="b">
        <v>1</v>
      </c>
      <c r="J908" t="s">
        <v>1227</v>
      </c>
      <c r="K908" s="10">
        <v>0.633333333333333</v>
      </c>
      <c r="L908" s="10">
        <v>0.738194444444444</v>
      </c>
      <c r="M908">
        <v>151</v>
      </c>
      <c r="N908" t="b">
        <v>0</v>
      </c>
    </row>
    <row r="909" spans="1:15">
      <c r="A909">
        <v>908</v>
      </c>
      <c r="B909" t="s">
        <v>1228</v>
      </c>
      <c r="C909" t="s">
        <v>16</v>
      </c>
      <c r="D909" s="9">
        <v>40990</v>
      </c>
      <c r="E909">
        <v>12</v>
      </c>
      <c r="F909" t="s">
        <v>21</v>
      </c>
      <c r="G909">
        <v>5</v>
      </c>
      <c r="H909" t="s">
        <v>104</v>
      </c>
      <c r="I909" t="b">
        <v>0</v>
      </c>
      <c r="K909" s="10">
        <v>0.434027777777778</v>
      </c>
      <c r="L909" s="10">
        <v>0.534027777777778</v>
      </c>
      <c r="M909">
        <v>144</v>
      </c>
      <c r="N909" t="b">
        <v>0</v>
      </c>
    </row>
    <row r="910" spans="1:15">
      <c r="A910">
        <v>909</v>
      </c>
      <c r="B910" t="s">
        <v>1229</v>
      </c>
      <c r="C910" t="s">
        <v>25</v>
      </c>
      <c r="D910" s="9">
        <v>31070</v>
      </c>
      <c r="E910">
        <v>39</v>
      </c>
      <c r="F910" t="s">
        <v>17</v>
      </c>
      <c r="G910">
        <v>4</v>
      </c>
      <c r="H910" t="s">
        <v>1230</v>
      </c>
      <c r="I910" t="b">
        <v>1</v>
      </c>
      <c r="J910" t="s">
        <v>1231</v>
      </c>
      <c r="K910" s="10">
        <v>0.565972222222222</v>
      </c>
      <c r="L910" s="10">
        <v>0.661805555555556</v>
      </c>
      <c r="M910">
        <v>138</v>
      </c>
      <c r="N910" t="b">
        <v>1</v>
      </c>
      <c r="O910" t="s">
        <v>23</v>
      </c>
    </row>
    <row r="911" spans="1:15">
      <c r="A911">
        <v>910</v>
      </c>
      <c r="B911" t="s">
        <v>1232</v>
      </c>
      <c r="C911" t="s">
        <v>25</v>
      </c>
      <c r="D911" s="9">
        <v>34582</v>
      </c>
      <c r="E911">
        <v>30</v>
      </c>
      <c r="F911" t="s">
        <v>17</v>
      </c>
      <c r="G911">
        <v>3</v>
      </c>
      <c r="H911" t="s">
        <v>161</v>
      </c>
      <c r="I911" t="b">
        <v>1</v>
      </c>
      <c r="J911" t="s">
        <v>1233</v>
      </c>
      <c r="K911" s="10">
        <v>0.464583333333333</v>
      </c>
      <c r="L911" s="10">
        <v>0.490972222222222</v>
      </c>
      <c r="M911">
        <v>38</v>
      </c>
      <c r="N911" t="b">
        <v>0</v>
      </c>
    </row>
    <row r="912" spans="1:15">
      <c r="A912">
        <v>911</v>
      </c>
      <c r="B912" t="s">
        <v>1234</v>
      </c>
      <c r="C912" t="s">
        <v>16</v>
      </c>
      <c r="D912" s="9">
        <v>36684</v>
      </c>
      <c r="E912">
        <v>24</v>
      </c>
      <c r="F912" t="s">
        <v>21</v>
      </c>
      <c r="G912">
        <v>3</v>
      </c>
      <c r="H912" t="s">
        <v>57</v>
      </c>
      <c r="I912" t="b">
        <v>1</v>
      </c>
      <c r="J912" t="s">
        <v>1235</v>
      </c>
      <c r="K912" s="10">
        <v>0.870138888888889</v>
      </c>
      <c r="L912" s="10">
        <v>0.990277777777778</v>
      </c>
      <c r="M912">
        <v>173</v>
      </c>
      <c r="N912" t="b">
        <v>0</v>
      </c>
    </row>
    <row r="913" spans="1:15">
      <c r="A913">
        <v>912</v>
      </c>
      <c r="B913" t="s">
        <v>1222</v>
      </c>
      <c r="C913" t="s">
        <v>16</v>
      </c>
      <c r="D913" s="9">
        <v>28356</v>
      </c>
      <c r="E913">
        <v>47</v>
      </c>
      <c r="F913" t="s">
        <v>21</v>
      </c>
      <c r="G913">
        <v>1</v>
      </c>
      <c r="H913" t="s">
        <v>35</v>
      </c>
      <c r="I913" t="b">
        <v>0</v>
      </c>
      <c r="K913" s="10">
        <v>0.813888888888889</v>
      </c>
      <c r="L913" s="10">
        <v>0.910416666666667</v>
      </c>
      <c r="M913">
        <v>139</v>
      </c>
      <c r="N913" t="b">
        <v>0</v>
      </c>
    </row>
    <row r="914" spans="1:15">
      <c r="A914">
        <v>913</v>
      </c>
      <c r="B914" t="s">
        <v>1236</v>
      </c>
      <c r="C914" t="s">
        <v>25</v>
      </c>
      <c r="D914" s="9">
        <v>32838</v>
      </c>
      <c r="E914">
        <v>34</v>
      </c>
      <c r="F914" t="s">
        <v>21</v>
      </c>
      <c r="G914">
        <v>1</v>
      </c>
      <c r="H914" t="s">
        <v>185</v>
      </c>
      <c r="I914" t="b">
        <v>1</v>
      </c>
      <c r="J914" t="s">
        <v>287</v>
      </c>
      <c r="K914" s="10">
        <v>0.615972222222222</v>
      </c>
      <c r="L914" s="10">
        <v>0.720833333333333</v>
      </c>
      <c r="M914">
        <v>151</v>
      </c>
      <c r="N914" t="b">
        <v>0</v>
      </c>
    </row>
    <row r="915" spans="1:15">
      <c r="A915">
        <v>914</v>
      </c>
      <c r="B915" t="s">
        <v>1237</v>
      </c>
      <c r="C915" t="s">
        <v>25</v>
      </c>
      <c r="D915" s="9">
        <v>34487</v>
      </c>
      <c r="E915">
        <v>30</v>
      </c>
      <c r="F915" t="s">
        <v>17</v>
      </c>
      <c r="G915">
        <v>1</v>
      </c>
      <c r="H915" t="s">
        <v>46</v>
      </c>
      <c r="I915" t="b">
        <v>0</v>
      </c>
      <c r="K915" s="10">
        <v>0.736805555555556</v>
      </c>
      <c r="L915" s="10">
        <v>0.810416666666667</v>
      </c>
      <c r="M915">
        <v>106</v>
      </c>
      <c r="N915" t="b">
        <v>0</v>
      </c>
    </row>
    <row r="916" spans="1:15">
      <c r="A916">
        <v>915</v>
      </c>
      <c r="B916" t="s">
        <v>1238</v>
      </c>
      <c r="C916" t="s">
        <v>16</v>
      </c>
      <c r="D916" s="9">
        <v>36993</v>
      </c>
      <c r="E916">
        <v>23</v>
      </c>
      <c r="F916" t="s">
        <v>21</v>
      </c>
      <c r="G916">
        <v>1</v>
      </c>
      <c r="H916" t="s">
        <v>35</v>
      </c>
      <c r="I916" t="b">
        <v>1</v>
      </c>
      <c r="J916" t="s">
        <v>19</v>
      </c>
      <c r="K916" s="10">
        <v>0.791666666666667</v>
      </c>
      <c r="L916" s="10">
        <v>0.839583333333333</v>
      </c>
      <c r="M916">
        <v>69</v>
      </c>
      <c r="N916" t="b">
        <v>0</v>
      </c>
    </row>
    <row r="917" spans="1:15">
      <c r="A917">
        <v>916</v>
      </c>
      <c r="B917" t="s">
        <v>1239</v>
      </c>
      <c r="C917" t="s">
        <v>25</v>
      </c>
      <c r="D917" s="9">
        <v>36752</v>
      </c>
      <c r="E917">
        <v>24</v>
      </c>
      <c r="F917" t="s">
        <v>21</v>
      </c>
      <c r="G917">
        <v>1</v>
      </c>
      <c r="H917" t="s">
        <v>185</v>
      </c>
      <c r="I917" t="b">
        <v>1</v>
      </c>
      <c r="J917" t="s">
        <v>1240</v>
      </c>
      <c r="K917" s="10">
        <v>0.628472222222222</v>
      </c>
      <c r="L917" s="10">
        <v>0.665972222222222</v>
      </c>
      <c r="M917">
        <v>54</v>
      </c>
      <c r="N917" t="b">
        <v>0</v>
      </c>
    </row>
    <row r="918" spans="1:15">
      <c r="A918">
        <v>917</v>
      </c>
      <c r="B918" t="s">
        <v>1241</v>
      </c>
      <c r="C918" t="s">
        <v>25</v>
      </c>
      <c r="D918" s="9">
        <v>40722</v>
      </c>
      <c r="E918">
        <v>13</v>
      </c>
      <c r="F918" t="s">
        <v>21</v>
      </c>
      <c r="G918">
        <v>2</v>
      </c>
      <c r="H918" t="s">
        <v>259</v>
      </c>
      <c r="I918" t="b">
        <v>0</v>
      </c>
      <c r="K918" s="10">
        <v>0.811805555555556</v>
      </c>
      <c r="L918" s="10">
        <v>0.839583333333333</v>
      </c>
      <c r="M918">
        <v>40</v>
      </c>
      <c r="N918" t="b">
        <v>0</v>
      </c>
    </row>
    <row r="919" spans="1:15">
      <c r="A919">
        <v>918</v>
      </c>
      <c r="B919" t="s">
        <v>1242</v>
      </c>
      <c r="C919" t="s">
        <v>16</v>
      </c>
      <c r="D919" s="9">
        <v>38865</v>
      </c>
      <c r="E919">
        <v>18</v>
      </c>
      <c r="F919" t="s">
        <v>21</v>
      </c>
      <c r="G919">
        <v>4</v>
      </c>
      <c r="H919" t="s">
        <v>1243</v>
      </c>
      <c r="I919" t="b">
        <v>0</v>
      </c>
      <c r="K919" s="10">
        <v>0.474305555555556</v>
      </c>
      <c r="L919" s="10">
        <v>0.566666666666667</v>
      </c>
      <c r="M919">
        <v>133</v>
      </c>
      <c r="N919" t="b">
        <v>0</v>
      </c>
    </row>
    <row r="920" spans="1:15">
      <c r="A920">
        <v>919</v>
      </c>
      <c r="B920" t="s">
        <v>1244</v>
      </c>
      <c r="C920" t="s">
        <v>25</v>
      </c>
      <c r="D920" s="9">
        <v>29059</v>
      </c>
      <c r="E920">
        <v>45</v>
      </c>
      <c r="F920" t="s">
        <v>17</v>
      </c>
      <c r="G920">
        <v>5</v>
      </c>
      <c r="H920" t="s">
        <v>152</v>
      </c>
      <c r="I920" t="b">
        <v>0</v>
      </c>
      <c r="K920" s="10">
        <v>0.821527777777778</v>
      </c>
      <c r="L920" s="10">
        <v>0.854861111111111</v>
      </c>
      <c r="M920">
        <v>48</v>
      </c>
      <c r="N920" t="b">
        <v>0</v>
      </c>
    </row>
    <row r="921" spans="1:15">
      <c r="A921">
        <v>920</v>
      </c>
      <c r="B921" t="s">
        <v>1245</v>
      </c>
      <c r="C921" t="s">
        <v>16</v>
      </c>
      <c r="D921" s="9">
        <v>30367</v>
      </c>
      <c r="E921">
        <v>41</v>
      </c>
      <c r="F921" t="s">
        <v>21</v>
      </c>
      <c r="G921">
        <v>1</v>
      </c>
      <c r="H921" t="s">
        <v>81</v>
      </c>
      <c r="I921" t="b">
        <v>0</v>
      </c>
      <c r="K921" s="10">
        <v>0.432638888888889</v>
      </c>
      <c r="L921" s="10">
        <v>0.489583333333333</v>
      </c>
      <c r="M921">
        <v>82</v>
      </c>
      <c r="N921" t="b">
        <v>0</v>
      </c>
    </row>
    <row r="922" spans="1:15">
      <c r="A922">
        <v>921</v>
      </c>
      <c r="B922" t="s">
        <v>1246</v>
      </c>
      <c r="C922" t="s">
        <v>16</v>
      </c>
      <c r="D922" s="9">
        <v>40578</v>
      </c>
      <c r="E922">
        <v>13</v>
      </c>
      <c r="F922" t="s">
        <v>17</v>
      </c>
      <c r="G922">
        <v>1</v>
      </c>
      <c r="H922" t="s">
        <v>81</v>
      </c>
      <c r="I922" t="b">
        <v>1</v>
      </c>
      <c r="J922" t="s">
        <v>44</v>
      </c>
      <c r="K922" s="10">
        <v>0.527083333333333</v>
      </c>
      <c r="L922" s="10">
        <v>0.559027777777778</v>
      </c>
      <c r="M922">
        <v>46</v>
      </c>
      <c r="N922" t="b">
        <v>0</v>
      </c>
    </row>
    <row r="923" spans="1:15">
      <c r="A923">
        <v>922</v>
      </c>
      <c r="B923" t="s">
        <v>1064</v>
      </c>
      <c r="C923" t="s">
        <v>16</v>
      </c>
      <c r="D923" s="9">
        <v>32841</v>
      </c>
      <c r="E923">
        <v>34</v>
      </c>
      <c r="F923" t="s">
        <v>21</v>
      </c>
      <c r="G923">
        <v>1</v>
      </c>
      <c r="H923" t="s">
        <v>49</v>
      </c>
      <c r="I923" t="b">
        <v>1</v>
      </c>
      <c r="J923" t="s">
        <v>1247</v>
      </c>
      <c r="K923" s="10">
        <v>0.436111111111111</v>
      </c>
      <c r="L923" s="10">
        <v>0.544444444444444</v>
      </c>
      <c r="M923">
        <v>156</v>
      </c>
      <c r="N923" t="b">
        <v>1</v>
      </c>
      <c r="O923" t="s">
        <v>23</v>
      </c>
    </row>
    <row r="924" spans="1:15">
      <c r="A924">
        <v>923</v>
      </c>
      <c r="B924" t="s">
        <v>1248</v>
      </c>
      <c r="C924" t="s">
        <v>16</v>
      </c>
      <c r="D924" s="9">
        <v>29834</v>
      </c>
      <c r="E924">
        <v>43</v>
      </c>
      <c r="F924" t="s">
        <v>21</v>
      </c>
      <c r="G924">
        <v>1</v>
      </c>
      <c r="H924" t="s">
        <v>185</v>
      </c>
      <c r="I924" t="b">
        <v>0</v>
      </c>
      <c r="K924" s="10">
        <v>0.627777777777778</v>
      </c>
      <c r="L924" s="10">
        <v>0.664583333333333</v>
      </c>
      <c r="M924">
        <v>53</v>
      </c>
      <c r="N924" t="b">
        <v>1</v>
      </c>
      <c r="O924" t="s">
        <v>47</v>
      </c>
    </row>
    <row r="925" spans="1:15">
      <c r="A925">
        <v>924</v>
      </c>
      <c r="B925" t="s">
        <v>1249</v>
      </c>
      <c r="C925" t="s">
        <v>25</v>
      </c>
      <c r="D925" s="9">
        <v>31178</v>
      </c>
      <c r="E925">
        <v>39</v>
      </c>
      <c r="F925" t="s">
        <v>17</v>
      </c>
      <c r="G925">
        <v>2</v>
      </c>
      <c r="H925" t="s">
        <v>509</v>
      </c>
      <c r="I925" t="b">
        <v>0</v>
      </c>
      <c r="K925" s="10">
        <v>0.747916666666667</v>
      </c>
      <c r="L925" s="10">
        <v>0.843055555555556</v>
      </c>
      <c r="M925">
        <v>137</v>
      </c>
      <c r="N925" t="b">
        <v>1</v>
      </c>
      <c r="O925" t="s">
        <v>47</v>
      </c>
    </row>
    <row r="926" spans="1:15">
      <c r="A926">
        <v>925</v>
      </c>
      <c r="B926" t="s">
        <v>826</v>
      </c>
      <c r="C926" t="s">
        <v>16</v>
      </c>
      <c r="D926" s="9">
        <v>40771</v>
      </c>
      <c r="E926">
        <v>13</v>
      </c>
      <c r="F926" t="s">
        <v>17</v>
      </c>
      <c r="G926">
        <v>3</v>
      </c>
      <c r="H926" t="s">
        <v>321</v>
      </c>
      <c r="I926" t="b">
        <v>1</v>
      </c>
      <c r="J926" t="s">
        <v>528</v>
      </c>
      <c r="K926" s="10">
        <v>0.574305555555556</v>
      </c>
      <c r="L926" s="10">
        <v>0.688888888888889</v>
      </c>
      <c r="M926">
        <v>165</v>
      </c>
      <c r="N926" t="b">
        <v>0</v>
      </c>
    </row>
    <row r="927" spans="1:15">
      <c r="A927">
        <v>926</v>
      </c>
      <c r="B927" t="s">
        <v>1250</v>
      </c>
      <c r="C927" t="s">
        <v>25</v>
      </c>
      <c r="D927" s="9">
        <v>37204</v>
      </c>
      <c r="E927">
        <v>22</v>
      </c>
      <c r="F927" t="s">
        <v>21</v>
      </c>
      <c r="G927">
        <v>5</v>
      </c>
      <c r="H927" t="s">
        <v>368</v>
      </c>
      <c r="I927" t="b">
        <v>0</v>
      </c>
      <c r="K927" s="10">
        <v>0.386111111111111</v>
      </c>
      <c r="L927" s="10">
        <v>0.435416666666667</v>
      </c>
      <c r="M927">
        <v>71</v>
      </c>
      <c r="N927" t="b">
        <v>1</v>
      </c>
      <c r="O927" t="s">
        <v>23</v>
      </c>
    </row>
    <row r="928" spans="1:15">
      <c r="A928">
        <v>927</v>
      </c>
      <c r="B928" t="s">
        <v>1251</v>
      </c>
      <c r="C928" t="s">
        <v>25</v>
      </c>
      <c r="D928" s="9">
        <v>36963</v>
      </c>
      <c r="E928">
        <v>23</v>
      </c>
      <c r="F928" t="s">
        <v>21</v>
      </c>
      <c r="G928">
        <v>3</v>
      </c>
      <c r="H928" t="s">
        <v>37</v>
      </c>
      <c r="I928" t="b">
        <v>1</v>
      </c>
      <c r="J928" t="s">
        <v>1089</v>
      </c>
      <c r="K928" s="10">
        <v>0.41875</v>
      </c>
      <c r="L928" s="10">
        <v>0.480555555555556</v>
      </c>
      <c r="M928">
        <v>89</v>
      </c>
      <c r="N928" t="b">
        <v>1</v>
      </c>
      <c r="O928" t="s">
        <v>50</v>
      </c>
    </row>
    <row r="929" spans="1:15">
      <c r="A929">
        <v>928</v>
      </c>
      <c r="B929" t="s">
        <v>1252</v>
      </c>
      <c r="C929" t="s">
        <v>16</v>
      </c>
      <c r="D929" s="9">
        <v>32037</v>
      </c>
      <c r="E929">
        <v>37</v>
      </c>
      <c r="F929" t="s">
        <v>17</v>
      </c>
      <c r="G929">
        <v>3</v>
      </c>
      <c r="H929" t="s">
        <v>30</v>
      </c>
      <c r="I929" t="b">
        <v>0</v>
      </c>
      <c r="K929" s="10">
        <v>0.73125</v>
      </c>
      <c r="L929" s="10">
        <v>0.781944444444444</v>
      </c>
      <c r="M929">
        <v>73</v>
      </c>
      <c r="N929" t="b">
        <v>0</v>
      </c>
    </row>
    <row r="930" spans="1:15">
      <c r="A930">
        <v>929</v>
      </c>
      <c r="B930" t="s">
        <v>1253</v>
      </c>
      <c r="C930" t="s">
        <v>25</v>
      </c>
      <c r="D930" s="9">
        <v>34645</v>
      </c>
      <c r="E930">
        <v>29</v>
      </c>
      <c r="F930" t="s">
        <v>17</v>
      </c>
      <c r="G930">
        <v>5</v>
      </c>
      <c r="H930" t="s">
        <v>183</v>
      </c>
      <c r="I930" t="b">
        <v>1</v>
      </c>
      <c r="J930" t="s">
        <v>1254</v>
      </c>
      <c r="K930" s="10">
        <v>0.401388888888889</v>
      </c>
      <c r="L930" s="10">
        <v>0.454166666666667</v>
      </c>
      <c r="M930">
        <v>76</v>
      </c>
      <c r="N930" t="b">
        <v>0</v>
      </c>
    </row>
    <row r="931" spans="1:15">
      <c r="A931">
        <v>930</v>
      </c>
      <c r="B931" t="s">
        <v>1255</v>
      </c>
      <c r="C931" t="s">
        <v>16</v>
      </c>
      <c r="D931" s="9">
        <v>37118</v>
      </c>
      <c r="E931">
        <v>23</v>
      </c>
      <c r="F931" t="s">
        <v>17</v>
      </c>
      <c r="G931">
        <v>5</v>
      </c>
      <c r="H931" t="s">
        <v>88</v>
      </c>
      <c r="I931" t="b">
        <v>0</v>
      </c>
      <c r="K931" s="10">
        <v>0.58125</v>
      </c>
      <c r="L931" s="10">
        <v>0.613888888888889</v>
      </c>
      <c r="M931">
        <v>47</v>
      </c>
      <c r="N931" t="b">
        <v>0</v>
      </c>
    </row>
    <row r="932" spans="1:15">
      <c r="A932">
        <v>931</v>
      </c>
      <c r="B932" t="s">
        <v>1256</v>
      </c>
      <c r="C932" t="s">
        <v>16</v>
      </c>
      <c r="D932" s="9">
        <v>37154</v>
      </c>
      <c r="E932">
        <v>23</v>
      </c>
      <c r="F932" t="s">
        <v>21</v>
      </c>
      <c r="G932">
        <v>5</v>
      </c>
      <c r="H932" t="s">
        <v>96</v>
      </c>
      <c r="I932" t="b">
        <v>0</v>
      </c>
      <c r="K932" s="10">
        <v>0.689583333333333</v>
      </c>
      <c r="L932" s="10">
        <v>0.747916666666667</v>
      </c>
      <c r="M932">
        <v>84</v>
      </c>
      <c r="N932" t="b">
        <v>0</v>
      </c>
    </row>
    <row r="933" spans="1:15">
      <c r="A933">
        <v>932</v>
      </c>
      <c r="B933" t="s">
        <v>1257</v>
      </c>
      <c r="C933" t="s">
        <v>25</v>
      </c>
      <c r="D933" s="9">
        <v>35517</v>
      </c>
      <c r="E933">
        <v>27</v>
      </c>
      <c r="F933" t="s">
        <v>17</v>
      </c>
      <c r="G933">
        <v>3</v>
      </c>
      <c r="H933" t="s">
        <v>150</v>
      </c>
      <c r="I933" t="b">
        <v>1</v>
      </c>
      <c r="J933" t="s">
        <v>1258</v>
      </c>
      <c r="K933" s="10">
        <v>0.45</v>
      </c>
      <c r="L933" s="10">
        <v>0.508333333333333</v>
      </c>
      <c r="M933">
        <v>84</v>
      </c>
      <c r="N933" t="b">
        <v>0</v>
      </c>
    </row>
    <row r="934" spans="1:15">
      <c r="A934">
        <v>933</v>
      </c>
      <c r="B934" t="s">
        <v>1259</v>
      </c>
      <c r="C934" t="s">
        <v>16</v>
      </c>
      <c r="D934" s="9">
        <v>40002</v>
      </c>
      <c r="E934">
        <v>15</v>
      </c>
      <c r="F934" t="s">
        <v>17</v>
      </c>
      <c r="G934">
        <v>1</v>
      </c>
      <c r="H934" t="s">
        <v>35</v>
      </c>
      <c r="I934" t="b">
        <v>1</v>
      </c>
      <c r="J934" t="s">
        <v>1260</v>
      </c>
      <c r="K934" s="10">
        <v>0.795833333333333</v>
      </c>
      <c r="L934" s="10">
        <v>0.817361111111111</v>
      </c>
      <c r="M934">
        <v>31</v>
      </c>
      <c r="N934" t="b">
        <v>1</v>
      </c>
      <c r="O934" t="s">
        <v>28</v>
      </c>
    </row>
    <row r="935" spans="1:15">
      <c r="A935">
        <v>934</v>
      </c>
      <c r="B935" t="s">
        <v>488</v>
      </c>
      <c r="C935" t="s">
        <v>16</v>
      </c>
      <c r="D935" s="9">
        <v>30372</v>
      </c>
      <c r="E935">
        <v>41</v>
      </c>
      <c r="F935" t="s">
        <v>17</v>
      </c>
      <c r="G935">
        <v>5</v>
      </c>
      <c r="H935" t="s">
        <v>567</v>
      </c>
      <c r="I935" t="b">
        <v>0</v>
      </c>
      <c r="K935" s="10">
        <v>0.578472222222222</v>
      </c>
      <c r="L935" s="10">
        <v>0.667361111111111</v>
      </c>
      <c r="M935">
        <v>128</v>
      </c>
      <c r="N935" t="b">
        <v>0</v>
      </c>
    </row>
    <row r="936" spans="1:15">
      <c r="A936">
        <v>935</v>
      </c>
      <c r="B936" t="s">
        <v>752</v>
      </c>
      <c r="C936" t="s">
        <v>16</v>
      </c>
      <c r="D936" s="9">
        <v>39962</v>
      </c>
      <c r="E936">
        <v>15</v>
      </c>
      <c r="F936" t="s">
        <v>21</v>
      </c>
      <c r="G936">
        <v>2</v>
      </c>
      <c r="H936" t="s">
        <v>509</v>
      </c>
      <c r="I936" t="b">
        <v>0</v>
      </c>
      <c r="K936" s="10">
        <v>0.524305555555556</v>
      </c>
      <c r="L936" s="10">
        <v>0.622222222222222</v>
      </c>
      <c r="M936">
        <v>141</v>
      </c>
      <c r="N936" t="b">
        <v>0</v>
      </c>
    </row>
    <row r="937" spans="1:15">
      <c r="A937">
        <v>936</v>
      </c>
      <c r="B937" t="s">
        <v>1261</v>
      </c>
      <c r="C937" t="s">
        <v>25</v>
      </c>
      <c r="D937" s="9">
        <v>40518</v>
      </c>
      <c r="E937">
        <v>13</v>
      </c>
      <c r="F937" t="s">
        <v>17</v>
      </c>
      <c r="G937">
        <v>3</v>
      </c>
      <c r="H937" t="s">
        <v>251</v>
      </c>
      <c r="I937" t="b">
        <v>1</v>
      </c>
      <c r="J937" t="s">
        <v>178</v>
      </c>
      <c r="K937" s="10">
        <v>0.646527777777778</v>
      </c>
      <c r="L937" s="10">
        <v>0.768055555555556</v>
      </c>
      <c r="M937">
        <v>175</v>
      </c>
      <c r="N937" t="b">
        <v>0</v>
      </c>
    </row>
    <row r="938" spans="1:15">
      <c r="A938">
        <v>937</v>
      </c>
      <c r="B938" t="s">
        <v>1262</v>
      </c>
      <c r="C938" t="s">
        <v>25</v>
      </c>
      <c r="D938" s="9">
        <v>27611</v>
      </c>
      <c r="E938">
        <v>49</v>
      </c>
      <c r="F938" t="s">
        <v>17</v>
      </c>
      <c r="G938">
        <v>3</v>
      </c>
      <c r="H938" t="s">
        <v>136</v>
      </c>
      <c r="I938" t="b">
        <v>1</v>
      </c>
      <c r="J938" t="s">
        <v>428</v>
      </c>
      <c r="K938" s="10">
        <v>0.454861111111111</v>
      </c>
      <c r="L938" s="10">
        <v>0.578472222222222</v>
      </c>
      <c r="M938">
        <v>178</v>
      </c>
      <c r="N938" t="b">
        <v>0</v>
      </c>
    </row>
    <row r="939" spans="1:15">
      <c r="A939">
        <v>938</v>
      </c>
      <c r="B939" t="s">
        <v>1263</v>
      </c>
      <c r="C939" t="s">
        <v>25</v>
      </c>
      <c r="D939" s="9">
        <v>33888</v>
      </c>
      <c r="E939">
        <v>31</v>
      </c>
      <c r="F939" t="s">
        <v>21</v>
      </c>
      <c r="G939">
        <v>3</v>
      </c>
      <c r="H939" t="s">
        <v>148</v>
      </c>
      <c r="I939" t="b">
        <v>1</v>
      </c>
      <c r="J939" t="s">
        <v>201</v>
      </c>
      <c r="K939" s="10">
        <v>0.414583333333333</v>
      </c>
      <c r="L939" s="10">
        <v>0.470833333333333</v>
      </c>
      <c r="M939">
        <v>81</v>
      </c>
      <c r="N939" t="b">
        <v>1</v>
      </c>
      <c r="O939" t="s">
        <v>28</v>
      </c>
    </row>
    <row r="940" spans="1:15">
      <c r="A940">
        <v>939</v>
      </c>
      <c r="B940" t="s">
        <v>1264</v>
      </c>
      <c r="C940" t="s">
        <v>16</v>
      </c>
      <c r="D940" s="9">
        <v>29867</v>
      </c>
      <c r="E940">
        <v>42</v>
      </c>
      <c r="F940" t="s">
        <v>17</v>
      </c>
      <c r="G940">
        <v>5</v>
      </c>
      <c r="H940" t="s">
        <v>96</v>
      </c>
      <c r="I940" t="b">
        <v>0</v>
      </c>
      <c r="K940" s="10">
        <v>0.534722222222222</v>
      </c>
      <c r="L940" s="10">
        <v>0.590277777777778</v>
      </c>
      <c r="M940">
        <v>80</v>
      </c>
      <c r="N940" t="b">
        <v>1</v>
      </c>
      <c r="O940" t="s">
        <v>47</v>
      </c>
    </row>
    <row r="941" spans="1:15">
      <c r="A941">
        <v>940</v>
      </c>
      <c r="B941" t="s">
        <v>1126</v>
      </c>
      <c r="C941" t="s">
        <v>16</v>
      </c>
      <c r="D941" s="9">
        <v>33410</v>
      </c>
      <c r="E941">
        <v>33</v>
      </c>
      <c r="F941" t="s">
        <v>17</v>
      </c>
      <c r="G941">
        <v>2</v>
      </c>
      <c r="H941" t="s">
        <v>69</v>
      </c>
      <c r="I941" t="b">
        <v>1</v>
      </c>
      <c r="J941" t="s">
        <v>1265</v>
      </c>
      <c r="K941" s="10">
        <v>0.850694444444445</v>
      </c>
      <c r="L941" s="10">
        <v>0.878472222222222</v>
      </c>
      <c r="M941">
        <v>40</v>
      </c>
      <c r="N941" t="b">
        <v>0</v>
      </c>
    </row>
    <row r="942" spans="1:15">
      <c r="A942">
        <v>941</v>
      </c>
      <c r="B942" t="s">
        <v>1266</v>
      </c>
      <c r="C942" t="s">
        <v>25</v>
      </c>
      <c r="D942" s="9">
        <v>28845</v>
      </c>
      <c r="E942">
        <v>45</v>
      </c>
      <c r="F942" t="s">
        <v>17</v>
      </c>
      <c r="G942">
        <v>3</v>
      </c>
      <c r="H942" t="s">
        <v>164</v>
      </c>
      <c r="I942" t="b">
        <v>0</v>
      </c>
      <c r="K942" s="10">
        <v>0.43125</v>
      </c>
      <c r="L942" s="10">
        <v>0.470833333333333</v>
      </c>
      <c r="M942">
        <v>57</v>
      </c>
      <c r="N942" t="b">
        <v>1</v>
      </c>
      <c r="O942" t="s">
        <v>50</v>
      </c>
    </row>
    <row r="943" spans="1:15">
      <c r="A943">
        <v>942</v>
      </c>
      <c r="B943" t="s">
        <v>1267</v>
      </c>
      <c r="C943" t="s">
        <v>25</v>
      </c>
      <c r="D943" s="9">
        <v>29653</v>
      </c>
      <c r="E943">
        <v>43</v>
      </c>
      <c r="F943" t="s">
        <v>21</v>
      </c>
      <c r="G943">
        <v>3</v>
      </c>
      <c r="H943" t="s">
        <v>85</v>
      </c>
      <c r="I943" t="b">
        <v>0</v>
      </c>
      <c r="K943" s="10">
        <v>0.449305555555556</v>
      </c>
      <c r="L943" s="10">
        <v>0.548611111111111</v>
      </c>
      <c r="M943">
        <v>143</v>
      </c>
      <c r="N943" t="b">
        <v>1</v>
      </c>
      <c r="O943" t="s">
        <v>28</v>
      </c>
    </row>
    <row r="944" spans="1:15">
      <c r="A944">
        <v>943</v>
      </c>
      <c r="B944" t="s">
        <v>1268</v>
      </c>
      <c r="C944" t="s">
        <v>25</v>
      </c>
      <c r="D944" s="9">
        <v>30734</v>
      </c>
      <c r="E944">
        <v>40</v>
      </c>
      <c r="F944" t="s">
        <v>21</v>
      </c>
      <c r="G944">
        <v>3</v>
      </c>
      <c r="H944" t="s">
        <v>98</v>
      </c>
      <c r="I944" t="b">
        <v>0</v>
      </c>
      <c r="K944" s="10">
        <v>0.498611111111111</v>
      </c>
      <c r="L944" s="10">
        <v>0.60625</v>
      </c>
      <c r="M944">
        <v>155</v>
      </c>
      <c r="N944" t="b">
        <v>1</v>
      </c>
      <c r="O944" t="s">
        <v>28</v>
      </c>
    </row>
    <row r="945" spans="1:15">
      <c r="A945">
        <v>944</v>
      </c>
      <c r="B945" t="s">
        <v>1269</v>
      </c>
      <c r="C945" t="s">
        <v>16</v>
      </c>
      <c r="D945" s="9">
        <v>34241</v>
      </c>
      <c r="E945">
        <v>31</v>
      </c>
      <c r="F945" t="s">
        <v>21</v>
      </c>
      <c r="G945">
        <v>5</v>
      </c>
      <c r="H945" t="s">
        <v>816</v>
      </c>
      <c r="I945" t="b">
        <v>0</v>
      </c>
      <c r="K945" s="10">
        <v>0.403472222222222</v>
      </c>
      <c r="L945" s="10">
        <v>0.460416666666667</v>
      </c>
      <c r="M945">
        <v>82</v>
      </c>
      <c r="N945" t="b">
        <v>1</v>
      </c>
      <c r="O945" t="s">
        <v>23</v>
      </c>
    </row>
    <row r="946" spans="1:15">
      <c r="A946">
        <v>945</v>
      </c>
      <c r="B946" t="s">
        <v>1270</v>
      </c>
      <c r="C946" t="s">
        <v>16</v>
      </c>
      <c r="D946" s="9">
        <v>27727</v>
      </c>
      <c r="E946">
        <v>48</v>
      </c>
      <c r="F946" t="s">
        <v>21</v>
      </c>
      <c r="G946">
        <v>2</v>
      </c>
      <c r="H946" t="s">
        <v>121</v>
      </c>
      <c r="I946" t="b">
        <v>0</v>
      </c>
      <c r="K946" s="10">
        <v>0.718055555555556</v>
      </c>
      <c r="L946" s="10">
        <v>0.838888888888889</v>
      </c>
      <c r="M946">
        <v>174</v>
      </c>
      <c r="N946" t="b">
        <v>1</v>
      </c>
      <c r="O946" t="s">
        <v>47</v>
      </c>
    </row>
    <row r="947" spans="1:15">
      <c r="A947">
        <v>946</v>
      </c>
      <c r="B947" t="s">
        <v>1271</v>
      </c>
      <c r="C947" t="s">
        <v>25</v>
      </c>
      <c r="D947" s="9">
        <v>37666</v>
      </c>
      <c r="E947">
        <v>21</v>
      </c>
      <c r="F947" t="s">
        <v>17</v>
      </c>
      <c r="G947">
        <v>3</v>
      </c>
      <c r="H947" t="s">
        <v>37</v>
      </c>
      <c r="I947" t="b">
        <v>0</v>
      </c>
      <c r="K947" s="10">
        <v>0.575694444444444</v>
      </c>
      <c r="L947" s="10">
        <v>0.697916666666667</v>
      </c>
      <c r="M947">
        <v>176</v>
      </c>
      <c r="N947" t="b">
        <v>1</v>
      </c>
      <c r="O947" t="s">
        <v>50</v>
      </c>
    </row>
    <row r="948" spans="1:15">
      <c r="A948">
        <v>947</v>
      </c>
      <c r="B948" t="s">
        <v>936</v>
      </c>
      <c r="C948" t="s">
        <v>16</v>
      </c>
      <c r="D948" s="9">
        <v>38908</v>
      </c>
      <c r="E948">
        <v>18</v>
      </c>
      <c r="F948" t="s">
        <v>21</v>
      </c>
      <c r="G948">
        <v>4</v>
      </c>
      <c r="H948" t="s">
        <v>123</v>
      </c>
      <c r="I948" t="b">
        <v>0</v>
      </c>
      <c r="K948" s="10">
        <v>0.404166666666667</v>
      </c>
      <c r="L948" s="10">
        <v>0.4875</v>
      </c>
      <c r="M948">
        <v>120</v>
      </c>
      <c r="N948" t="b">
        <v>1</v>
      </c>
      <c r="O948" t="s">
        <v>28</v>
      </c>
    </row>
    <row r="949" spans="1:15">
      <c r="A949">
        <v>948</v>
      </c>
      <c r="B949" t="s">
        <v>50</v>
      </c>
      <c r="C949" t="s">
        <v>16</v>
      </c>
      <c r="D949" s="9">
        <v>36612</v>
      </c>
      <c r="E949">
        <v>24</v>
      </c>
      <c r="F949" t="s">
        <v>17</v>
      </c>
      <c r="G949">
        <v>2</v>
      </c>
      <c r="H949" t="s">
        <v>40</v>
      </c>
      <c r="I949" t="b">
        <v>1</v>
      </c>
      <c r="J949" t="s">
        <v>1272</v>
      </c>
      <c r="K949" s="10">
        <v>0.485416666666667</v>
      </c>
      <c r="L949" s="10">
        <v>0.507638888888889</v>
      </c>
      <c r="M949">
        <v>32</v>
      </c>
      <c r="N949" t="b">
        <v>0</v>
      </c>
    </row>
    <row r="950" spans="1:15">
      <c r="A950">
        <v>949</v>
      </c>
      <c r="B950" t="s">
        <v>1273</v>
      </c>
      <c r="C950" t="s">
        <v>25</v>
      </c>
      <c r="D950" s="9">
        <v>33062</v>
      </c>
      <c r="E950">
        <v>34</v>
      </c>
      <c r="F950" t="s">
        <v>21</v>
      </c>
      <c r="G950">
        <v>2</v>
      </c>
      <c r="H950" t="s">
        <v>133</v>
      </c>
      <c r="I950" t="b">
        <v>0</v>
      </c>
      <c r="K950" s="10">
        <v>0.709027777777778</v>
      </c>
      <c r="L950" s="10">
        <v>0.756944444444445</v>
      </c>
      <c r="M950">
        <v>69</v>
      </c>
      <c r="N950" t="b">
        <v>1</v>
      </c>
      <c r="O950" t="s">
        <v>50</v>
      </c>
    </row>
    <row r="951" spans="1:15">
      <c r="A951">
        <v>950</v>
      </c>
      <c r="B951" t="s">
        <v>1274</v>
      </c>
      <c r="C951" t="s">
        <v>16</v>
      </c>
      <c r="D951" s="9">
        <v>37195</v>
      </c>
      <c r="E951">
        <v>22</v>
      </c>
      <c r="F951" t="s">
        <v>21</v>
      </c>
      <c r="G951">
        <v>5</v>
      </c>
      <c r="H951" t="s">
        <v>183</v>
      </c>
      <c r="I951" t="b">
        <v>1</v>
      </c>
      <c r="J951" t="s">
        <v>217</v>
      </c>
      <c r="K951" s="10">
        <v>0.655555555555556</v>
      </c>
      <c r="L951" s="10">
        <v>0.736111111111111</v>
      </c>
      <c r="M951">
        <v>116</v>
      </c>
      <c r="N951" t="b">
        <v>1</v>
      </c>
      <c r="O951" t="s">
        <v>23</v>
      </c>
    </row>
    <row r="952" spans="1:15">
      <c r="A952">
        <v>951</v>
      </c>
      <c r="B952" t="s">
        <v>1275</v>
      </c>
      <c r="C952" t="s">
        <v>16</v>
      </c>
      <c r="D952" s="9">
        <v>37563</v>
      </c>
      <c r="E952">
        <v>21</v>
      </c>
      <c r="F952" t="s">
        <v>17</v>
      </c>
      <c r="G952">
        <v>5</v>
      </c>
      <c r="H952" t="s">
        <v>192</v>
      </c>
      <c r="I952" t="b">
        <v>1</v>
      </c>
      <c r="J952" t="s">
        <v>1276</v>
      </c>
      <c r="K952" s="10">
        <v>0.483333333333333</v>
      </c>
      <c r="L952" s="10">
        <v>0.571527777777778</v>
      </c>
      <c r="M952">
        <v>127</v>
      </c>
      <c r="N952" t="b">
        <v>0</v>
      </c>
    </row>
    <row r="953" spans="1:15">
      <c r="A953">
        <v>952</v>
      </c>
      <c r="B953" t="s">
        <v>1277</v>
      </c>
      <c r="C953" t="s">
        <v>25</v>
      </c>
      <c r="D953" s="9">
        <v>30019</v>
      </c>
      <c r="E953">
        <v>42</v>
      </c>
      <c r="F953" t="s">
        <v>21</v>
      </c>
      <c r="G953">
        <v>4</v>
      </c>
      <c r="H953" t="s">
        <v>61</v>
      </c>
      <c r="I953" t="b">
        <v>1</v>
      </c>
      <c r="J953" t="s">
        <v>174</v>
      </c>
      <c r="K953" s="10">
        <v>0.80625</v>
      </c>
      <c r="L953" s="10">
        <v>0.844444444444444</v>
      </c>
      <c r="M953">
        <v>55</v>
      </c>
      <c r="N953" t="b">
        <v>1</v>
      </c>
      <c r="O953" t="s">
        <v>23</v>
      </c>
    </row>
    <row r="954" spans="1:15">
      <c r="A954">
        <v>953</v>
      </c>
      <c r="B954" t="s">
        <v>1278</v>
      </c>
      <c r="C954" t="s">
        <v>16</v>
      </c>
      <c r="D954" s="9">
        <v>28301</v>
      </c>
      <c r="E954">
        <v>47</v>
      </c>
      <c r="F954" t="s">
        <v>21</v>
      </c>
      <c r="G954">
        <v>2</v>
      </c>
      <c r="H954" t="s">
        <v>509</v>
      </c>
      <c r="I954" t="b">
        <v>1</v>
      </c>
      <c r="J954" t="s">
        <v>260</v>
      </c>
      <c r="K954" s="10">
        <v>0.782638888888889</v>
      </c>
      <c r="L954" s="10">
        <v>0.84375</v>
      </c>
      <c r="M954">
        <v>88</v>
      </c>
      <c r="N954" t="b">
        <v>0</v>
      </c>
    </row>
    <row r="955" spans="1:15">
      <c r="A955">
        <v>954</v>
      </c>
      <c r="B955" t="s">
        <v>1279</v>
      </c>
      <c r="C955" t="s">
        <v>25</v>
      </c>
      <c r="D955" s="9">
        <v>29199</v>
      </c>
      <c r="E955">
        <v>44</v>
      </c>
      <c r="F955" t="s">
        <v>17</v>
      </c>
      <c r="G955">
        <v>5</v>
      </c>
      <c r="H955" t="s">
        <v>104</v>
      </c>
      <c r="I955" t="b">
        <v>1</v>
      </c>
      <c r="J955" t="s">
        <v>1280</v>
      </c>
      <c r="K955" s="10">
        <v>0.64375</v>
      </c>
      <c r="L955" s="10">
        <v>0.726388888888889</v>
      </c>
      <c r="M955">
        <v>119</v>
      </c>
      <c r="N955" t="b">
        <v>1</v>
      </c>
      <c r="O955" t="s">
        <v>28</v>
      </c>
    </row>
    <row r="956" spans="1:15">
      <c r="A956">
        <v>955</v>
      </c>
      <c r="B956" t="s">
        <v>1281</v>
      </c>
      <c r="C956" t="s">
        <v>25</v>
      </c>
      <c r="D956" s="9">
        <v>31435</v>
      </c>
      <c r="E956">
        <v>38</v>
      </c>
      <c r="F956" t="s">
        <v>21</v>
      </c>
      <c r="G956">
        <v>3</v>
      </c>
      <c r="H956" t="s">
        <v>79</v>
      </c>
      <c r="I956" t="b">
        <v>1</v>
      </c>
      <c r="J956" t="s">
        <v>935</v>
      </c>
      <c r="K956" s="10">
        <v>0.531944444444444</v>
      </c>
      <c r="L956" s="10">
        <v>0.557638888888889</v>
      </c>
      <c r="M956">
        <v>37</v>
      </c>
      <c r="N956" t="b">
        <v>1</v>
      </c>
      <c r="O956" t="s">
        <v>28</v>
      </c>
    </row>
    <row r="957" spans="1:15">
      <c r="A957">
        <v>956</v>
      </c>
      <c r="B957" t="s">
        <v>1282</v>
      </c>
      <c r="C957" t="s">
        <v>16</v>
      </c>
      <c r="D957" s="9">
        <v>40417</v>
      </c>
      <c r="E957">
        <v>14</v>
      </c>
      <c r="F957" t="s">
        <v>17</v>
      </c>
      <c r="G957">
        <v>2</v>
      </c>
      <c r="H957" t="s">
        <v>101</v>
      </c>
      <c r="I957" t="b">
        <v>1</v>
      </c>
      <c r="J957" t="s">
        <v>1283</v>
      </c>
      <c r="K957" s="10">
        <v>0.595833333333333</v>
      </c>
      <c r="L957" s="10">
        <v>0.649305555555556</v>
      </c>
      <c r="M957">
        <v>77</v>
      </c>
      <c r="N957" t="b">
        <v>0</v>
      </c>
    </row>
    <row r="958" spans="1:15">
      <c r="A958">
        <v>957</v>
      </c>
      <c r="B958" t="s">
        <v>1284</v>
      </c>
      <c r="C958" t="s">
        <v>16</v>
      </c>
      <c r="D958" s="9">
        <v>38547</v>
      </c>
      <c r="E958">
        <v>19</v>
      </c>
      <c r="F958" t="s">
        <v>17</v>
      </c>
      <c r="G958">
        <v>3</v>
      </c>
      <c r="H958" t="s">
        <v>247</v>
      </c>
      <c r="I958" t="b">
        <v>0</v>
      </c>
      <c r="K958" s="10">
        <v>0.738194444444444</v>
      </c>
      <c r="L958" s="10">
        <v>0.802083333333333</v>
      </c>
      <c r="M958">
        <v>92</v>
      </c>
      <c r="N958" t="b">
        <v>1</v>
      </c>
      <c r="O958" t="s">
        <v>28</v>
      </c>
    </row>
    <row r="959" spans="1:15">
      <c r="A959">
        <v>958</v>
      </c>
      <c r="B959" t="s">
        <v>1285</v>
      </c>
      <c r="C959" t="s">
        <v>16</v>
      </c>
      <c r="D959" s="9">
        <v>40262</v>
      </c>
      <c r="E959">
        <v>14</v>
      </c>
      <c r="F959" t="s">
        <v>21</v>
      </c>
      <c r="G959">
        <v>3</v>
      </c>
      <c r="H959" t="s">
        <v>513</v>
      </c>
      <c r="I959" t="b">
        <v>1</v>
      </c>
      <c r="J959" t="s">
        <v>943</v>
      </c>
      <c r="K959" s="10">
        <v>0.582638888888889</v>
      </c>
      <c r="L959" s="10">
        <v>0.654861111111111</v>
      </c>
      <c r="M959">
        <v>104</v>
      </c>
      <c r="N959" t="b">
        <v>0</v>
      </c>
    </row>
    <row r="960" spans="1:15">
      <c r="A960">
        <v>959</v>
      </c>
      <c r="B960" t="s">
        <v>1286</v>
      </c>
      <c r="C960" t="s">
        <v>16</v>
      </c>
      <c r="D960" s="9">
        <v>37723</v>
      </c>
      <c r="E960">
        <v>21</v>
      </c>
      <c r="F960" t="s">
        <v>17</v>
      </c>
      <c r="G960">
        <v>3</v>
      </c>
      <c r="H960" t="s">
        <v>315</v>
      </c>
      <c r="I960" t="b">
        <v>0</v>
      </c>
      <c r="K960" s="10">
        <v>0.390277777777778</v>
      </c>
      <c r="L960" s="10">
        <v>0.508333333333333</v>
      </c>
      <c r="M960">
        <v>170</v>
      </c>
      <c r="N960" t="b">
        <v>1</v>
      </c>
      <c r="O960" t="s">
        <v>50</v>
      </c>
    </row>
    <row r="961" spans="1:15">
      <c r="A961">
        <v>960</v>
      </c>
      <c r="B961" t="s">
        <v>1287</v>
      </c>
      <c r="C961" t="s">
        <v>16</v>
      </c>
      <c r="D961" s="9">
        <v>34023</v>
      </c>
      <c r="E961">
        <v>31</v>
      </c>
      <c r="F961" t="s">
        <v>21</v>
      </c>
      <c r="G961">
        <v>3</v>
      </c>
      <c r="H961" t="s">
        <v>247</v>
      </c>
      <c r="I961" t="b">
        <v>0</v>
      </c>
      <c r="K961" s="10">
        <v>0.426388888888889</v>
      </c>
      <c r="L961" s="10">
        <v>0.476388888888889</v>
      </c>
      <c r="M961">
        <v>72</v>
      </c>
      <c r="N961" t="b">
        <v>1</v>
      </c>
      <c r="O961" t="s">
        <v>23</v>
      </c>
    </row>
    <row r="962" spans="1:15">
      <c r="A962">
        <v>961</v>
      </c>
      <c r="B962" t="s">
        <v>1288</v>
      </c>
      <c r="C962" t="s">
        <v>16</v>
      </c>
      <c r="D962" s="9">
        <v>33231</v>
      </c>
      <c r="E962">
        <v>33</v>
      </c>
      <c r="F962" t="s">
        <v>17</v>
      </c>
      <c r="G962">
        <v>4</v>
      </c>
      <c r="H962" t="s">
        <v>439</v>
      </c>
      <c r="I962" t="b">
        <v>0</v>
      </c>
      <c r="K962" s="10">
        <v>0.433333333333333</v>
      </c>
      <c r="L962" s="10">
        <v>0.525</v>
      </c>
      <c r="M962">
        <v>132</v>
      </c>
      <c r="N962" t="b">
        <v>0</v>
      </c>
    </row>
    <row r="963" spans="1:15">
      <c r="A963">
        <v>962</v>
      </c>
      <c r="B963" t="s">
        <v>1289</v>
      </c>
      <c r="C963" t="s">
        <v>16</v>
      </c>
      <c r="D963" s="9">
        <v>35054</v>
      </c>
      <c r="E963">
        <v>28</v>
      </c>
      <c r="F963" t="s">
        <v>21</v>
      </c>
      <c r="G963">
        <v>3</v>
      </c>
      <c r="H963" t="s">
        <v>57</v>
      </c>
      <c r="I963" t="b">
        <v>0</v>
      </c>
      <c r="K963" s="10">
        <v>0.561111111111111</v>
      </c>
      <c r="L963" s="10">
        <v>0.633333333333333</v>
      </c>
      <c r="M963">
        <v>104</v>
      </c>
      <c r="N963" t="b">
        <v>1</v>
      </c>
      <c r="O963" t="s">
        <v>47</v>
      </c>
    </row>
    <row r="964" spans="1:15">
      <c r="A964">
        <v>963</v>
      </c>
      <c r="B964" t="s">
        <v>181</v>
      </c>
      <c r="C964" t="s">
        <v>25</v>
      </c>
      <c r="D964" s="9">
        <v>40619</v>
      </c>
      <c r="E964">
        <v>13</v>
      </c>
      <c r="F964" t="s">
        <v>17</v>
      </c>
      <c r="G964">
        <v>2</v>
      </c>
      <c r="H964" t="s">
        <v>187</v>
      </c>
      <c r="I964" t="b">
        <v>1</v>
      </c>
      <c r="J964" t="s">
        <v>107</v>
      </c>
      <c r="K964" s="10">
        <v>0.390972222222222</v>
      </c>
      <c r="L964" s="10">
        <v>0.459027777777778</v>
      </c>
      <c r="M964">
        <v>98</v>
      </c>
      <c r="N964" t="b">
        <v>0</v>
      </c>
    </row>
    <row r="965" spans="1:15">
      <c r="A965">
        <v>964</v>
      </c>
      <c r="B965" t="s">
        <v>1290</v>
      </c>
      <c r="C965" t="s">
        <v>25</v>
      </c>
      <c r="D965" s="9">
        <v>29703</v>
      </c>
      <c r="E965">
        <v>43</v>
      </c>
      <c r="F965" t="s">
        <v>21</v>
      </c>
      <c r="G965">
        <v>3</v>
      </c>
      <c r="H965" t="s">
        <v>325</v>
      </c>
      <c r="I965" t="b">
        <v>0</v>
      </c>
      <c r="K965" s="10">
        <v>0.775694444444444</v>
      </c>
      <c r="L965" s="10">
        <v>0.85</v>
      </c>
      <c r="M965">
        <v>107</v>
      </c>
      <c r="N965" t="b">
        <v>1</v>
      </c>
      <c r="O965" t="s">
        <v>28</v>
      </c>
    </row>
    <row r="966" spans="1:15">
      <c r="A966">
        <v>965</v>
      </c>
      <c r="B966" t="s">
        <v>1291</v>
      </c>
      <c r="C966" t="s">
        <v>25</v>
      </c>
      <c r="D966" s="9">
        <v>40118</v>
      </c>
      <c r="E966">
        <v>14</v>
      </c>
      <c r="F966" t="s">
        <v>21</v>
      </c>
      <c r="G966">
        <v>1</v>
      </c>
      <c r="H966" t="s">
        <v>46</v>
      </c>
      <c r="I966" t="b">
        <v>1</v>
      </c>
      <c r="J966" t="s">
        <v>1292</v>
      </c>
      <c r="K966" s="10">
        <v>0.497222222222222</v>
      </c>
      <c r="L966" s="10">
        <v>0.523611111111111</v>
      </c>
      <c r="M966">
        <v>38</v>
      </c>
      <c r="N966" t="b">
        <v>0</v>
      </c>
    </row>
    <row r="967" spans="1:15">
      <c r="A967">
        <v>966</v>
      </c>
      <c r="B967" t="s">
        <v>1253</v>
      </c>
      <c r="C967" t="s">
        <v>25</v>
      </c>
      <c r="D967" s="9">
        <v>32196</v>
      </c>
      <c r="E967">
        <v>36</v>
      </c>
      <c r="F967" t="s">
        <v>17</v>
      </c>
      <c r="G967">
        <v>2</v>
      </c>
      <c r="H967" t="s">
        <v>306</v>
      </c>
      <c r="I967" t="b">
        <v>0</v>
      </c>
      <c r="K967" s="10">
        <v>0.700694444444444</v>
      </c>
      <c r="L967" s="10">
        <v>0.734722222222222</v>
      </c>
      <c r="M967">
        <v>49</v>
      </c>
      <c r="N967" t="b">
        <v>1</v>
      </c>
      <c r="O967" t="s">
        <v>50</v>
      </c>
    </row>
    <row r="968" spans="1:15">
      <c r="A968">
        <v>967</v>
      </c>
      <c r="B968" t="s">
        <v>1293</v>
      </c>
      <c r="C968" t="s">
        <v>16</v>
      </c>
      <c r="D968" s="9">
        <v>35879</v>
      </c>
      <c r="E968">
        <v>26</v>
      </c>
      <c r="F968" t="s">
        <v>21</v>
      </c>
      <c r="G968">
        <v>1</v>
      </c>
      <c r="H968" t="s">
        <v>26</v>
      </c>
      <c r="I968" t="b">
        <v>1</v>
      </c>
      <c r="J968" t="s">
        <v>107</v>
      </c>
      <c r="K968" s="10">
        <v>0.4875</v>
      </c>
      <c r="L968" s="10">
        <v>0.536111111111111</v>
      </c>
      <c r="M968">
        <v>70</v>
      </c>
      <c r="N968" t="b">
        <v>1</v>
      </c>
      <c r="O968" t="s">
        <v>47</v>
      </c>
    </row>
    <row r="969" spans="1:15">
      <c r="A969">
        <v>968</v>
      </c>
      <c r="B969" t="s">
        <v>1294</v>
      </c>
      <c r="C969" t="s">
        <v>16</v>
      </c>
      <c r="D969" s="9">
        <v>40688</v>
      </c>
      <c r="E969">
        <v>13</v>
      </c>
      <c r="F969" t="s">
        <v>21</v>
      </c>
      <c r="G969">
        <v>3</v>
      </c>
      <c r="H969" t="s">
        <v>222</v>
      </c>
      <c r="I969" t="b">
        <v>0</v>
      </c>
      <c r="K969" s="10">
        <v>0.566666666666667</v>
      </c>
      <c r="L969" s="10">
        <v>0.596527777777778</v>
      </c>
      <c r="M969">
        <v>43</v>
      </c>
      <c r="N969" t="b">
        <v>1</v>
      </c>
      <c r="O969" t="s">
        <v>28</v>
      </c>
    </row>
    <row r="970" spans="1:15">
      <c r="A970">
        <v>969</v>
      </c>
      <c r="B970" t="s">
        <v>1295</v>
      </c>
      <c r="C970" t="s">
        <v>25</v>
      </c>
      <c r="D970" s="9">
        <v>36111</v>
      </c>
      <c r="E970">
        <v>25</v>
      </c>
      <c r="F970" t="s">
        <v>21</v>
      </c>
      <c r="G970">
        <v>1</v>
      </c>
      <c r="H970" t="s">
        <v>59</v>
      </c>
      <c r="I970" t="b">
        <v>0</v>
      </c>
      <c r="K970" s="10">
        <v>0.647916666666667</v>
      </c>
      <c r="L970" s="10">
        <v>0.688888888888889</v>
      </c>
      <c r="M970">
        <v>59</v>
      </c>
      <c r="N970" t="b">
        <v>1</v>
      </c>
      <c r="O970" t="s">
        <v>28</v>
      </c>
    </row>
    <row r="971" spans="1:15">
      <c r="A971">
        <v>970</v>
      </c>
      <c r="B971" t="s">
        <v>1296</v>
      </c>
      <c r="C971" t="s">
        <v>25</v>
      </c>
      <c r="D971" s="9">
        <v>28629</v>
      </c>
      <c r="E971">
        <v>46</v>
      </c>
      <c r="F971" t="s">
        <v>17</v>
      </c>
      <c r="G971">
        <v>2</v>
      </c>
      <c r="H971" t="s">
        <v>69</v>
      </c>
      <c r="I971" t="b">
        <v>0</v>
      </c>
      <c r="K971" s="10">
        <v>0.348611111111111</v>
      </c>
      <c r="L971" s="10">
        <v>0.469444444444444</v>
      </c>
      <c r="M971">
        <v>174</v>
      </c>
      <c r="N971" t="b">
        <v>1</v>
      </c>
      <c r="O971" t="s">
        <v>28</v>
      </c>
    </row>
    <row r="972" spans="1:15">
      <c r="A972">
        <v>971</v>
      </c>
      <c r="B972" t="s">
        <v>1297</v>
      </c>
      <c r="C972" t="s">
        <v>16</v>
      </c>
      <c r="D972" s="9">
        <v>37280</v>
      </c>
      <c r="E972">
        <v>22</v>
      </c>
      <c r="F972" t="s">
        <v>17</v>
      </c>
      <c r="G972">
        <v>3</v>
      </c>
      <c r="H972" t="s">
        <v>513</v>
      </c>
      <c r="I972" t="b">
        <v>1</v>
      </c>
      <c r="J972" t="s">
        <v>1298</v>
      </c>
      <c r="K972" s="10">
        <v>0.692361111111111</v>
      </c>
      <c r="L972" s="10">
        <v>0.770138888888889</v>
      </c>
      <c r="M972">
        <v>112</v>
      </c>
      <c r="N972" t="b">
        <v>0</v>
      </c>
    </row>
    <row r="973" spans="1:15">
      <c r="A973">
        <v>972</v>
      </c>
      <c r="B973" t="s">
        <v>840</v>
      </c>
      <c r="C973" t="s">
        <v>25</v>
      </c>
      <c r="D973" s="9">
        <v>34294</v>
      </c>
      <c r="E973">
        <v>30</v>
      </c>
      <c r="F973" t="s">
        <v>17</v>
      </c>
      <c r="G973">
        <v>3</v>
      </c>
      <c r="H973" t="s">
        <v>30</v>
      </c>
      <c r="I973" t="b">
        <v>1</v>
      </c>
      <c r="J973" t="s">
        <v>1299</v>
      </c>
      <c r="K973" s="10">
        <v>0.613888888888889</v>
      </c>
      <c r="L973" s="10">
        <v>0.715277777777778</v>
      </c>
      <c r="M973">
        <v>146</v>
      </c>
      <c r="N973" t="b">
        <v>1</v>
      </c>
      <c r="O973" t="s">
        <v>50</v>
      </c>
    </row>
    <row r="974" spans="1:15">
      <c r="A974">
        <v>973</v>
      </c>
      <c r="B974" t="s">
        <v>1300</v>
      </c>
      <c r="C974" t="s">
        <v>25</v>
      </c>
      <c r="D974" s="9">
        <v>33315</v>
      </c>
      <c r="E974">
        <v>33</v>
      </c>
      <c r="F974" t="s">
        <v>21</v>
      </c>
      <c r="G974">
        <v>1</v>
      </c>
      <c r="H974" t="s">
        <v>81</v>
      </c>
      <c r="I974" t="b">
        <v>1</v>
      </c>
      <c r="J974" t="s">
        <v>528</v>
      </c>
      <c r="K974" s="10">
        <v>0.695138888888889</v>
      </c>
      <c r="L974" s="10">
        <v>0.740972222222222</v>
      </c>
      <c r="M974">
        <v>66</v>
      </c>
      <c r="N974" t="b">
        <v>0</v>
      </c>
    </row>
    <row r="975" spans="1:15">
      <c r="A975">
        <v>974</v>
      </c>
      <c r="B975" t="s">
        <v>1301</v>
      </c>
      <c r="C975" t="s">
        <v>16</v>
      </c>
      <c r="D975" s="9">
        <v>35016</v>
      </c>
      <c r="E975">
        <v>28</v>
      </c>
      <c r="F975" t="s">
        <v>17</v>
      </c>
      <c r="G975">
        <v>4</v>
      </c>
      <c r="H975" t="s">
        <v>1230</v>
      </c>
      <c r="I975" t="b">
        <v>1</v>
      </c>
      <c r="J975" t="s">
        <v>93</v>
      </c>
      <c r="K975" s="10">
        <v>0.465277777777778</v>
      </c>
      <c r="L975" s="10">
        <v>0.50625</v>
      </c>
      <c r="M975">
        <v>59</v>
      </c>
      <c r="N975" t="b">
        <v>1</v>
      </c>
      <c r="O975" t="s">
        <v>28</v>
      </c>
    </row>
    <row r="976" spans="1:15">
      <c r="A976">
        <v>975</v>
      </c>
      <c r="B976" t="s">
        <v>1302</v>
      </c>
      <c r="C976" t="s">
        <v>25</v>
      </c>
      <c r="D976" s="9">
        <v>28041</v>
      </c>
      <c r="E976">
        <v>47</v>
      </c>
      <c r="F976" t="s">
        <v>21</v>
      </c>
      <c r="G976">
        <v>3</v>
      </c>
      <c r="H976" t="s">
        <v>321</v>
      </c>
      <c r="I976" t="b">
        <v>0</v>
      </c>
      <c r="K976" s="10">
        <v>0.463194444444444</v>
      </c>
      <c r="L976" s="10">
        <v>0.511111111111111</v>
      </c>
      <c r="M976">
        <v>69</v>
      </c>
      <c r="N976" t="b">
        <v>1</v>
      </c>
      <c r="O976" t="s">
        <v>50</v>
      </c>
    </row>
    <row r="977" spans="1:15">
      <c r="A977">
        <v>976</v>
      </c>
      <c r="B977" t="s">
        <v>1303</v>
      </c>
      <c r="C977" t="s">
        <v>16</v>
      </c>
      <c r="D977" s="9">
        <v>39734</v>
      </c>
      <c r="E977">
        <v>15</v>
      </c>
      <c r="F977" t="s">
        <v>17</v>
      </c>
      <c r="G977">
        <v>5</v>
      </c>
      <c r="H977" t="s">
        <v>417</v>
      </c>
      <c r="I977" t="b">
        <v>0</v>
      </c>
      <c r="K977" s="10">
        <v>0.69375</v>
      </c>
      <c r="L977" s="10">
        <v>0.7375</v>
      </c>
      <c r="M977">
        <v>63</v>
      </c>
      <c r="N977" t="b">
        <v>0</v>
      </c>
    </row>
    <row r="978" spans="1:15">
      <c r="A978">
        <v>977</v>
      </c>
      <c r="B978" t="s">
        <v>1304</v>
      </c>
      <c r="C978" t="s">
        <v>25</v>
      </c>
      <c r="D978" s="9">
        <v>32475</v>
      </c>
      <c r="E978">
        <v>35</v>
      </c>
      <c r="F978" t="s">
        <v>21</v>
      </c>
      <c r="G978">
        <v>3</v>
      </c>
      <c r="H978" t="s">
        <v>215</v>
      </c>
      <c r="I978" t="b">
        <v>1</v>
      </c>
      <c r="J978" t="s">
        <v>44</v>
      </c>
      <c r="K978" s="10">
        <v>0.441666666666667</v>
      </c>
      <c r="L978" s="10">
        <v>0.534722222222222</v>
      </c>
      <c r="M978">
        <v>134</v>
      </c>
      <c r="N978" t="b">
        <v>1</v>
      </c>
      <c r="O978" t="s">
        <v>28</v>
      </c>
    </row>
    <row r="979" spans="1:15">
      <c r="A979">
        <v>978</v>
      </c>
      <c r="B979" t="s">
        <v>1305</v>
      </c>
      <c r="C979" t="s">
        <v>25</v>
      </c>
      <c r="D979" s="9">
        <v>36805</v>
      </c>
      <c r="E979">
        <v>23</v>
      </c>
      <c r="F979" t="s">
        <v>21</v>
      </c>
      <c r="G979">
        <v>3</v>
      </c>
      <c r="H979" t="s">
        <v>150</v>
      </c>
      <c r="I979" t="b">
        <v>0</v>
      </c>
      <c r="K979" s="10">
        <v>0.791666666666667</v>
      </c>
      <c r="L979" s="10">
        <v>0.819444444444445</v>
      </c>
      <c r="M979">
        <v>40</v>
      </c>
      <c r="N979" t="b">
        <v>0</v>
      </c>
    </row>
    <row r="980" spans="1:15">
      <c r="A980">
        <v>979</v>
      </c>
      <c r="B980" t="s">
        <v>1306</v>
      </c>
      <c r="C980" t="s">
        <v>25</v>
      </c>
      <c r="D980" s="9">
        <v>39570</v>
      </c>
      <c r="E980">
        <v>16</v>
      </c>
      <c r="F980" t="s">
        <v>17</v>
      </c>
      <c r="G980">
        <v>3</v>
      </c>
      <c r="H980" t="s">
        <v>57</v>
      </c>
      <c r="I980" t="b">
        <v>1</v>
      </c>
      <c r="J980" t="s">
        <v>780</v>
      </c>
      <c r="K980" s="10">
        <v>0.5625</v>
      </c>
      <c r="L980" s="10">
        <v>0.620833333333333</v>
      </c>
      <c r="M980">
        <v>84</v>
      </c>
      <c r="N980" t="b">
        <v>0</v>
      </c>
    </row>
    <row r="981" spans="1:15">
      <c r="A981">
        <v>980</v>
      </c>
      <c r="B981" t="s">
        <v>1307</v>
      </c>
      <c r="C981" t="s">
        <v>25</v>
      </c>
      <c r="D981" s="9">
        <v>33742</v>
      </c>
      <c r="E981">
        <v>32</v>
      </c>
      <c r="F981" t="s">
        <v>21</v>
      </c>
      <c r="G981">
        <v>3</v>
      </c>
      <c r="H981" t="s">
        <v>513</v>
      </c>
      <c r="I981" t="b">
        <v>1</v>
      </c>
      <c r="J981" t="s">
        <v>19</v>
      </c>
      <c r="K981" s="10">
        <v>0.740972222222222</v>
      </c>
      <c r="L981" s="10">
        <v>0.804166666666667</v>
      </c>
      <c r="M981">
        <v>91</v>
      </c>
      <c r="N981" t="b">
        <v>0</v>
      </c>
    </row>
    <row r="982" spans="1:15">
      <c r="A982">
        <v>981</v>
      </c>
      <c r="B982" t="s">
        <v>1308</v>
      </c>
      <c r="C982" t="s">
        <v>16</v>
      </c>
      <c r="D982" s="9">
        <v>33625</v>
      </c>
      <c r="E982">
        <v>32</v>
      </c>
      <c r="F982" t="s">
        <v>21</v>
      </c>
      <c r="G982">
        <v>3</v>
      </c>
      <c r="H982" t="s">
        <v>106</v>
      </c>
      <c r="I982" t="b">
        <v>1</v>
      </c>
      <c r="J982" t="s">
        <v>1309</v>
      </c>
      <c r="K982" s="10">
        <v>0.619444444444444</v>
      </c>
      <c r="L982" s="10">
        <v>0.678472222222222</v>
      </c>
      <c r="M982">
        <v>85</v>
      </c>
      <c r="N982" t="b">
        <v>0</v>
      </c>
    </row>
    <row r="983" spans="1:15">
      <c r="A983">
        <v>982</v>
      </c>
      <c r="B983" t="s">
        <v>1310</v>
      </c>
      <c r="C983" t="s">
        <v>16</v>
      </c>
      <c r="D983" s="9">
        <v>37854</v>
      </c>
      <c r="E983">
        <v>21</v>
      </c>
      <c r="F983" t="s">
        <v>21</v>
      </c>
      <c r="G983">
        <v>2</v>
      </c>
      <c r="H983" t="s">
        <v>259</v>
      </c>
      <c r="I983" t="b">
        <v>1</v>
      </c>
      <c r="J983" t="s">
        <v>93</v>
      </c>
      <c r="K983" s="10">
        <v>0.832638888888889</v>
      </c>
      <c r="L983" s="10">
        <v>0.864583333333333</v>
      </c>
      <c r="M983">
        <v>46</v>
      </c>
      <c r="N983" t="b">
        <v>1</v>
      </c>
      <c r="O983" t="s">
        <v>28</v>
      </c>
    </row>
    <row r="984" spans="1:15">
      <c r="A984">
        <v>983</v>
      </c>
      <c r="B984" t="s">
        <v>1311</v>
      </c>
      <c r="C984" t="s">
        <v>25</v>
      </c>
      <c r="D984" s="9">
        <v>32204</v>
      </c>
      <c r="E984">
        <v>36</v>
      </c>
      <c r="F984" t="s">
        <v>17</v>
      </c>
      <c r="G984">
        <v>4</v>
      </c>
      <c r="H984" t="s">
        <v>1084</v>
      </c>
      <c r="I984" t="b">
        <v>1</v>
      </c>
      <c r="J984" t="s">
        <v>1312</v>
      </c>
      <c r="K984" s="10">
        <v>0.806944444444444</v>
      </c>
      <c r="L984" s="10">
        <v>0.880555555555556</v>
      </c>
      <c r="M984">
        <v>106</v>
      </c>
      <c r="N984" t="b">
        <v>1</v>
      </c>
      <c r="O984" t="s">
        <v>28</v>
      </c>
    </row>
    <row r="985" spans="1:15">
      <c r="A985">
        <v>984</v>
      </c>
      <c r="B985" t="s">
        <v>1313</v>
      </c>
      <c r="C985" t="s">
        <v>25</v>
      </c>
      <c r="D985" s="9">
        <v>32053</v>
      </c>
      <c r="E985">
        <v>37</v>
      </c>
      <c r="F985" t="s">
        <v>21</v>
      </c>
      <c r="G985">
        <v>1</v>
      </c>
      <c r="H985" t="s">
        <v>59</v>
      </c>
      <c r="I985" t="b">
        <v>1</v>
      </c>
      <c r="J985" t="s">
        <v>1314</v>
      </c>
      <c r="K985" s="10">
        <v>0.669444444444444</v>
      </c>
      <c r="L985" s="10">
        <v>0.704861111111111</v>
      </c>
      <c r="M985">
        <v>51</v>
      </c>
      <c r="N985" t="b">
        <v>1</v>
      </c>
      <c r="O985" t="s">
        <v>28</v>
      </c>
    </row>
    <row r="986" spans="1:15">
      <c r="A986">
        <v>985</v>
      </c>
      <c r="B986" t="s">
        <v>1315</v>
      </c>
      <c r="C986" t="s">
        <v>16</v>
      </c>
      <c r="D986" s="9">
        <v>27679</v>
      </c>
      <c r="E986">
        <v>48</v>
      </c>
      <c r="F986" t="s">
        <v>17</v>
      </c>
      <c r="G986">
        <v>1</v>
      </c>
      <c r="H986" t="s">
        <v>46</v>
      </c>
      <c r="I986" t="b">
        <v>1</v>
      </c>
      <c r="J986" t="s">
        <v>1316</v>
      </c>
      <c r="K986" s="10">
        <v>0.636805555555556</v>
      </c>
      <c r="L986" s="10">
        <v>0.657638888888889</v>
      </c>
      <c r="M986">
        <v>30</v>
      </c>
      <c r="N986" t="b">
        <v>0</v>
      </c>
    </row>
    <row r="987" spans="1:15">
      <c r="A987">
        <v>986</v>
      </c>
      <c r="B987" t="s">
        <v>1317</v>
      </c>
      <c r="C987" t="s">
        <v>25</v>
      </c>
      <c r="D987" s="9">
        <v>29936</v>
      </c>
      <c r="E987">
        <v>42</v>
      </c>
      <c r="F987" t="s">
        <v>21</v>
      </c>
      <c r="G987">
        <v>1</v>
      </c>
      <c r="H987" t="s">
        <v>81</v>
      </c>
      <c r="I987" t="b">
        <v>1</v>
      </c>
      <c r="J987" t="s">
        <v>230</v>
      </c>
      <c r="K987" s="10">
        <v>0.586805555555556</v>
      </c>
      <c r="L987" s="10">
        <v>0.666666666666667</v>
      </c>
      <c r="M987">
        <v>115</v>
      </c>
      <c r="N987" t="b">
        <v>1</v>
      </c>
      <c r="O987" t="s">
        <v>50</v>
      </c>
    </row>
    <row r="988" spans="1:15">
      <c r="A988">
        <v>987</v>
      </c>
      <c r="B988" t="s">
        <v>1318</v>
      </c>
      <c r="C988" t="s">
        <v>16</v>
      </c>
      <c r="D988" s="9">
        <v>28928</v>
      </c>
      <c r="E988">
        <v>45</v>
      </c>
      <c r="F988" t="s">
        <v>17</v>
      </c>
      <c r="G988">
        <v>5</v>
      </c>
      <c r="H988" t="s">
        <v>289</v>
      </c>
      <c r="I988" t="b">
        <v>0</v>
      </c>
      <c r="K988" s="10">
        <v>0.794444444444444</v>
      </c>
      <c r="L988" s="10">
        <v>0.897222222222222</v>
      </c>
      <c r="M988">
        <v>148</v>
      </c>
      <c r="N988" t="b">
        <v>1</v>
      </c>
      <c r="O988" t="s">
        <v>23</v>
      </c>
    </row>
    <row r="989" spans="1:15">
      <c r="A989">
        <v>988</v>
      </c>
      <c r="B989" t="s">
        <v>1319</v>
      </c>
      <c r="C989" t="s">
        <v>25</v>
      </c>
      <c r="D989" s="9">
        <v>28335</v>
      </c>
      <c r="E989">
        <v>47</v>
      </c>
      <c r="F989" t="s">
        <v>17</v>
      </c>
      <c r="G989">
        <v>3</v>
      </c>
      <c r="H989" t="s">
        <v>74</v>
      </c>
      <c r="I989" t="b">
        <v>0</v>
      </c>
      <c r="K989" s="10">
        <v>0.45</v>
      </c>
      <c r="L989" s="10">
        <v>0.511805555555556</v>
      </c>
      <c r="M989">
        <v>89</v>
      </c>
      <c r="N989" t="b">
        <v>0</v>
      </c>
    </row>
    <row r="990" spans="1:15">
      <c r="A990">
        <v>989</v>
      </c>
      <c r="B990" t="s">
        <v>1320</v>
      </c>
      <c r="C990" t="s">
        <v>16</v>
      </c>
      <c r="D990" s="9">
        <v>32902</v>
      </c>
      <c r="E990">
        <v>34</v>
      </c>
      <c r="F990" t="s">
        <v>21</v>
      </c>
      <c r="G990">
        <v>1</v>
      </c>
      <c r="H990" t="s">
        <v>185</v>
      </c>
      <c r="I990" t="b">
        <v>1</v>
      </c>
      <c r="J990" t="s">
        <v>1321</v>
      </c>
      <c r="K990" s="10">
        <v>0.384722222222222</v>
      </c>
      <c r="L990" s="10">
        <v>0.443055555555556</v>
      </c>
      <c r="M990">
        <v>84</v>
      </c>
      <c r="N990" t="b">
        <v>1</v>
      </c>
      <c r="O990" t="s">
        <v>23</v>
      </c>
    </row>
    <row r="991" spans="1:15">
      <c r="A991">
        <v>990</v>
      </c>
      <c r="B991" t="s">
        <v>1322</v>
      </c>
      <c r="C991" t="s">
        <v>25</v>
      </c>
      <c r="D991" s="9">
        <v>35710</v>
      </c>
      <c r="E991">
        <v>26</v>
      </c>
      <c r="F991" t="s">
        <v>17</v>
      </c>
      <c r="G991">
        <v>3</v>
      </c>
      <c r="H991" t="s">
        <v>161</v>
      </c>
      <c r="I991" t="b">
        <v>0</v>
      </c>
      <c r="K991" s="10">
        <v>0.493055555555556</v>
      </c>
      <c r="L991" s="10">
        <v>0.58125</v>
      </c>
      <c r="M991">
        <v>127</v>
      </c>
      <c r="N991" t="b">
        <v>0</v>
      </c>
    </row>
    <row r="992" spans="1:15">
      <c r="A992">
        <v>991</v>
      </c>
      <c r="B992" t="s">
        <v>1323</v>
      </c>
      <c r="C992" t="s">
        <v>16</v>
      </c>
      <c r="D992" s="9">
        <v>29677</v>
      </c>
      <c r="E992">
        <v>43</v>
      </c>
      <c r="F992" t="s">
        <v>21</v>
      </c>
      <c r="G992">
        <v>3</v>
      </c>
      <c r="H992" t="s">
        <v>43</v>
      </c>
      <c r="I992" t="b">
        <v>0</v>
      </c>
      <c r="K992" s="10">
        <v>0.348611111111111</v>
      </c>
      <c r="L992" s="10">
        <v>0.38125</v>
      </c>
      <c r="M992">
        <v>47</v>
      </c>
      <c r="N992" t="b">
        <v>1</v>
      </c>
      <c r="O992" t="s">
        <v>23</v>
      </c>
    </row>
    <row r="993" spans="1:15">
      <c r="A993">
        <v>992</v>
      </c>
      <c r="B993" t="s">
        <v>1324</v>
      </c>
      <c r="C993" t="s">
        <v>25</v>
      </c>
      <c r="D993" s="9">
        <v>33462</v>
      </c>
      <c r="E993">
        <v>33</v>
      </c>
      <c r="F993" t="s">
        <v>17</v>
      </c>
      <c r="G993">
        <v>3</v>
      </c>
      <c r="H993" t="s">
        <v>325</v>
      </c>
      <c r="I993" t="b">
        <v>1</v>
      </c>
      <c r="J993" t="s">
        <v>628</v>
      </c>
      <c r="K993" s="10">
        <v>0.433333333333333</v>
      </c>
      <c r="L993" s="10">
        <v>0.503472222222222</v>
      </c>
      <c r="M993">
        <v>101</v>
      </c>
      <c r="N993" t="b">
        <v>1</v>
      </c>
      <c r="O993" t="s">
        <v>23</v>
      </c>
    </row>
    <row r="994" spans="1:15">
      <c r="A994">
        <v>993</v>
      </c>
      <c r="B994" t="s">
        <v>1325</v>
      </c>
      <c r="C994" t="s">
        <v>16</v>
      </c>
      <c r="D994" s="9">
        <v>31322</v>
      </c>
      <c r="E994">
        <v>39</v>
      </c>
      <c r="F994" t="s">
        <v>21</v>
      </c>
      <c r="G994">
        <v>5</v>
      </c>
      <c r="H994" t="s">
        <v>863</v>
      </c>
      <c r="I994" t="b">
        <v>1</v>
      </c>
      <c r="J994" t="s">
        <v>217</v>
      </c>
      <c r="K994" s="10">
        <v>0.404166666666667</v>
      </c>
      <c r="L994" s="10">
        <v>0.488194444444444</v>
      </c>
      <c r="M994">
        <v>121</v>
      </c>
      <c r="N994" t="b">
        <v>1</v>
      </c>
      <c r="O994" t="s">
        <v>23</v>
      </c>
    </row>
    <row r="995" spans="1:15">
      <c r="A995">
        <v>994</v>
      </c>
      <c r="B995" t="s">
        <v>1326</v>
      </c>
      <c r="C995" t="s">
        <v>25</v>
      </c>
      <c r="D995" s="9">
        <v>39111</v>
      </c>
      <c r="E995">
        <v>17</v>
      </c>
      <c r="F995" t="s">
        <v>21</v>
      </c>
      <c r="G995">
        <v>4</v>
      </c>
      <c r="H995" t="s">
        <v>637</v>
      </c>
      <c r="I995" t="b">
        <v>1</v>
      </c>
      <c r="J995" t="s">
        <v>666</v>
      </c>
      <c r="K995" s="10">
        <v>0.826388888888889</v>
      </c>
      <c r="L995" s="10">
        <v>0.918055555555556</v>
      </c>
      <c r="M995">
        <v>132</v>
      </c>
      <c r="N995" t="b">
        <v>1</v>
      </c>
      <c r="O995" t="s">
        <v>50</v>
      </c>
    </row>
    <row r="996" spans="1:15">
      <c r="A996">
        <v>995</v>
      </c>
      <c r="B996" t="s">
        <v>1327</v>
      </c>
      <c r="C996" t="s">
        <v>16</v>
      </c>
      <c r="D996" s="9">
        <v>32225</v>
      </c>
      <c r="E996">
        <v>36</v>
      </c>
      <c r="F996" t="s">
        <v>21</v>
      </c>
      <c r="G996">
        <v>2</v>
      </c>
      <c r="H996" t="s">
        <v>101</v>
      </c>
      <c r="I996" t="b">
        <v>0</v>
      </c>
      <c r="K996" s="10">
        <v>0.427777777777778</v>
      </c>
      <c r="L996" s="10">
        <v>0.451388888888889</v>
      </c>
      <c r="M996">
        <v>34</v>
      </c>
      <c r="N996" t="b">
        <v>0</v>
      </c>
    </row>
    <row r="997" spans="1:15">
      <c r="A997">
        <v>996</v>
      </c>
      <c r="B997" t="s">
        <v>1328</v>
      </c>
      <c r="C997" t="s">
        <v>16</v>
      </c>
      <c r="D997" s="9">
        <v>30947</v>
      </c>
      <c r="E997">
        <v>40</v>
      </c>
      <c r="F997" t="s">
        <v>21</v>
      </c>
      <c r="G997">
        <v>3</v>
      </c>
      <c r="H997" t="s">
        <v>57</v>
      </c>
      <c r="I997" t="b">
        <v>0</v>
      </c>
      <c r="K997" s="10">
        <v>0.872222222222222</v>
      </c>
      <c r="L997" s="10">
        <v>0.980555555555556</v>
      </c>
      <c r="M997">
        <v>156</v>
      </c>
      <c r="N997" t="b">
        <v>0</v>
      </c>
    </row>
    <row r="998" spans="1:15">
      <c r="A998">
        <v>997</v>
      </c>
      <c r="B998" t="s">
        <v>1329</v>
      </c>
      <c r="C998" t="s">
        <v>16</v>
      </c>
      <c r="D998" s="9">
        <v>39771</v>
      </c>
      <c r="E998">
        <v>15</v>
      </c>
      <c r="F998" t="s">
        <v>21</v>
      </c>
      <c r="G998">
        <v>3</v>
      </c>
      <c r="H998" t="s">
        <v>164</v>
      </c>
      <c r="I998" t="b">
        <v>1</v>
      </c>
      <c r="J998" t="s">
        <v>193</v>
      </c>
      <c r="K998" s="10">
        <v>0.384722222222222</v>
      </c>
      <c r="L998" s="10">
        <v>0.411805555555556</v>
      </c>
      <c r="M998">
        <v>39</v>
      </c>
      <c r="N998" t="b">
        <v>0</v>
      </c>
    </row>
    <row r="999" spans="1:15">
      <c r="A999">
        <v>998</v>
      </c>
      <c r="B999" t="s">
        <v>1330</v>
      </c>
      <c r="C999" t="s">
        <v>25</v>
      </c>
      <c r="D999" s="9">
        <v>30960</v>
      </c>
      <c r="E999">
        <v>39</v>
      </c>
      <c r="F999" t="s">
        <v>21</v>
      </c>
      <c r="G999">
        <v>2</v>
      </c>
      <c r="H999" t="s">
        <v>210</v>
      </c>
      <c r="I999" t="b">
        <v>0</v>
      </c>
      <c r="K999" s="10">
        <v>0.722916666666667</v>
      </c>
      <c r="L999" s="10">
        <v>0.794444444444444</v>
      </c>
      <c r="M999">
        <v>103</v>
      </c>
      <c r="N999" t="b">
        <v>1</v>
      </c>
      <c r="O999" t="s">
        <v>47</v>
      </c>
    </row>
    <row r="1000" spans="1:15">
      <c r="A1000">
        <v>999</v>
      </c>
      <c r="B1000" t="s">
        <v>1331</v>
      </c>
      <c r="C1000" t="s">
        <v>25</v>
      </c>
      <c r="D1000" s="9">
        <v>36944</v>
      </c>
      <c r="E1000">
        <v>23</v>
      </c>
      <c r="F1000" t="s">
        <v>21</v>
      </c>
      <c r="G1000">
        <v>4</v>
      </c>
      <c r="H1000" t="s">
        <v>342</v>
      </c>
      <c r="I1000" t="b">
        <v>1</v>
      </c>
      <c r="J1000" t="s">
        <v>1194</v>
      </c>
      <c r="K1000" s="10">
        <v>0.432638888888889</v>
      </c>
      <c r="L1000" s="10">
        <v>0.552083333333333</v>
      </c>
      <c r="M1000">
        <v>172</v>
      </c>
      <c r="N1000" t="b">
        <v>1</v>
      </c>
      <c r="O1000" t="s">
        <v>47</v>
      </c>
    </row>
    <row r="1001" spans="1:15">
      <c r="A1001">
        <v>1000</v>
      </c>
      <c r="B1001" t="s">
        <v>1332</v>
      </c>
      <c r="C1001" t="s">
        <v>16</v>
      </c>
      <c r="D1001" s="9">
        <v>38844</v>
      </c>
      <c r="E1001">
        <v>18</v>
      </c>
      <c r="F1001" t="s">
        <v>17</v>
      </c>
      <c r="G1001">
        <v>2</v>
      </c>
      <c r="H1001" t="s">
        <v>133</v>
      </c>
      <c r="I1001" t="b">
        <v>0</v>
      </c>
      <c r="K1001" s="10">
        <v>0.695138888888889</v>
      </c>
      <c r="L1001" s="10">
        <v>0.800694444444444</v>
      </c>
      <c r="M1001">
        <v>152</v>
      </c>
      <c r="N1001" t="b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1"/>
  <sheetViews>
    <sheetView zoomScale="106" zoomScaleNormal="106" workbookViewId="0">
      <selection activeCell="O10" sqref="O10"/>
    </sheetView>
  </sheetViews>
  <sheetFormatPr defaultColWidth="9.14285714285714" defaultRowHeight="15"/>
  <cols>
    <col min="1" max="1" width="6.71428571428571" customWidth="1"/>
    <col min="2" max="2" width="16.5714285714286" customWidth="1"/>
    <col min="3" max="3" width="11.5714285714286" customWidth="1"/>
    <col min="4" max="4" width="15" customWidth="1"/>
    <col min="5" max="5" width="18.1428571428571" style="9" customWidth="1"/>
    <col min="6" max="6" width="11" customWidth="1"/>
    <col min="7" max="7" width="17.7142857142857" customWidth="1"/>
    <col min="8" max="8" width="15.7142857142857" customWidth="1"/>
    <col min="9" max="9" width="25.2857142857143" customWidth="1"/>
    <col min="10" max="10" width="10.9142857142857" customWidth="1"/>
    <col min="11" max="11" width="6.57142857142857" customWidth="1"/>
    <col min="12" max="12" width="7.42857142857143" customWidth="1"/>
    <col min="13" max="13" width="6.57142857142857" customWidth="1"/>
    <col min="14" max="14" width="7.57142857142857" customWidth="1"/>
    <col min="15" max="15" width="6.57142857142857" customWidth="1"/>
    <col min="16" max="16" width="5.57142857142857" customWidth="1"/>
    <col min="17" max="17" width="6" customWidth="1"/>
    <col min="18" max="18" width="21.5714285714286" customWidth="1"/>
    <col min="19" max="19" width="35" customWidth="1"/>
    <col min="20" max="20" width="19.4285714285714" customWidth="1"/>
    <col min="21" max="21" width="20.8571428571429" customWidth="1"/>
    <col min="22" max="23" width="18" customWidth="1"/>
    <col min="24" max="24" width="23.8571428571429" customWidth="1"/>
    <col min="28" max="28" width="32.2857142857143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1333</v>
      </c>
      <c r="F1" t="s">
        <v>4</v>
      </c>
      <c r="G1" t="s">
        <v>5</v>
      </c>
      <c r="H1" t="s">
        <v>6</v>
      </c>
      <c r="I1" t="s">
        <v>7</v>
      </c>
      <c r="J1" t="s">
        <v>1334</v>
      </c>
      <c r="K1" t="s">
        <v>26</v>
      </c>
      <c r="L1" t="s">
        <v>46</v>
      </c>
      <c r="M1" t="s">
        <v>35</v>
      </c>
      <c r="N1" t="s">
        <v>185</v>
      </c>
      <c r="O1" t="s">
        <v>49</v>
      </c>
      <c r="P1" t="s">
        <v>81</v>
      </c>
      <c r="Q1" t="s">
        <v>59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</row>
    <row r="2" spans="1:28">
      <c r="A2">
        <v>1</v>
      </c>
      <c r="B2" t="s">
        <v>15</v>
      </c>
      <c r="C2" t="s">
        <v>16</v>
      </c>
      <c r="D2" s="9">
        <v>35538</v>
      </c>
      <c r="E2" s="9" t="str">
        <f t="shared" ref="E2:E65" si="0">IF(F2&lt;20,"below 20",IF(F2&lt;=30,"20-30",IF(F2&lt;=40,"31-41",IF(F2&lt;=50,"41-50","above 50"))))</f>
        <v>20-30</v>
      </c>
      <c r="F2">
        <v>27</v>
      </c>
      <c r="G2" t="s">
        <v>17</v>
      </c>
      <c r="H2">
        <v>4</v>
      </c>
      <c r="I2" t="s">
        <v>18</v>
      </c>
      <c r="K2">
        <f>--ISNUMBER(SEARCH("Sun",I2))</f>
        <v>0</v>
      </c>
      <c r="L2">
        <f>--ISNUMBER(SEARCH("Mon",I2))</f>
        <v>1</v>
      </c>
      <c r="M2">
        <f>--ISNUMBER(SEARCH("Tue",I2))</f>
        <v>1</v>
      </c>
      <c r="N2">
        <f>--ISNUMBER(SEARCH("Wed",I2))</f>
        <v>1</v>
      </c>
      <c r="O2">
        <f>--ISNUMBER(SEARCH("Thu",I2))</f>
        <v>0</v>
      </c>
      <c r="P2">
        <f>--ISNUMBER(SEARCH("Fri",I2))</f>
        <v>0</v>
      </c>
      <c r="Q2">
        <f>--ISNUMBER(SEARCH("Sat",I2))</f>
        <v>1</v>
      </c>
      <c r="R2" t="b">
        <v>1</v>
      </c>
      <c r="S2" t="s">
        <v>19</v>
      </c>
      <c r="T2" s="10">
        <v>0.813194444444444</v>
      </c>
      <c r="U2" s="10">
        <v>0.904166666666667</v>
      </c>
      <c r="V2">
        <v>131</v>
      </c>
      <c r="W2" t="b">
        <v>0</v>
      </c>
    </row>
    <row r="3" ht="19.5" spans="1:28">
      <c r="A3">
        <v>2</v>
      </c>
      <c r="B3" t="s">
        <v>20</v>
      </c>
      <c r="C3" t="s">
        <v>16</v>
      </c>
      <c r="D3" s="9">
        <v>28386</v>
      </c>
      <c r="E3" s="9" t="str">
        <f t="shared" si="0"/>
        <v>41-50</v>
      </c>
      <c r="F3">
        <v>47</v>
      </c>
      <c r="G3" t="s">
        <v>21</v>
      </c>
      <c r="H3">
        <v>3</v>
      </c>
      <c r="I3" t="s">
        <v>22</v>
      </c>
      <c r="K3">
        <f>--ISNUMBER(SEARCH("Sun",I3))</f>
        <v>1</v>
      </c>
      <c r="L3">
        <f t="shared" ref="L3:L66" si="1">--ISNUMBER(SEARCH("Mon",I3))</f>
        <v>0</v>
      </c>
      <c r="M3">
        <f t="shared" ref="M3:M66" si="2">--ISNUMBER(SEARCH("Tue",I3))</f>
        <v>0</v>
      </c>
      <c r="N3">
        <f t="shared" ref="N3:N66" si="3">--ISNUMBER(SEARCH("Wed",I3))</f>
        <v>0</v>
      </c>
      <c r="O3">
        <f t="shared" ref="O3:O66" si="4">--ISNUMBER(SEARCH("Thu",I3))</f>
        <v>0</v>
      </c>
      <c r="P3">
        <f t="shared" ref="P3:P66" si="5">--ISNUMBER(SEARCH("Fri",I3))</f>
        <v>1</v>
      </c>
      <c r="Q3">
        <f t="shared" ref="Q3:Q66" si="6">--ISNUMBER(SEARCH("Sat",I3))</f>
        <v>1</v>
      </c>
      <c r="R3" t="b">
        <v>0</v>
      </c>
      <c r="T3" s="10">
        <v>0.813194444444444</v>
      </c>
      <c r="U3" s="10">
        <v>0.904861111111111</v>
      </c>
      <c r="V3">
        <v>132</v>
      </c>
      <c r="W3" t="b">
        <v>1</v>
      </c>
      <c r="X3" t="s">
        <v>23</v>
      </c>
      <c r="AB3" s="11" t="s">
        <v>1335</v>
      </c>
    </row>
    <row r="4" spans="1:28">
      <c r="A4">
        <v>3</v>
      </c>
      <c r="B4" t="s">
        <v>24</v>
      </c>
      <c r="C4" t="s">
        <v>25</v>
      </c>
      <c r="D4" s="9">
        <v>30405</v>
      </c>
      <c r="E4" s="9" t="str">
        <f t="shared" si="0"/>
        <v>41-50</v>
      </c>
      <c r="F4">
        <v>41</v>
      </c>
      <c r="G4" t="s">
        <v>17</v>
      </c>
      <c r="H4">
        <v>1</v>
      </c>
      <c r="I4" t="s">
        <v>26</v>
      </c>
      <c r="K4">
        <f>--ISNUMBER(SEARCH("Sun",I4))</f>
        <v>1</v>
      </c>
      <c r="L4">
        <f t="shared" si="1"/>
        <v>0</v>
      </c>
      <c r="M4">
        <f t="shared" si="2"/>
        <v>0</v>
      </c>
      <c r="N4">
        <f t="shared" si="3"/>
        <v>0</v>
      </c>
      <c r="O4">
        <f t="shared" si="4"/>
        <v>0</v>
      </c>
      <c r="P4">
        <f t="shared" si="5"/>
        <v>0</v>
      </c>
      <c r="Q4">
        <f t="shared" si="6"/>
        <v>0</v>
      </c>
      <c r="R4" t="b">
        <v>1</v>
      </c>
      <c r="S4" t="s">
        <v>27</v>
      </c>
      <c r="T4" s="10">
        <v>0.353472222222222</v>
      </c>
      <c r="U4" s="10">
        <v>0.413194444444444</v>
      </c>
      <c r="V4">
        <v>86</v>
      </c>
      <c r="W4" t="b">
        <v>1</v>
      </c>
      <c r="X4" t="s">
        <v>28</v>
      </c>
    </row>
    <row r="5" ht="15.75" spans="1:28">
      <c r="A5">
        <v>4</v>
      </c>
      <c r="B5" t="s">
        <v>29</v>
      </c>
      <c r="C5" t="s">
        <v>25</v>
      </c>
      <c r="D5" s="9">
        <v>29323</v>
      </c>
      <c r="E5" s="9" t="str">
        <f t="shared" si="0"/>
        <v>41-50</v>
      </c>
      <c r="F5">
        <v>44</v>
      </c>
      <c r="G5" t="s">
        <v>17</v>
      </c>
      <c r="H5">
        <v>3</v>
      </c>
      <c r="I5" t="s">
        <v>30</v>
      </c>
      <c r="K5">
        <f t="shared" ref="K5:K68" si="7">--ISNUMBER(SEARCH("Sun",I5))</f>
        <v>0</v>
      </c>
      <c r="L5">
        <f t="shared" si="1"/>
        <v>0</v>
      </c>
      <c r="M5">
        <f t="shared" si="2"/>
        <v>1</v>
      </c>
      <c r="N5">
        <f t="shared" si="3"/>
        <v>0</v>
      </c>
      <c r="O5">
        <f t="shared" si="4"/>
        <v>0</v>
      </c>
      <c r="P5">
        <f t="shared" si="5"/>
        <v>1</v>
      </c>
      <c r="Q5">
        <f t="shared" si="6"/>
        <v>1</v>
      </c>
      <c r="R5" t="b">
        <v>0</v>
      </c>
      <c r="T5" s="10">
        <v>0.4125</v>
      </c>
      <c r="U5" s="10">
        <v>0.510416666666667</v>
      </c>
      <c r="V5">
        <v>141</v>
      </c>
      <c r="W5" t="b">
        <v>1</v>
      </c>
      <c r="X5" t="s">
        <v>28</v>
      </c>
      <c r="AB5" s="7" t="s">
        <v>1336</v>
      </c>
    </row>
    <row r="6" ht="15.75" spans="1:28">
      <c r="A6">
        <v>5</v>
      </c>
      <c r="B6" t="s">
        <v>31</v>
      </c>
      <c r="C6" t="s">
        <v>25</v>
      </c>
      <c r="D6" s="9">
        <v>29474</v>
      </c>
      <c r="E6" s="9" t="str">
        <f t="shared" si="0"/>
        <v>41-50</v>
      </c>
      <c r="F6">
        <v>44</v>
      </c>
      <c r="G6" t="s">
        <v>21</v>
      </c>
      <c r="H6">
        <v>2</v>
      </c>
      <c r="I6" t="s">
        <v>32</v>
      </c>
      <c r="K6">
        <f t="shared" si="7"/>
        <v>0</v>
      </c>
      <c r="L6">
        <f t="shared" si="1"/>
        <v>0</v>
      </c>
      <c r="M6">
        <f t="shared" si="2"/>
        <v>1</v>
      </c>
      <c r="N6">
        <f t="shared" si="3"/>
        <v>0</v>
      </c>
      <c r="O6">
        <f t="shared" si="4"/>
        <v>1</v>
      </c>
      <c r="P6">
        <f t="shared" si="5"/>
        <v>0</v>
      </c>
      <c r="Q6">
        <f t="shared" si="6"/>
        <v>0</v>
      </c>
      <c r="R6" t="b">
        <v>1</v>
      </c>
      <c r="S6" t="s">
        <v>33</v>
      </c>
      <c r="T6" s="10">
        <v>0.353472222222222</v>
      </c>
      <c r="U6" s="10">
        <v>0.44375</v>
      </c>
      <c r="V6">
        <v>130</v>
      </c>
      <c r="W6" t="b">
        <v>1</v>
      </c>
      <c r="X6" t="s">
        <v>28</v>
      </c>
      <c r="AB6" s="12">
        <f>COUNT(A:A)</f>
        <v>1000</v>
      </c>
    </row>
    <row r="7" spans="1:28">
      <c r="A7">
        <v>6</v>
      </c>
      <c r="B7" t="s">
        <v>34</v>
      </c>
      <c r="C7" t="s">
        <v>16</v>
      </c>
      <c r="D7" s="9">
        <v>39993</v>
      </c>
      <c r="E7" s="9" t="str">
        <f t="shared" si="0"/>
        <v>below 20</v>
      </c>
      <c r="F7">
        <v>15</v>
      </c>
      <c r="G7" t="s">
        <v>21</v>
      </c>
      <c r="H7">
        <v>1</v>
      </c>
      <c r="I7" t="s">
        <v>35</v>
      </c>
      <c r="K7">
        <f t="shared" si="7"/>
        <v>0</v>
      </c>
      <c r="L7">
        <f t="shared" si="1"/>
        <v>0</v>
      </c>
      <c r="M7">
        <f t="shared" si="2"/>
        <v>1</v>
      </c>
      <c r="N7">
        <f t="shared" si="3"/>
        <v>0</v>
      </c>
      <c r="O7">
        <f t="shared" si="4"/>
        <v>0</v>
      </c>
      <c r="P7">
        <f t="shared" si="5"/>
        <v>0</v>
      </c>
      <c r="Q7">
        <f t="shared" si="6"/>
        <v>0</v>
      </c>
      <c r="R7" t="b">
        <v>0</v>
      </c>
      <c r="T7" s="10">
        <v>0.721527777777778</v>
      </c>
      <c r="U7" s="10">
        <v>0.763194444444444</v>
      </c>
      <c r="V7">
        <v>60</v>
      </c>
      <c r="W7" t="b">
        <v>0</v>
      </c>
    </row>
    <row r="8" ht="15.75" spans="1:28">
      <c r="A8">
        <v>7</v>
      </c>
      <c r="B8" t="s">
        <v>36</v>
      </c>
      <c r="C8" t="s">
        <v>25</v>
      </c>
      <c r="D8" s="9">
        <v>34553</v>
      </c>
      <c r="E8" s="9" t="str">
        <f t="shared" si="0"/>
        <v>20-30</v>
      </c>
      <c r="F8">
        <v>30</v>
      </c>
      <c r="G8" t="s">
        <v>17</v>
      </c>
      <c r="H8">
        <v>3</v>
      </c>
      <c r="I8" t="s">
        <v>37</v>
      </c>
      <c r="K8">
        <f t="shared" si="7"/>
        <v>1</v>
      </c>
      <c r="L8">
        <f t="shared" si="1"/>
        <v>1</v>
      </c>
      <c r="M8">
        <f t="shared" si="2"/>
        <v>0</v>
      </c>
      <c r="N8">
        <f t="shared" si="3"/>
        <v>0</v>
      </c>
      <c r="O8">
        <f t="shared" si="4"/>
        <v>0</v>
      </c>
      <c r="P8">
        <f t="shared" si="5"/>
        <v>0</v>
      </c>
      <c r="Q8">
        <f t="shared" si="6"/>
        <v>1</v>
      </c>
      <c r="R8" t="b">
        <v>1</v>
      </c>
      <c r="S8" t="s">
        <v>38</v>
      </c>
      <c r="T8" s="10">
        <v>0.823611111111111</v>
      </c>
      <c r="U8" s="10">
        <v>0.945138888888889</v>
      </c>
      <c r="V8">
        <v>175</v>
      </c>
      <c r="W8" t="b">
        <v>0</v>
      </c>
      <c r="AB8" s="7" t="s">
        <v>1337</v>
      </c>
    </row>
    <row r="9" ht="15.75" spans="1:28">
      <c r="A9">
        <v>8</v>
      </c>
      <c r="B9" t="s">
        <v>39</v>
      </c>
      <c r="C9" t="s">
        <v>25</v>
      </c>
      <c r="D9" s="9">
        <v>37938</v>
      </c>
      <c r="E9" s="9" t="str">
        <f t="shared" si="0"/>
        <v>20-30</v>
      </c>
      <c r="F9">
        <v>20</v>
      </c>
      <c r="G9" t="s">
        <v>21</v>
      </c>
      <c r="H9">
        <v>2</v>
      </c>
      <c r="I9" t="s">
        <v>40</v>
      </c>
      <c r="K9">
        <f t="shared" si="7"/>
        <v>1</v>
      </c>
      <c r="L9">
        <f t="shared" si="1"/>
        <v>0</v>
      </c>
      <c r="M9">
        <f t="shared" si="2"/>
        <v>0</v>
      </c>
      <c r="N9">
        <f t="shared" si="3"/>
        <v>0</v>
      </c>
      <c r="O9">
        <f t="shared" si="4"/>
        <v>0</v>
      </c>
      <c r="P9">
        <f t="shared" si="5"/>
        <v>0</v>
      </c>
      <c r="Q9">
        <f t="shared" si="6"/>
        <v>1</v>
      </c>
      <c r="R9" t="b">
        <v>1</v>
      </c>
      <c r="S9" t="s">
        <v>41</v>
      </c>
      <c r="T9" s="10">
        <v>0.739583333333333</v>
      </c>
      <c r="U9" s="10">
        <v>0.786805555555556</v>
      </c>
      <c r="V9">
        <v>68</v>
      </c>
      <c r="W9" t="b">
        <v>0</v>
      </c>
      <c r="AB9" s="13">
        <f>AVERAGE(V:V)</f>
        <v>101.6</v>
      </c>
    </row>
    <row r="10" spans="1:28">
      <c r="A10">
        <v>9</v>
      </c>
      <c r="B10" t="s">
        <v>42</v>
      </c>
      <c r="C10" t="s">
        <v>25</v>
      </c>
      <c r="D10" s="9">
        <v>28699</v>
      </c>
      <c r="E10" s="9" t="str">
        <f t="shared" si="0"/>
        <v>41-50</v>
      </c>
      <c r="F10">
        <v>46</v>
      </c>
      <c r="G10" t="s">
        <v>17</v>
      </c>
      <c r="H10">
        <v>3</v>
      </c>
      <c r="I10" t="s">
        <v>43</v>
      </c>
      <c r="K10">
        <f t="shared" si="7"/>
        <v>0</v>
      </c>
      <c r="L10">
        <f t="shared" si="1"/>
        <v>1</v>
      </c>
      <c r="M10">
        <f t="shared" si="2"/>
        <v>1</v>
      </c>
      <c r="N10">
        <f t="shared" si="3"/>
        <v>1</v>
      </c>
      <c r="O10">
        <f t="shared" si="4"/>
        <v>0</v>
      </c>
      <c r="P10">
        <f t="shared" si="5"/>
        <v>0</v>
      </c>
      <c r="Q10">
        <f t="shared" si="6"/>
        <v>0</v>
      </c>
      <c r="R10" t="b">
        <v>1</v>
      </c>
      <c r="S10" t="s">
        <v>44</v>
      </c>
      <c r="T10" s="10">
        <v>0.40625</v>
      </c>
      <c r="U10" s="10">
        <v>0.522916666666667</v>
      </c>
      <c r="V10">
        <v>168</v>
      </c>
      <c r="W10" t="b">
        <v>1</v>
      </c>
      <c r="X10" t="s">
        <v>28</v>
      </c>
    </row>
    <row r="11" ht="15.75" spans="1:28">
      <c r="A11">
        <v>10</v>
      </c>
      <c r="B11" t="s">
        <v>45</v>
      </c>
      <c r="C11" t="s">
        <v>16</v>
      </c>
      <c r="D11" s="9">
        <v>36652</v>
      </c>
      <c r="E11" s="9" t="str">
        <f t="shared" si="0"/>
        <v>20-30</v>
      </c>
      <c r="F11">
        <v>24</v>
      </c>
      <c r="G11" t="s">
        <v>17</v>
      </c>
      <c r="H11">
        <v>1</v>
      </c>
      <c r="I11" t="s">
        <v>46</v>
      </c>
      <c r="K11">
        <f t="shared" si="7"/>
        <v>0</v>
      </c>
      <c r="L11">
        <f t="shared" si="1"/>
        <v>1</v>
      </c>
      <c r="M11">
        <f t="shared" si="2"/>
        <v>0</v>
      </c>
      <c r="N11">
        <f t="shared" si="3"/>
        <v>0</v>
      </c>
      <c r="O11">
        <f t="shared" si="4"/>
        <v>0</v>
      </c>
      <c r="P11">
        <f t="shared" si="5"/>
        <v>0</v>
      </c>
      <c r="Q11">
        <f t="shared" si="6"/>
        <v>0</v>
      </c>
      <c r="R11" t="b">
        <v>0</v>
      </c>
      <c r="T11" s="10">
        <v>0.545138888888889</v>
      </c>
      <c r="U11" s="10">
        <v>0.577083333333333</v>
      </c>
      <c r="V11">
        <v>46</v>
      </c>
      <c r="W11" t="b">
        <v>1</v>
      </c>
      <c r="X11" t="s">
        <v>47</v>
      </c>
      <c r="AB11" s="7" t="s">
        <v>1338</v>
      </c>
    </row>
    <row r="12" ht="15.75" spans="1:28">
      <c r="A12">
        <v>11</v>
      </c>
      <c r="B12" t="s">
        <v>48</v>
      </c>
      <c r="C12" t="s">
        <v>25</v>
      </c>
      <c r="D12" s="9">
        <v>30508</v>
      </c>
      <c r="E12" s="9" t="str">
        <f t="shared" si="0"/>
        <v>41-50</v>
      </c>
      <c r="F12">
        <v>41</v>
      </c>
      <c r="G12" t="s">
        <v>21</v>
      </c>
      <c r="H12">
        <v>1</v>
      </c>
      <c r="I12" t="s">
        <v>49</v>
      </c>
      <c r="K12">
        <f t="shared" si="7"/>
        <v>0</v>
      </c>
      <c r="L12">
        <f t="shared" si="1"/>
        <v>0</v>
      </c>
      <c r="M12">
        <f t="shared" si="2"/>
        <v>0</v>
      </c>
      <c r="N12">
        <f t="shared" si="3"/>
        <v>0</v>
      </c>
      <c r="O12">
        <f t="shared" si="4"/>
        <v>1</v>
      </c>
      <c r="P12">
        <f t="shared" si="5"/>
        <v>0</v>
      </c>
      <c r="Q12">
        <f t="shared" si="6"/>
        <v>0</v>
      </c>
      <c r="R12" t="b">
        <v>0</v>
      </c>
      <c r="T12" s="10">
        <v>0.576388888888889</v>
      </c>
      <c r="U12" s="10">
        <v>0.697916666666667</v>
      </c>
      <c r="V12">
        <v>175</v>
      </c>
      <c r="W12" t="b">
        <v>1</v>
      </c>
      <c r="X12" t="s">
        <v>50</v>
      </c>
      <c r="AB12" s="13">
        <f>AVERAGE(H:H)</f>
        <v>2.682</v>
      </c>
    </row>
    <row r="13" spans="1:28">
      <c r="A13">
        <v>12</v>
      </c>
      <c r="B13" t="s">
        <v>51</v>
      </c>
      <c r="C13" t="s">
        <v>25</v>
      </c>
      <c r="D13" s="9">
        <v>35692</v>
      </c>
      <c r="E13" s="9" t="str">
        <f t="shared" si="0"/>
        <v>20-30</v>
      </c>
      <c r="F13">
        <v>27</v>
      </c>
      <c r="G13" t="s">
        <v>17</v>
      </c>
      <c r="H13">
        <v>3</v>
      </c>
      <c r="I13" t="s">
        <v>52</v>
      </c>
      <c r="K13">
        <f t="shared" si="7"/>
        <v>0</v>
      </c>
      <c r="L13">
        <f t="shared" si="1"/>
        <v>1</v>
      </c>
      <c r="M13">
        <f t="shared" si="2"/>
        <v>1</v>
      </c>
      <c r="N13">
        <f t="shared" si="3"/>
        <v>0</v>
      </c>
      <c r="O13">
        <f t="shared" si="4"/>
        <v>0</v>
      </c>
      <c r="P13">
        <f t="shared" si="5"/>
        <v>0</v>
      </c>
      <c r="Q13">
        <f t="shared" si="6"/>
        <v>1</v>
      </c>
      <c r="R13" t="b">
        <v>1</v>
      </c>
      <c r="S13" t="s">
        <v>53</v>
      </c>
      <c r="T13" s="10">
        <v>0.425</v>
      </c>
      <c r="U13" s="10">
        <v>0.488194444444444</v>
      </c>
      <c r="V13">
        <v>91</v>
      </c>
      <c r="W13" t="b">
        <v>1</v>
      </c>
      <c r="X13" t="s">
        <v>28</v>
      </c>
    </row>
    <row r="14" ht="15.75" spans="1:28">
      <c r="A14">
        <v>13</v>
      </c>
      <c r="B14" t="s">
        <v>54</v>
      </c>
      <c r="C14" t="s">
        <v>16</v>
      </c>
      <c r="D14" s="9">
        <v>34446</v>
      </c>
      <c r="E14" s="9" t="str">
        <f t="shared" si="0"/>
        <v>20-30</v>
      </c>
      <c r="F14">
        <v>30</v>
      </c>
      <c r="G14" t="s">
        <v>21</v>
      </c>
      <c r="H14">
        <v>2</v>
      </c>
      <c r="I14" t="s">
        <v>55</v>
      </c>
      <c r="K14">
        <f t="shared" si="7"/>
        <v>1</v>
      </c>
      <c r="L14">
        <f t="shared" si="1"/>
        <v>0</v>
      </c>
      <c r="M14">
        <f t="shared" si="2"/>
        <v>0</v>
      </c>
      <c r="N14">
        <f t="shared" si="3"/>
        <v>1</v>
      </c>
      <c r="O14">
        <f t="shared" si="4"/>
        <v>0</v>
      </c>
      <c r="P14">
        <f t="shared" si="5"/>
        <v>0</v>
      </c>
      <c r="Q14">
        <f t="shared" si="6"/>
        <v>0</v>
      </c>
      <c r="R14" t="b">
        <v>1</v>
      </c>
      <c r="S14" t="s">
        <v>27</v>
      </c>
      <c r="T14" s="10">
        <v>0.711111111111111</v>
      </c>
      <c r="U14" s="10">
        <v>0.783333333333333</v>
      </c>
      <c r="V14">
        <v>104</v>
      </c>
      <c r="W14" t="b">
        <v>0</v>
      </c>
      <c r="AB14" s="7" t="s">
        <v>1339</v>
      </c>
    </row>
    <row r="15" ht="15.75" spans="1:28">
      <c r="A15">
        <v>14</v>
      </c>
      <c r="B15" t="s">
        <v>56</v>
      </c>
      <c r="C15" t="s">
        <v>16</v>
      </c>
      <c r="D15" s="9">
        <v>32588</v>
      </c>
      <c r="E15" s="9" t="str">
        <f t="shared" si="0"/>
        <v>31-41</v>
      </c>
      <c r="F15">
        <v>35</v>
      </c>
      <c r="G15" t="s">
        <v>17</v>
      </c>
      <c r="H15">
        <v>3</v>
      </c>
      <c r="I15" t="s">
        <v>57</v>
      </c>
      <c r="K15">
        <f t="shared" si="7"/>
        <v>1</v>
      </c>
      <c r="L15">
        <f t="shared" si="1"/>
        <v>1</v>
      </c>
      <c r="M15">
        <f t="shared" si="2"/>
        <v>0</v>
      </c>
      <c r="N15">
        <f t="shared" si="3"/>
        <v>1</v>
      </c>
      <c r="O15">
        <f t="shared" si="4"/>
        <v>0</v>
      </c>
      <c r="P15">
        <f t="shared" si="5"/>
        <v>0</v>
      </c>
      <c r="Q15">
        <f t="shared" si="6"/>
        <v>0</v>
      </c>
      <c r="R15" t="b">
        <v>0</v>
      </c>
      <c r="T15" s="10">
        <v>0.826388888888889</v>
      </c>
      <c r="U15" s="10">
        <v>0.909722222222222</v>
      </c>
      <c r="V15">
        <v>120</v>
      </c>
      <c r="W15" t="b">
        <v>0</v>
      </c>
      <c r="AB15" s="14">
        <f>COUNTIF(G:G,"premium")</f>
        <v>493</v>
      </c>
    </row>
    <row r="16" spans="1:28">
      <c r="A16">
        <v>15</v>
      </c>
      <c r="B16" t="s">
        <v>58</v>
      </c>
      <c r="C16" t="s">
        <v>16</v>
      </c>
      <c r="D16" s="9">
        <v>32782</v>
      </c>
      <c r="E16" s="9" t="str">
        <f t="shared" si="0"/>
        <v>31-41</v>
      </c>
      <c r="F16">
        <v>35</v>
      </c>
      <c r="G16" t="s">
        <v>17</v>
      </c>
      <c r="H16">
        <v>1</v>
      </c>
      <c r="I16" t="s">
        <v>59</v>
      </c>
      <c r="K16">
        <f t="shared" si="7"/>
        <v>0</v>
      </c>
      <c r="L16">
        <f t="shared" si="1"/>
        <v>0</v>
      </c>
      <c r="M16">
        <f t="shared" si="2"/>
        <v>0</v>
      </c>
      <c r="N16">
        <f t="shared" si="3"/>
        <v>0</v>
      </c>
      <c r="O16">
        <f t="shared" si="4"/>
        <v>0</v>
      </c>
      <c r="P16">
        <f t="shared" si="5"/>
        <v>0</v>
      </c>
      <c r="Q16">
        <f t="shared" si="6"/>
        <v>1</v>
      </c>
      <c r="R16" t="b">
        <v>0</v>
      </c>
      <c r="T16" s="10">
        <v>0.841666666666667</v>
      </c>
      <c r="U16" s="10">
        <v>0.904166666666667</v>
      </c>
      <c r="V16">
        <v>90</v>
      </c>
      <c r="W16" t="b">
        <v>1</v>
      </c>
      <c r="X16" t="s">
        <v>28</v>
      </c>
    </row>
    <row r="17" ht="15.75" spans="1:28">
      <c r="A17">
        <v>16</v>
      </c>
      <c r="B17" t="s">
        <v>60</v>
      </c>
      <c r="C17" t="s">
        <v>16</v>
      </c>
      <c r="D17" s="9">
        <v>32131</v>
      </c>
      <c r="E17" s="9" t="str">
        <f t="shared" si="0"/>
        <v>31-41</v>
      </c>
      <c r="F17">
        <v>36</v>
      </c>
      <c r="G17" t="s">
        <v>21</v>
      </c>
      <c r="H17">
        <v>4</v>
      </c>
      <c r="I17" t="s">
        <v>61</v>
      </c>
      <c r="K17">
        <f t="shared" si="7"/>
        <v>1</v>
      </c>
      <c r="L17">
        <f t="shared" si="1"/>
        <v>1</v>
      </c>
      <c r="M17">
        <f t="shared" si="2"/>
        <v>0</v>
      </c>
      <c r="N17">
        <f t="shared" si="3"/>
        <v>1</v>
      </c>
      <c r="O17">
        <f t="shared" si="4"/>
        <v>0</v>
      </c>
      <c r="P17">
        <f t="shared" si="5"/>
        <v>0</v>
      </c>
      <c r="Q17">
        <f t="shared" si="6"/>
        <v>1</v>
      </c>
      <c r="R17" t="b">
        <v>1</v>
      </c>
      <c r="S17" t="s">
        <v>62</v>
      </c>
      <c r="T17" s="10">
        <v>0.727777777777778</v>
      </c>
      <c r="U17" s="10">
        <v>0.825694444444444</v>
      </c>
      <c r="V17">
        <v>141</v>
      </c>
      <c r="W17" t="b">
        <v>0</v>
      </c>
      <c r="AB17" s="7" t="s">
        <v>1340</v>
      </c>
    </row>
    <row r="18" spans="1:28">
      <c r="A18">
        <v>17</v>
      </c>
      <c r="B18" t="s">
        <v>63</v>
      </c>
      <c r="C18" t="s">
        <v>25</v>
      </c>
      <c r="D18" s="9">
        <v>31763</v>
      </c>
      <c r="E18" s="9" t="str">
        <f t="shared" si="0"/>
        <v>31-41</v>
      </c>
      <c r="F18">
        <v>37</v>
      </c>
      <c r="G18" t="s">
        <v>17</v>
      </c>
      <c r="H18">
        <v>3</v>
      </c>
      <c r="I18" t="s">
        <v>37</v>
      </c>
      <c r="K18">
        <f t="shared" si="7"/>
        <v>1</v>
      </c>
      <c r="L18">
        <f t="shared" si="1"/>
        <v>1</v>
      </c>
      <c r="M18">
        <f t="shared" si="2"/>
        <v>0</v>
      </c>
      <c r="N18">
        <f t="shared" si="3"/>
        <v>0</v>
      </c>
      <c r="O18">
        <f t="shared" si="4"/>
        <v>0</v>
      </c>
      <c r="P18">
        <f t="shared" si="5"/>
        <v>0</v>
      </c>
      <c r="Q18">
        <f t="shared" si="6"/>
        <v>1</v>
      </c>
      <c r="R18" t="b">
        <v>0</v>
      </c>
      <c r="T18" s="10">
        <v>0.392361111111111</v>
      </c>
      <c r="U18" s="10">
        <v>0.448611111111111</v>
      </c>
      <c r="V18">
        <v>81</v>
      </c>
      <c r="W18" t="b">
        <v>1</v>
      </c>
      <c r="X18" t="s">
        <v>47</v>
      </c>
      <c r="AB18" s="15">
        <f>COUNTIF(G:G,"standard")</f>
        <v>507</v>
      </c>
    </row>
    <row r="19" spans="1:28">
      <c r="A19">
        <v>18</v>
      </c>
      <c r="B19" t="s">
        <v>64</v>
      </c>
      <c r="C19" t="s">
        <v>16</v>
      </c>
      <c r="D19" s="9">
        <v>40663</v>
      </c>
      <c r="E19" s="9" t="str">
        <f t="shared" si="0"/>
        <v>below 20</v>
      </c>
      <c r="F19">
        <v>13</v>
      </c>
      <c r="G19" t="s">
        <v>21</v>
      </c>
      <c r="H19">
        <v>3</v>
      </c>
      <c r="I19" t="s">
        <v>65</v>
      </c>
      <c r="K19">
        <f t="shared" si="7"/>
        <v>1</v>
      </c>
      <c r="L19">
        <f t="shared" si="1"/>
        <v>0</v>
      </c>
      <c r="M19">
        <f t="shared" si="2"/>
        <v>0</v>
      </c>
      <c r="N19">
        <f t="shared" si="3"/>
        <v>1</v>
      </c>
      <c r="O19">
        <f t="shared" si="4"/>
        <v>1</v>
      </c>
      <c r="P19">
        <f t="shared" si="5"/>
        <v>0</v>
      </c>
      <c r="Q19">
        <f t="shared" si="6"/>
        <v>0</v>
      </c>
      <c r="R19" t="b">
        <v>0</v>
      </c>
      <c r="T19" s="10">
        <v>0.704166666666667</v>
      </c>
      <c r="U19" s="10">
        <v>0.791666666666667</v>
      </c>
      <c r="V19">
        <v>126</v>
      </c>
      <c r="W19" t="b">
        <v>1</v>
      </c>
      <c r="X19" t="s">
        <v>28</v>
      </c>
    </row>
    <row r="20" spans="1:28">
      <c r="A20">
        <v>19</v>
      </c>
      <c r="B20" t="s">
        <v>66</v>
      </c>
      <c r="C20" t="s">
        <v>16</v>
      </c>
      <c r="D20" s="9">
        <v>31561</v>
      </c>
      <c r="E20" s="9" t="str">
        <f t="shared" si="0"/>
        <v>31-41</v>
      </c>
      <c r="F20">
        <v>38</v>
      </c>
      <c r="G20" t="s">
        <v>21</v>
      </c>
      <c r="H20">
        <v>1</v>
      </c>
      <c r="I20" t="s">
        <v>35</v>
      </c>
      <c r="K20">
        <f t="shared" si="7"/>
        <v>0</v>
      </c>
      <c r="L20">
        <f t="shared" si="1"/>
        <v>0</v>
      </c>
      <c r="M20">
        <f t="shared" si="2"/>
        <v>1</v>
      </c>
      <c r="N20">
        <f t="shared" si="3"/>
        <v>0</v>
      </c>
      <c r="O20">
        <f t="shared" si="4"/>
        <v>0</v>
      </c>
      <c r="P20">
        <f t="shared" si="5"/>
        <v>0</v>
      </c>
      <c r="Q20">
        <f t="shared" si="6"/>
        <v>0</v>
      </c>
      <c r="R20" t="b">
        <v>1</v>
      </c>
      <c r="S20" t="s">
        <v>67</v>
      </c>
      <c r="T20" s="10">
        <v>0.417361111111111</v>
      </c>
      <c r="U20" s="10">
        <v>0.482638888888889</v>
      </c>
      <c r="V20">
        <v>94</v>
      </c>
      <c r="W20" t="b">
        <v>1</v>
      </c>
      <c r="X20" t="s">
        <v>50</v>
      </c>
    </row>
    <row r="21" spans="1:28">
      <c r="A21">
        <v>20</v>
      </c>
      <c r="B21" t="s">
        <v>68</v>
      </c>
      <c r="C21" t="s">
        <v>25</v>
      </c>
      <c r="D21" s="9">
        <v>33494</v>
      </c>
      <c r="E21" s="9" t="str">
        <f t="shared" si="0"/>
        <v>31-41</v>
      </c>
      <c r="F21">
        <v>33</v>
      </c>
      <c r="G21" t="s">
        <v>17</v>
      </c>
      <c r="H21">
        <v>2</v>
      </c>
      <c r="I21" t="s">
        <v>69</v>
      </c>
      <c r="K21">
        <f t="shared" si="7"/>
        <v>0</v>
      </c>
      <c r="L21">
        <f t="shared" si="1"/>
        <v>0</v>
      </c>
      <c r="M21">
        <f t="shared" si="2"/>
        <v>0</v>
      </c>
      <c r="N21">
        <f t="shared" si="3"/>
        <v>1</v>
      </c>
      <c r="O21">
        <f t="shared" si="4"/>
        <v>0</v>
      </c>
      <c r="P21">
        <f t="shared" si="5"/>
        <v>0</v>
      </c>
      <c r="Q21">
        <f t="shared" si="6"/>
        <v>1</v>
      </c>
      <c r="R21" t="b">
        <v>1</v>
      </c>
      <c r="S21" t="s">
        <v>70</v>
      </c>
      <c r="T21" s="10">
        <v>0.579861111111111</v>
      </c>
      <c r="U21" s="10">
        <v>0.672916666666667</v>
      </c>
      <c r="V21">
        <v>134</v>
      </c>
      <c r="W21" t="b">
        <v>0</v>
      </c>
    </row>
    <row r="22" spans="1:28">
      <c r="A22">
        <v>21</v>
      </c>
      <c r="B22" t="s">
        <v>71</v>
      </c>
      <c r="C22" t="s">
        <v>16</v>
      </c>
      <c r="D22" s="9">
        <v>35795</v>
      </c>
      <c r="E22" s="9" t="str">
        <f t="shared" si="0"/>
        <v>20-30</v>
      </c>
      <c r="F22">
        <v>26</v>
      </c>
      <c r="G22" t="s">
        <v>17</v>
      </c>
      <c r="H22">
        <v>2</v>
      </c>
      <c r="I22" t="s">
        <v>72</v>
      </c>
      <c r="K22">
        <f t="shared" si="7"/>
        <v>0</v>
      </c>
      <c r="L22">
        <f t="shared" si="1"/>
        <v>0</v>
      </c>
      <c r="M22">
        <f t="shared" si="2"/>
        <v>0</v>
      </c>
      <c r="N22">
        <f t="shared" si="3"/>
        <v>0</v>
      </c>
      <c r="O22">
        <f t="shared" si="4"/>
        <v>1</v>
      </c>
      <c r="P22">
        <f t="shared" si="5"/>
        <v>0</v>
      </c>
      <c r="Q22">
        <f t="shared" si="6"/>
        <v>1</v>
      </c>
      <c r="R22" t="b">
        <v>0</v>
      </c>
      <c r="T22" s="10">
        <v>0.346527777777778</v>
      </c>
      <c r="U22" s="10">
        <v>0.375694444444444</v>
      </c>
      <c r="V22">
        <v>42</v>
      </c>
      <c r="W22" t="b">
        <v>1</v>
      </c>
      <c r="X22" t="s">
        <v>50</v>
      </c>
    </row>
    <row r="23" spans="1:28">
      <c r="A23">
        <v>22</v>
      </c>
      <c r="B23" t="s">
        <v>73</v>
      </c>
      <c r="C23" t="s">
        <v>25</v>
      </c>
      <c r="D23" s="9">
        <v>35732</v>
      </c>
      <c r="E23" s="9" t="str">
        <f t="shared" si="0"/>
        <v>20-30</v>
      </c>
      <c r="F23">
        <v>26</v>
      </c>
      <c r="G23" t="s">
        <v>17</v>
      </c>
      <c r="H23">
        <v>3</v>
      </c>
      <c r="I23" t="s">
        <v>74</v>
      </c>
      <c r="K23">
        <f t="shared" si="7"/>
        <v>1</v>
      </c>
      <c r="L23">
        <f t="shared" si="1"/>
        <v>1</v>
      </c>
      <c r="M23">
        <f t="shared" si="2"/>
        <v>0</v>
      </c>
      <c r="N23">
        <f t="shared" si="3"/>
        <v>0</v>
      </c>
      <c r="O23">
        <f t="shared" si="4"/>
        <v>0</v>
      </c>
      <c r="P23">
        <f t="shared" si="5"/>
        <v>1</v>
      </c>
      <c r="Q23">
        <f t="shared" si="6"/>
        <v>0</v>
      </c>
      <c r="R23" t="b">
        <v>1</v>
      </c>
      <c r="S23" t="s">
        <v>75</v>
      </c>
      <c r="T23" s="10">
        <v>0.629166666666667</v>
      </c>
      <c r="U23" s="10">
        <v>0.701388888888889</v>
      </c>
      <c r="V23">
        <v>104</v>
      </c>
      <c r="W23" t="b">
        <v>0</v>
      </c>
    </row>
    <row r="24" spans="1:28">
      <c r="A24">
        <v>23</v>
      </c>
      <c r="B24" t="s">
        <v>76</v>
      </c>
      <c r="C24" t="s">
        <v>16</v>
      </c>
      <c r="D24" s="9">
        <v>40473</v>
      </c>
      <c r="E24" s="9" t="str">
        <f t="shared" si="0"/>
        <v>below 20</v>
      </c>
      <c r="F24">
        <v>13</v>
      </c>
      <c r="G24" t="s">
        <v>21</v>
      </c>
      <c r="H24">
        <v>2</v>
      </c>
      <c r="I24" t="s">
        <v>32</v>
      </c>
      <c r="K24">
        <f t="shared" si="7"/>
        <v>0</v>
      </c>
      <c r="L24">
        <f t="shared" si="1"/>
        <v>0</v>
      </c>
      <c r="M24">
        <f t="shared" si="2"/>
        <v>1</v>
      </c>
      <c r="N24">
        <f t="shared" si="3"/>
        <v>0</v>
      </c>
      <c r="O24">
        <f t="shared" si="4"/>
        <v>1</v>
      </c>
      <c r="P24">
        <f t="shared" si="5"/>
        <v>0</v>
      </c>
      <c r="Q24">
        <f t="shared" si="6"/>
        <v>0</v>
      </c>
      <c r="R24" t="b">
        <v>1</v>
      </c>
      <c r="S24" t="s">
        <v>77</v>
      </c>
      <c r="T24" s="10">
        <v>0.872222222222222</v>
      </c>
      <c r="U24" s="10">
        <v>0.948611111111111</v>
      </c>
      <c r="V24">
        <v>110</v>
      </c>
      <c r="W24" t="b">
        <v>1</v>
      </c>
      <c r="X24" t="s">
        <v>28</v>
      </c>
    </row>
    <row r="25" spans="1:28">
      <c r="A25">
        <v>24</v>
      </c>
      <c r="B25" t="s">
        <v>78</v>
      </c>
      <c r="C25" t="s">
        <v>25</v>
      </c>
      <c r="D25" s="9">
        <v>40202</v>
      </c>
      <c r="E25" s="9" t="str">
        <f t="shared" si="0"/>
        <v>below 20</v>
      </c>
      <c r="F25">
        <v>14</v>
      </c>
      <c r="G25" t="s">
        <v>17</v>
      </c>
      <c r="H25">
        <v>3</v>
      </c>
      <c r="I25" t="s">
        <v>79</v>
      </c>
      <c r="K25">
        <f t="shared" si="7"/>
        <v>0</v>
      </c>
      <c r="L25">
        <f t="shared" si="1"/>
        <v>1</v>
      </c>
      <c r="M25">
        <f t="shared" si="2"/>
        <v>0</v>
      </c>
      <c r="N25">
        <f t="shared" si="3"/>
        <v>0</v>
      </c>
      <c r="O25">
        <f t="shared" si="4"/>
        <v>0</v>
      </c>
      <c r="P25">
        <f t="shared" si="5"/>
        <v>1</v>
      </c>
      <c r="Q25">
        <f t="shared" si="6"/>
        <v>1</v>
      </c>
      <c r="R25" t="b">
        <v>0</v>
      </c>
      <c r="T25" s="10">
        <v>0.606944444444444</v>
      </c>
      <c r="U25" s="10">
        <v>0.663194444444444</v>
      </c>
      <c r="V25">
        <v>81</v>
      </c>
      <c r="W25" t="b">
        <v>1</v>
      </c>
      <c r="X25" t="s">
        <v>47</v>
      </c>
    </row>
    <row r="26" spans="1:28">
      <c r="A26">
        <v>25</v>
      </c>
      <c r="B26" t="s">
        <v>80</v>
      </c>
      <c r="C26" t="s">
        <v>16</v>
      </c>
      <c r="D26" s="9">
        <v>39725</v>
      </c>
      <c r="E26" s="9" t="str">
        <f t="shared" si="0"/>
        <v>below 20</v>
      </c>
      <c r="F26">
        <v>15</v>
      </c>
      <c r="G26" t="s">
        <v>17</v>
      </c>
      <c r="H26">
        <v>1</v>
      </c>
      <c r="I26" t="s">
        <v>81</v>
      </c>
      <c r="K26">
        <f t="shared" si="7"/>
        <v>0</v>
      </c>
      <c r="L26">
        <f t="shared" si="1"/>
        <v>0</v>
      </c>
      <c r="M26">
        <f t="shared" si="2"/>
        <v>0</v>
      </c>
      <c r="N26">
        <f t="shared" si="3"/>
        <v>0</v>
      </c>
      <c r="O26">
        <f t="shared" si="4"/>
        <v>0</v>
      </c>
      <c r="P26">
        <f t="shared" si="5"/>
        <v>1</v>
      </c>
      <c r="Q26">
        <f t="shared" si="6"/>
        <v>0</v>
      </c>
      <c r="R26" t="b">
        <v>0</v>
      </c>
      <c r="T26" s="10">
        <v>0.3625</v>
      </c>
      <c r="U26" s="10">
        <v>0.4625</v>
      </c>
      <c r="V26">
        <v>144</v>
      </c>
      <c r="W26" t="b">
        <v>0</v>
      </c>
    </row>
    <row r="27" spans="1:28">
      <c r="A27">
        <v>26</v>
      </c>
      <c r="B27" t="s">
        <v>82</v>
      </c>
      <c r="C27" t="s">
        <v>25</v>
      </c>
      <c r="D27" s="9">
        <v>32676</v>
      </c>
      <c r="E27" s="9" t="str">
        <f t="shared" si="0"/>
        <v>31-41</v>
      </c>
      <c r="F27">
        <v>35</v>
      </c>
      <c r="G27" t="s">
        <v>21</v>
      </c>
      <c r="H27">
        <v>1</v>
      </c>
      <c r="I27" t="s">
        <v>81</v>
      </c>
      <c r="K27">
        <f t="shared" si="7"/>
        <v>0</v>
      </c>
      <c r="L27">
        <f t="shared" si="1"/>
        <v>0</v>
      </c>
      <c r="M27">
        <f t="shared" si="2"/>
        <v>0</v>
      </c>
      <c r="N27">
        <f t="shared" si="3"/>
        <v>0</v>
      </c>
      <c r="O27">
        <f t="shared" si="4"/>
        <v>0</v>
      </c>
      <c r="P27">
        <f t="shared" si="5"/>
        <v>1</v>
      </c>
      <c r="Q27">
        <f t="shared" si="6"/>
        <v>0</v>
      </c>
      <c r="R27" t="b">
        <v>1</v>
      </c>
      <c r="S27" t="s">
        <v>83</v>
      </c>
      <c r="T27" s="10">
        <v>0.55</v>
      </c>
      <c r="U27" s="10">
        <v>0.634027777777778</v>
      </c>
      <c r="V27">
        <v>121</v>
      </c>
      <c r="W27" t="b">
        <v>1</v>
      </c>
      <c r="X27" t="s">
        <v>23</v>
      </c>
    </row>
    <row r="28" spans="1:28">
      <c r="A28">
        <v>27</v>
      </c>
      <c r="B28" t="s">
        <v>84</v>
      </c>
      <c r="C28" t="s">
        <v>25</v>
      </c>
      <c r="D28" s="9">
        <v>38442</v>
      </c>
      <c r="E28" s="9" t="str">
        <f t="shared" si="0"/>
        <v>below 20</v>
      </c>
      <c r="F28">
        <v>19</v>
      </c>
      <c r="G28" t="s">
        <v>17</v>
      </c>
      <c r="H28">
        <v>3</v>
      </c>
      <c r="I28" t="s">
        <v>85</v>
      </c>
      <c r="K28">
        <f t="shared" si="7"/>
        <v>0</v>
      </c>
      <c r="L28">
        <f t="shared" si="1"/>
        <v>1</v>
      </c>
      <c r="M28">
        <f t="shared" si="2"/>
        <v>1</v>
      </c>
      <c r="N28">
        <f t="shared" si="3"/>
        <v>0</v>
      </c>
      <c r="O28">
        <f t="shared" si="4"/>
        <v>1</v>
      </c>
      <c r="P28">
        <f t="shared" si="5"/>
        <v>0</v>
      </c>
      <c r="Q28">
        <f t="shared" si="6"/>
        <v>0</v>
      </c>
      <c r="R28" t="b">
        <v>1</v>
      </c>
      <c r="S28" t="s">
        <v>86</v>
      </c>
      <c r="T28" s="10">
        <v>0.625694444444444</v>
      </c>
      <c r="U28" s="10">
        <v>0.6625</v>
      </c>
      <c r="V28">
        <v>53</v>
      </c>
      <c r="W28" t="b">
        <v>0</v>
      </c>
    </row>
    <row r="29" spans="1:28">
      <c r="A29">
        <v>28</v>
      </c>
      <c r="B29" t="s">
        <v>87</v>
      </c>
      <c r="C29" t="s">
        <v>25</v>
      </c>
      <c r="D29" s="9">
        <v>33704</v>
      </c>
      <c r="E29" s="9" t="str">
        <f t="shared" si="0"/>
        <v>31-41</v>
      </c>
      <c r="F29">
        <v>32</v>
      </c>
      <c r="G29" t="s">
        <v>21</v>
      </c>
      <c r="H29">
        <v>5</v>
      </c>
      <c r="I29" t="s">
        <v>88</v>
      </c>
      <c r="K29">
        <f t="shared" si="7"/>
        <v>0</v>
      </c>
      <c r="L29">
        <f t="shared" si="1"/>
        <v>1</v>
      </c>
      <c r="M29">
        <f t="shared" si="2"/>
        <v>0</v>
      </c>
      <c r="N29">
        <f t="shared" si="3"/>
        <v>1</v>
      </c>
      <c r="O29">
        <f t="shared" si="4"/>
        <v>1</v>
      </c>
      <c r="P29">
        <f t="shared" si="5"/>
        <v>1</v>
      </c>
      <c r="Q29">
        <f t="shared" si="6"/>
        <v>1</v>
      </c>
      <c r="R29" t="b">
        <v>1</v>
      </c>
      <c r="S29" t="s">
        <v>89</v>
      </c>
      <c r="T29" s="10">
        <v>0.820138888888889</v>
      </c>
      <c r="U29" s="10">
        <v>0.906944444444444</v>
      </c>
      <c r="V29">
        <v>125</v>
      </c>
      <c r="W29" t="b">
        <v>1</v>
      </c>
      <c r="X29" t="s">
        <v>23</v>
      </c>
    </row>
    <row r="30" spans="1:28">
      <c r="A30">
        <v>29</v>
      </c>
      <c r="B30" t="s">
        <v>90</v>
      </c>
      <c r="C30" t="s">
        <v>16</v>
      </c>
      <c r="D30" s="9">
        <v>35451</v>
      </c>
      <c r="E30" s="9" t="str">
        <f t="shared" si="0"/>
        <v>20-30</v>
      </c>
      <c r="F30">
        <v>27</v>
      </c>
      <c r="G30" t="s">
        <v>17</v>
      </c>
      <c r="H30">
        <v>1</v>
      </c>
      <c r="I30" t="s">
        <v>35</v>
      </c>
      <c r="K30">
        <f t="shared" si="7"/>
        <v>0</v>
      </c>
      <c r="L30">
        <f t="shared" si="1"/>
        <v>0</v>
      </c>
      <c r="M30">
        <f t="shared" si="2"/>
        <v>1</v>
      </c>
      <c r="N30">
        <f t="shared" si="3"/>
        <v>0</v>
      </c>
      <c r="O30">
        <f t="shared" si="4"/>
        <v>0</v>
      </c>
      <c r="P30">
        <f t="shared" si="5"/>
        <v>0</v>
      </c>
      <c r="Q30">
        <f t="shared" si="6"/>
        <v>0</v>
      </c>
      <c r="R30" t="b">
        <v>0</v>
      </c>
      <c r="T30" s="10">
        <v>0.475694444444444</v>
      </c>
      <c r="U30" s="10">
        <v>0.519444444444444</v>
      </c>
      <c r="V30">
        <v>63</v>
      </c>
      <c r="W30" t="b">
        <v>0</v>
      </c>
    </row>
    <row r="31" spans="1:28">
      <c r="A31">
        <v>30</v>
      </c>
      <c r="B31" t="s">
        <v>91</v>
      </c>
      <c r="C31" t="s">
        <v>16</v>
      </c>
      <c r="D31" s="9">
        <v>37564</v>
      </c>
      <c r="E31" s="9" t="str">
        <f t="shared" si="0"/>
        <v>20-30</v>
      </c>
      <c r="F31">
        <v>21</v>
      </c>
      <c r="G31" t="s">
        <v>17</v>
      </c>
      <c r="H31">
        <v>3</v>
      </c>
      <c r="I31" t="s">
        <v>92</v>
      </c>
      <c r="K31">
        <f t="shared" si="7"/>
        <v>0</v>
      </c>
      <c r="L31">
        <f t="shared" si="1"/>
        <v>1</v>
      </c>
      <c r="M31">
        <f t="shared" si="2"/>
        <v>0</v>
      </c>
      <c r="N31">
        <f t="shared" si="3"/>
        <v>1</v>
      </c>
      <c r="O31">
        <f t="shared" si="4"/>
        <v>0</v>
      </c>
      <c r="P31">
        <f t="shared" si="5"/>
        <v>1</v>
      </c>
      <c r="Q31">
        <f t="shared" si="6"/>
        <v>0</v>
      </c>
      <c r="R31" t="b">
        <v>1</v>
      </c>
      <c r="S31" t="s">
        <v>93</v>
      </c>
      <c r="T31" s="10">
        <v>0.84375</v>
      </c>
      <c r="U31" s="10">
        <v>0.865972222222222</v>
      </c>
      <c r="V31">
        <v>32</v>
      </c>
      <c r="W31" t="b">
        <v>0</v>
      </c>
    </row>
    <row r="32" spans="1:28">
      <c r="A32">
        <v>31</v>
      </c>
      <c r="B32" t="s">
        <v>94</v>
      </c>
      <c r="C32" t="s">
        <v>25</v>
      </c>
      <c r="D32" s="9">
        <v>32206</v>
      </c>
      <c r="E32" s="9" t="str">
        <f t="shared" si="0"/>
        <v>31-41</v>
      </c>
      <c r="F32">
        <v>36</v>
      </c>
      <c r="G32" t="s">
        <v>17</v>
      </c>
      <c r="H32">
        <v>3</v>
      </c>
      <c r="I32" t="s">
        <v>22</v>
      </c>
      <c r="K32">
        <f t="shared" si="7"/>
        <v>1</v>
      </c>
      <c r="L32">
        <f t="shared" si="1"/>
        <v>0</v>
      </c>
      <c r="M32">
        <f t="shared" si="2"/>
        <v>0</v>
      </c>
      <c r="N32">
        <f t="shared" si="3"/>
        <v>0</v>
      </c>
      <c r="O32">
        <f t="shared" si="4"/>
        <v>0</v>
      </c>
      <c r="P32">
        <f t="shared" si="5"/>
        <v>1</v>
      </c>
      <c r="Q32">
        <f t="shared" si="6"/>
        <v>1</v>
      </c>
      <c r="R32" t="b">
        <v>0</v>
      </c>
      <c r="T32" s="10">
        <v>0.417361111111111</v>
      </c>
      <c r="U32" s="10">
        <v>0.470833333333333</v>
      </c>
      <c r="V32">
        <v>77</v>
      </c>
      <c r="W32" t="b">
        <v>1</v>
      </c>
      <c r="X32" t="s">
        <v>47</v>
      </c>
    </row>
    <row r="33" spans="1:24">
      <c r="A33">
        <v>32</v>
      </c>
      <c r="B33" t="s">
        <v>95</v>
      </c>
      <c r="C33" t="s">
        <v>25</v>
      </c>
      <c r="D33" s="9">
        <v>36587</v>
      </c>
      <c r="E33" s="9" t="str">
        <f t="shared" si="0"/>
        <v>20-30</v>
      </c>
      <c r="F33">
        <v>24</v>
      </c>
      <c r="G33" t="s">
        <v>21</v>
      </c>
      <c r="H33">
        <v>5</v>
      </c>
      <c r="I33" t="s">
        <v>96</v>
      </c>
      <c r="K33">
        <f t="shared" si="7"/>
        <v>1</v>
      </c>
      <c r="L33">
        <f t="shared" si="1"/>
        <v>1</v>
      </c>
      <c r="M33">
        <f t="shared" si="2"/>
        <v>0</v>
      </c>
      <c r="N33">
        <f t="shared" si="3"/>
        <v>1</v>
      </c>
      <c r="O33">
        <f t="shared" si="4"/>
        <v>0</v>
      </c>
      <c r="P33">
        <f t="shared" si="5"/>
        <v>1</v>
      </c>
      <c r="Q33">
        <f t="shared" si="6"/>
        <v>1</v>
      </c>
      <c r="R33" t="b">
        <v>0</v>
      </c>
      <c r="T33" s="10">
        <v>0.870138888888889</v>
      </c>
      <c r="U33" s="10">
        <v>0.951388888888889</v>
      </c>
      <c r="V33">
        <v>117</v>
      </c>
      <c r="W33" t="b">
        <v>0</v>
      </c>
    </row>
    <row r="34" spans="1:24">
      <c r="A34">
        <v>33</v>
      </c>
      <c r="B34" t="s">
        <v>97</v>
      </c>
      <c r="C34" t="s">
        <v>16</v>
      </c>
      <c r="D34" s="9">
        <v>30008</v>
      </c>
      <c r="E34" s="9" t="str">
        <f t="shared" si="0"/>
        <v>41-50</v>
      </c>
      <c r="F34">
        <v>42</v>
      </c>
      <c r="G34" t="s">
        <v>17</v>
      </c>
      <c r="H34">
        <v>3</v>
      </c>
      <c r="I34" t="s">
        <v>98</v>
      </c>
      <c r="K34">
        <f t="shared" si="7"/>
        <v>0</v>
      </c>
      <c r="L34">
        <f t="shared" si="1"/>
        <v>1</v>
      </c>
      <c r="M34">
        <f t="shared" si="2"/>
        <v>0</v>
      </c>
      <c r="N34">
        <f t="shared" si="3"/>
        <v>0</v>
      </c>
      <c r="O34">
        <f t="shared" si="4"/>
        <v>1</v>
      </c>
      <c r="P34">
        <f t="shared" si="5"/>
        <v>1</v>
      </c>
      <c r="Q34">
        <f t="shared" si="6"/>
        <v>0</v>
      </c>
      <c r="R34" t="b">
        <v>1</v>
      </c>
      <c r="S34" t="s">
        <v>99</v>
      </c>
      <c r="T34" s="10">
        <v>0.432638888888889</v>
      </c>
      <c r="U34" s="10">
        <v>0.470833333333333</v>
      </c>
      <c r="V34">
        <v>55</v>
      </c>
      <c r="W34" t="b">
        <v>1</v>
      </c>
      <c r="X34" t="s">
        <v>23</v>
      </c>
    </row>
    <row r="35" spans="1:24">
      <c r="A35">
        <v>34</v>
      </c>
      <c r="B35" t="s">
        <v>100</v>
      </c>
      <c r="C35" t="s">
        <v>16</v>
      </c>
      <c r="D35" s="9">
        <v>28101</v>
      </c>
      <c r="E35" s="9" t="str">
        <f t="shared" si="0"/>
        <v>41-50</v>
      </c>
      <c r="F35">
        <v>47</v>
      </c>
      <c r="G35" t="s">
        <v>17</v>
      </c>
      <c r="H35">
        <v>2</v>
      </c>
      <c r="I35" t="s">
        <v>101</v>
      </c>
      <c r="K35">
        <f t="shared" si="7"/>
        <v>0</v>
      </c>
      <c r="L35">
        <f t="shared" si="1"/>
        <v>0</v>
      </c>
      <c r="M35">
        <f t="shared" si="2"/>
        <v>0</v>
      </c>
      <c r="N35">
        <f t="shared" si="3"/>
        <v>0</v>
      </c>
      <c r="O35">
        <f t="shared" si="4"/>
        <v>0</v>
      </c>
      <c r="P35">
        <f t="shared" si="5"/>
        <v>1</v>
      </c>
      <c r="Q35">
        <f t="shared" si="6"/>
        <v>1</v>
      </c>
      <c r="R35" t="b">
        <v>1</v>
      </c>
      <c r="S35" t="s">
        <v>102</v>
      </c>
      <c r="T35" s="10">
        <v>0.6125</v>
      </c>
      <c r="U35" s="10">
        <v>0.70625</v>
      </c>
      <c r="V35">
        <v>135</v>
      </c>
      <c r="W35" t="b">
        <v>1</v>
      </c>
      <c r="X35" t="s">
        <v>50</v>
      </c>
    </row>
    <row r="36" spans="1:24">
      <c r="A36">
        <v>35</v>
      </c>
      <c r="B36" t="s">
        <v>103</v>
      </c>
      <c r="C36" t="s">
        <v>25</v>
      </c>
      <c r="D36" s="9">
        <v>38052</v>
      </c>
      <c r="E36" s="9" t="str">
        <f t="shared" si="0"/>
        <v>20-30</v>
      </c>
      <c r="F36">
        <v>20</v>
      </c>
      <c r="G36" t="s">
        <v>17</v>
      </c>
      <c r="H36">
        <v>5</v>
      </c>
      <c r="I36" t="s">
        <v>104</v>
      </c>
      <c r="K36">
        <f t="shared" si="7"/>
        <v>0</v>
      </c>
      <c r="L36">
        <f t="shared" si="1"/>
        <v>0</v>
      </c>
      <c r="M36">
        <f t="shared" si="2"/>
        <v>1</v>
      </c>
      <c r="N36">
        <f t="shared" si="3"/>
        <v>1</v>
      </c>
      <c r="O36">
        <f t="shared" si="4"/>
        <v>1</v>
      </c>
      <c r="P36">
        <f t="shared" si="5"/>
        <v>1</v>
      </c>
      <c r="Q36">
        <f t="shared" si="6"/>
        <v>1</v>
      </c>
      <c r="R36" t="b">
        <v>0</v>
      </c>
      <c r="T36" s="10">
        <v>0.760416666666667</v>
      </c>
      <c r="U36" s="10">
        <v>0.834722222222222</v>
      </c>
      <c r="V36">
        <v>107</v>
      </c>
      <c r="W36" t="b">
        <v>1</v>
      </c>
      <c r="X36" t="s">
        <v>28</v>
      </c>
    </row>
    <row r="37" spans="1:24">
      <c r="A37">
        <v>36</v>
      </c>
      <c r="B37" t="s">
        <v>105</v>
      </c>
      <c r="C37" t="s">
        <v>25</v>
      </c>
      <c r="D37" s="9">
        <v>32941</v>
      </c>
      <c r="E37" s="9" t="str">
        <f t="shared" si="0"/>
        <v>31-41</v>
      </c>
      <c r="F37">
        <v>34</v>
      </c>
      <c r="G37" t="s">
        <v>21</v>
      </c>
      <c r="H37">
        <v>3</v>
      </c>
      <c r="I37" t="s">
        <v>106</v>
      </c>
      <c r="K37">
        <f t="shared" si="7"/>
        <v>1</v>
      </c>
      <c r="L37">
        <f t="shared" si="1"/>
        <v>1</v>
      </c>
      <c r="M37">
        <f t="shared" si="2"/>
        <v>0</v>
      </c>
      <c r="N37">
        <f t="shared" si="3"/>
        <v>0</v>
      </c>
      <c r="O37">
        <f t="shared" si="4"/>
        <v>1</v>
      </c>
      <c r="P37">
        <f t="shared" si="5"/>
        <v>0</v>
      </c>
      <c r="Q37">
        <f t="shared" si="6"/>
        <v>0</v>
      </c>
      <c r="R37" t="b">
        <v>1</v>
      </c>
      <c r="S37" t="s">
        <v>107</v>
      </c>
      <c r="T37" s="10">
        <v>0.56875</v>
      </c>
      <c r="U37" s="10">
        <v>0.678472222222222</v>
      </c>
      <c r="V37">
        <v>158</v>
      </c>
      <c r="W37" t="b">
        <v>0</v>
      </c>
    </row>
    <row r="38" spans="1:24">
      <c r="A38">
        <v>37</v>
      </c>
      <c r="B38" t="s">
        <v>108</v>
      </c>
      <c r="C38" t="s">
        <v>16</v>
      </c>
      <c r="D38" s="9">
        <v>29663</v>
      </c>
      <c r="E38" s="9" t="str">
        <f t="shared" si="0"/>
        <v>41-50</v>
      </c>
      <c r="F38">
        <v>43</v>
      </c>
      <c r="G38" t="s">
        <v>21</v>
      </c>
      <c r="H38">
        <v>5</v>
      </c>
      <c r="I38" t="s">
        <v>109</v>
      </c>
      <c r="K38">
        <f t="shared" si="7"/>
        <v>1</v>
      </c>
      <c r="L38">
        <f t="shared" si="1"/>
        <v>1</v>
      </c>
      <c r="M38">
        <f t="shared" si="2"/>
        <v>1</v>
      </c>
      <c r="N38">
        <f t="shared" si="3"/>
        <v>1</v>
      </c>
      <c r="O38">
        <f t="shared" si="4"/>
        <v>0</v>
      </c>
      <c r="P38">
        <f t="shared" si="5"/>
        <v>1</v>
      </c>
      <c r="Q38">
        <f t="shared" si="6"/>
        <v>0</v>
      </c>
      <c r="R38" t="b">
        <v>0</v>
      </c>
      <c r="T38" s="10">
        <v>0.376388888888889</v>
      </c>
      <c r="U38" s="10">
        <v>0.438194444444444</v>
      </c>
      <c r="V38">
        <v>89</v>
      </c>
      <c r="W38" t="b">
        <v>0</v>
      </c>
    </row>
    <row r="39" spans="1:24">
      <c r="A39">
        <v>38</v>
      </c>
      <c r="B39" t="s">
        <v>110</v>
      </c>
      <c r="C39" t="s">
        <v>16</v>
      </c>
      <c r="D39" s="9">
        <v>30621</v>
      </c>
      <c r="E39" s="9" t="str">
        <f t="shared" si="0"/>
        <v>31-41</v>
      </c>
      <c r="F39">
        <v>40</v>
      </c>
      <c r="G39" t="s">
        <v>17</v>
      </c>
      <c r="H39">
        <v>2</v>
      </c>
      <c r="I39" t="s">
        <v>111</v>
      </c>
      <c r="K39">
        <f t="shared" si="7"/>
        <v>0</v>
      </c>
      <c r="L39">
        <f t="shared" si="1"/>
        <v>1</v>
      </c>
      <c r="M39">
        <f t="shared" si="2"/>
        <v>0</v>
      </c>
      <c r="N39">
        <f t="shared" si="3"/>
        <v>0</v>
      </c>
      <c r="O39">
        <f t="shared" si="4"/>
        <v>0</v>
      </c>
      <c r="P39">
        <f t="shared" si="5"/>
        <v>0</v>
      </c>
      <c r="Q39">
        <f t="shared" si="6"/>
        <v>1</v>
      </c>
      <c r="R39" t="b">
        <v>0</v>
      </c>
      <c r="T39" s="10">
        <v>0.360416666666667</v>
      </c>
      <c r="U39" s="10">
        <v>0.39375</v>
      </c>
      <c r="V39">
        <v>48</v>
      </c>
      <c r="W39" t="b">
        <v>0</v>
      </c>
    </row>
    <row r="40" spans="1:24">
      <c r="A40">
        <v>39</v>
      </c>
      <c r="B40" t="s">
        <v>112</v>
      </c>
      <c r="C40" t="s">
        <v>25</v>
      </c>
      <c r="D40" s="9">
        <v>29407</v>
      </c>
      <c r="E40" s="9" t="str">
        <f t="shared" si="0"/>
        <v>41-50</v>
      </c>
      <c r="F40">
        <v>44</v>
      </c>
      <c r="G40" t="s">
        <v>17</v>
      </c>
      <c r="H40">
        <v>1</v>
      </c>
      <c r="I40" t="s">
        <v>81</v>
      </c>
      <c r="K40">
        <f t="shared" si="7"/>
        <v>0</v>
      </c>
      <c r="L40">
        <f t="shared" si="1"/>
        <v>0</v>
      </c>
      <c r="M40">
        <f t="shared" si="2"/>
        <v>0</v>
      </c>
      <c r="N40">
        <f t="shared" si="3"/>
        <v>0</v>
      </c>
      <c r="O40">
        <f t="shared" si="4"/>
        <v>0</v>
      </c>
      <c r="P40">
        <f t="shared" si="5"/>
        <v>1</v>
      </c>
      <c r="Q40">
        <f t="shared" si="6"/>
        <v>0</v>
      </c>
      <c r="R40" t="b">
        <v>0</v>
      </c>
      <c r="T40" s="10">
        <v>0.863194444444444</v>
      </c>
      <c r="U40" s="10">
        <v>0.90625</v>
      </c>
      <c r="V40">
        <v>62</v>
      </c>
      <c r="W40" t="b">
        <v>0</v>
      </c>
    </row>
    <row r="41" spans="1:24">
      <c r="A41">
        <v>40</v>
      </c>
      <c r="B41" t="s">
        <v>113</v>
      </c>
      <c r="C41" t="s">
        <v>16</v>
      </c>
      <c r="D41" s="9">
        <v>38736</v>
      </c>
      <c r="E41" s="9" t="str">
        <f t="shared" si="0"/>
        <v>below 20</v>
      </c>
      <c r="F41">
        <v>18</v>
      </c>
      <c r="G41" t="s">
        <v>17</v>
      </c>
      <c r="H41">
        <v>2</v>
      </c>
      <c r="I41" t="s">
        <v>72</v>
      </c>
      <c r="K41">
        <f t="shared" si="7"/>
        <v>0</v>
      </c>
      <c r="L41">
        <f t="shared" si="1"/>
        <v>0</v>
      </c>
      <c r="M41">
        <f t="shared" si="2"/>
        <v>0</v>
      </c>
      <c r="N41">
        <f t="shared" si="3"/>
        <v>0</v>
      </c>
      <c r="O41">
        <f t="shared" si="4"/>
        <v>1</v>
      </c>
      <c r="P41">
        <f t="shared" si="5"/>
        <v>0</v>
      </c>
      <c r="Q41">
        <f t="shared" si="6"/>
        <v>1</v>
      </c>
      <c r="R41" t="b">
        <v>1</v>
      </c>
      <c r="S41" t="s">
        <v>114</v>
      </c>
      <c r="T41" s="10">
        <v>0.434722222222222</v>
      </c>
      <c r="U41" s="10">
        <v>0.498611111111111</v>
      </c>
      <c r="V41">
        <v>92</v>
      </c>
      <c r="W41" t="b">
        <v>0</v>
      </c>
    </row>
    <row r="42" spans="1:24">
      <c r="A42">
        <v>41</v>
      </c>
      <c r="B42" t="s">
        <v>115</v>
      </c>
      <c r="C42" t="s">
        <v>16</v>
      </c>
      <c r="D42" s="9">
        <v>39610</v>
      </c>
      <c r="E42" s="9" t="str">
        <f t="shared" si="0"/>
        <v>below 20</v>
      </c>
      <c r="F42">
        <v>16</v>
      </c>
      <c r="G42" t="s">
        <v>17</v>
      </c>
      <c r="H42">
        <v>3</v>
      </c>
      <c r="I42" t="s">
        <v>116</v>
      </c>
      <c r="K42">
        <f t="shared" si="7"/>
        <v>0</v>
      </c>
      <c r="L42">
        <f t="shared" si="1"/>
        <v>0</v>
      </c>
      <c r="M42">
        <f t="shared" si="2"/>
        <v>0</v>
      </c>
      <c r="N42">
        <f t="shared" si="3"/>
        <v>1</v>
      </c>
      <c r="O42">
        <f t="shared" si="4"/>
        <v>1</v>
      </c>
      <c r="P42">
        <f t="shared" si="5"/>
        <v>0</v>
      </c>
      <c r="Q42">
        <f t="shared" si="6"/>
        <v>1</v>
      </c>
      <c r="R42" t="b">
        <v>0</v>
      </c>
      <c r="T42" s="10">
        <v>0.669444444444444</v>
      </c>
      <c r="U42" s="10">
        <v>0.721527777777778</v>
      </c>
      <c r="V42">
        <v>75</v>
      </c>
      <c r="W42" t="b">
        <v>1</v>
      </c>
      <c r="X42" t="s">
        <v>50</v>
      </c>
    </row>
    <row r="43" spans="1:24">
      <c r="A43">
        <v>42</v>
      </c>
      <c r="B43" t="s">
        <v>117</v>
      </c>
      <c r="C43" t="s">
        <v>16</v>
      </c>
      <c r="D43" s="9">
        <v>32697</v>
      </c>
      <c r="E43" s="9" t="str">
        <f t="shared" si="0"/>
        <v>31-41</v>
      </c>
      <c r="F43">
        <v>35</v>
      </c>
      <c r="G43" t="s">
        <v>21</v>
      </c>
      <c r="H43">
        <v>1</v>
      </c>
      <c r="I43" t="s">
        <v>59</v>
      </c>
      <c r="K43">
        <f t="shared" si="7"/>
        <v>0</v>
      </c>
      <c r="L43">
        <f t="shared" si="1"/>
        <v>0</v>
      </c>
      <c r="M43">
        <f t="shared" si="2"/>
        <v>0</v>
      </c>
      <c r="N43">
        <f t="shared" si="3"/>
        <v>0</v>
      </c>
      <c r="O43">
        <f t="shared" si="4"/>
        <v>0</v>
      </c>
      <c r="P43">
        <f t="shared" si="5"/>
        <v>0</v>
      </c>
      <c r="Q43">
        <f t="shared" si="6"/>
        <v>1</v>
      </c>
      <c r="R43" t="b">
        <v>0</v>
      </c>
      <c r="T43" s="10">
        <v>0.401388888888889</v>
      </c>
      <c r="U43" s="10">
        <v>0.500694444444444</v>
      </c>
      <c r="V43">
        <v>143</v>
      </c>
      <c r="W43" t="b">
        <v>0</v>
      </c>
    </row>
    <row r="44" spans="1:24">
      <c r="A44">
        <v>43</v>
      </c>
      <c r="B44" t="s">
        <v>118</v>
      </c>
      <c r="C44" t="s">
        <v>16</v>
      </c>
      <c r="D44" s="9">
        <v>34876</v>
      </c>
      <c r="E44" s="9" t="str">
        <f t="shared" si="0"/>
        <v>20-30</v>
      </c>
      <c r="F44">
        <v>29</v>
      </c>
      <c r="G44" t="s">
        <v>17</v>
      </c>
      <c r="H44">
        <v>1</v>
      </c>
      <c r="I44" t="s">
        <v>59</v>
      </c>
      <c r="K44">
        <f t="shared" si="7"/>
        <v>0</v>
      </c>
      <c r="L44">
        <f t="shared" si="1"/>
        <v>0</v>
      </c>
      <c r="M44">
        <f t="shared" si="2"/>
        <v>0</v>
      </c>
      <c r="N44">
        <f t="shared" si="3"/>
        <v>0</v>
      </c>
      <c r="O44">
        <f t="shared" si="4"/>
        <v>0</v>
      </c>
      <c r="P44">
        <f t="shared" si="5"/>
        <v>0</v>
      </c>
      <c r="Q44">
        <f t="shared" si="6"/>
        <v>1</v>
      </c>
      <c r="R44" t="b">
        <v>1</v>
      </c>
      <c r="S44" t="s">
        <v>83</v>
      </c>
      <c r="T44" s="10">
        <v>0.434027777777778</v>
      </c>
      <c r="U44" s="10">
        <v>0.463888888888889</v>
      </c>
      <c r="V44">
        <v>43</v>
      </c>
      <c r="W44" t="b">
        <v>1</v>
      </c>
      <c r="X44" t="s">
        <v>23</v>
      </c>
    </row>
    <row r="45" spans="1:24">
      <c r="A45">
        <v>44</v>
      </c>
      <c r="B45" t="s">
        <v>119</v>
      </c>
      <c r="C45" t="s">
        <v>16</v>
      </c>
      <c r="D45" s="9">
        <v>35160</v>
      </c>
      <c r="E45" s="9" t="str">
        <f t="shared" si="0"/>
        <v>20-30</v>
      </c>
      <c r="F45">
        <v>28</v>
      </c>
      <c r="G45" t="s">
        <v>21</v>
      </c>
      <c r="H45">
        <v>1</v>
      </c>
      <c r="I45" t="s">
        <v>26</v>
      </c>
      <c r="K45">
        <f t="shared" si="7"/>
        <v>1</v>
      </c>
      <c r="L45">
        <f t="shared" si="1"/>
        <v>0</v>
      </c>
      <c r="M45">
        <f t="shared" si="2"/>
        <v>0</v>
      </c>
      <c r="N45">
        <f t="shared" si="3"/>
        <v>0</v>
      </c>
      <c r="O45">
        <f t="shared" si="4"/>
        <v>0</v>
      </c>
      <c r="P45">
        <f t="shared" si="5"/>
        <v>0</v>
      </c>
      <c r="Q45">
        <f t="shared" si="6"/>
        <v>0</v>
      </c>
      <c r="R45" t="b">
        <v>0</v>
      </c>
      <c r="T45" s="10">
        <v>0.492361111111111</v>
      </c>
      <c r="U45" s="10">
        <v>0.514583333333333</v>
      </c>
      <c r="V45">
        <v>32</v>
      </c>
      <c r="W45" t="b">
        <v>1</v>
      </c>
      <c r="X45" t="s">
        <v>50</v>
      </c>
    </row>
    <row r="46" spans="1:24">
      <c r="A46">
        <v>45</v>
      </c>
      <c r="B46" t="s">
        <v>120</v>
      </c>
      <c r="C46" t="s">
        <v>25</v>
      </c>
      <c r="D46" s="9">
        <v>27778</v>
      </c>
      <c r="E46" s="9" t="str">
        <f t="shared" si="0"/>
        <v>41-50</v>
      </c>
      <c r="F46">
        <v>48</v>
      </c>
      <c r="G46" t="s">
        <v>17</v>
      </c>
      <c r="H46">
        <v>2</v>
      </c>
      <c r="I46" t="s">
        <v>121</v>
      </c>
      <c r="K46">
        <f t="shared" si="7"/>
        <v>0</v>
      </c>
      <c r="L46">
        <f t="shared" si="1"/>
        <v>0</v>
      </c>
      <c r="M46">
        <f t="shared" si="2"/>
        <v>0</v>
      </c>
      <c r="N46">
        <f t="shared" si="3"/>
        <v>1</v>
      </c>
      <c r="O46">
        <f t="shared" si="4"/>
        <v>0</v>
      </c>
      <c r="P46">
        <f t="shared" si="5"/>
        <v>1</v>
      </c>
      <c r="Q46">
        <f t="shared" si="6"/>
        <v>0</v>
      </c>
      <c r="R46" t="b">
        <v>0</v>
      </c>
      <c r="T46" s="10">
        <v>0.414583333333333</v>
      </c>
      <c r="U46" s="10">
        <v>0.465972222222222</v>
      </c>
      <c r="V46">
        <v>74</v>
      </c>
      <c r="W46" t="b">
        <v>1</v>
      </c>
      <c r="X46" t="s">
        <v>50</v>
      </c>
    </row>
    <row r="47" spans="1:24">
      <c r="A47">
        <v>46</v>
      </c>
      <c r="B47" t="s">
        <v>122</v>
      </c>
      <c r="C47" t="s">
        <v>16</v>
      </c>
      <c r="D47" s="9">
        <v>29728</v>
      </c>
      <c r="E47" s="9" t="str">
        <f t="shared" si="0"/>
        <v>41-50</v>
      </c>
      <c r="F47">
        <v>43</v>
      </c>
      <c r="G47" t="s">
        <v>21</v>
      </c>
      <c r="H47">
        <v>4</v>
      </c>
      <c r="I47" t="s">
        <v>123</v>
      </c>
      <c r="K47">
        <f t="shared" si="7"/>
        <v>0</v>
      </c>
      <c r="L47">
        <f t="shared" si="1"/>
        <v>1</v>
      </c>
      <c r="M47">
        <f t="shared" si="2"/>
        <v>1</v>
      </c>
      <c r="N47">
        <f t="shared" si="3"/>
        <v>0</v>
      </c>
      <c r="O47">
        <f t="shared" si="4"/>
        <v>1</v>
      </c>
      <c r="P47">
        <f t="shared" si="5"/>
        <v>1</v>
      </c>
      <c r="Q47">
        <f t="shared" si="6"/>
        <v>0</v>
      </c>
      <c r="R47" t="b">
        <v>1</v>
      </c>
      <c r="S47" t="s">
        <v>124</v>
      </c>
      <c r="T47" s="10">
        <v>0.778472222222222</v>
      </c>
      <c r="U47" s="10">
        <v>0.826388888888889</v>
      </c>
      <c r="V47">
        <v>69</v>
      </c>
      <c r="W47" t="b">
        <v>1</v>
      </c>
      <c r="X47" t="s">
        <v>50</v>
      </c>
    </row>
    <row r="48" spans="1:24">
      <c r="A48">
        <v>47</v>
      </c>
      <c r="B48" t="s">
        <v>125</v>
      </c>
      <c r="C48" t="s">
        <v>25</v>
      </c>
      <c r="D48" s="9">
        <v>32571</v>
      </c>
      <c r="E48" s="9" t="str">
        <f t="shared" si="0"/>
        <v>31-41</v>
      </c>
      <c r="F48">
        <v>35</v>
      </c>
      <c r="G48" t="s">
        <v>21</v>
      </c>
      <c r="H48">
        <v>3</v>
      </c>
      <c r="I48" t="s">
        <v>74</v>
      </c>
      <c r="K48">
        <f t="shared" si="7"/>
        <v>1</v>
      </c>
      <c r="L48">
        <f t="shared" si="1"/>
        <v>1</v>
      </c>
      <c r="M48">
        <f t="shared" si="2"/>
        <v>0</v>
      </c>
      <c r="N48">
        <f t="shared" si="3"/>
        <v>0</v>
      </c>
      <c r="O48">
        <f t="shared" si="4"/>
        <v>0</v>
      </c>
      <c r="P48">
        <f t="shared" si="5"/>
        <v>1</v>
      </c>
      <c r="Q48">
        <f t="shared" si="6"/>
        <v>0</v>
      </c>
      <c r="R48" t="b">
        <v>0</v>
      </c>
      <c r="T48" s="10">
        <v>0.626388888888889</v>
      </c>
      <c r="U48" s="10">
        <v>0.668055555555556</v>
      </c>
      <c r="V48">
        <v>60</v>
      </c>
      <c r="W48" t="b">
        <v>0</v>
      </c>
    </row>
    <row r="49" spans="1:24">
      <c r="A49">
        <v>48</v>
      </c>
      <c r="B49" t="s">
        <v>126</v>
      </c>
      <c r="C49" t="s">
        <v>25</v>
      </c>
      <c r="D49" s="9">
        <v>35749</v>
      </c>
      <c r="E49" s="9" t="str">
        <f t="shared" si="0"/>
        <v>20-30</v>
      </c>
      <c r="F49">
        <v>26</v>
      </c>
      <c r="G49" t="s">
        <v>17</v>
      </c>
      <c r="H49">
        <v>5</v>
      </c>
      <c r="I49" t="s">
        <v>127</v>
      </c>
      <c r="K49">
        <f t="shared" si="7"/>
        <v>1</v>
      </c>
      <c r="L49">
        <f t="shared" si="1"/>
        <v>0</v>
      </c>
      <c r="M49">
        <f t="shared" si="2"/>
        <v>1</v>
      </c>
      <c r="N49">
        <f t="shared" si="3"/>
        <v>1</v>
      </c>
      <c r="O49">
        <f t="shared" si="4"/>
        <v>1</v>
      </c>
      <c r="P49">
        <f t="shared" si="5"/>
        <v>1</v>
      </c>
      <c r="Q49">
        <f t="shared" si="6"/>
        <v>0</v>
      </c>
      <c r="R49" t="b">
        <v>1</v>
      </c>
      <c r="S49" t="s">
        <v>128</v>
      </c>
      <c r="T49" s="10">
        <v>0.686805555555556</v>
      </c>
      <c r="U49" s="10">
        <v>0.719444444444444</v>
      </c>
      <c r="V49">
        <v>47</v>
      </c>
      <c r="W49" t="b">
        <v>1</v>
      </c>
      <c r="X49" t="s">
        <v>47</v>
      </c>
    </row>
    <row r="50" spans="1:24">
      <c r="A50">
        <v>49</v>
      </c>
      <c r="B50" t="s">
        <v>129</v>
      </c>
      <c r="C50" t="s">
        <v>16</v>
      </c>
      <c r="D50" s="9">
        <v>27690</v>
      </c>
      <c r="E50" s="9" t="str">
        <f t="shared" si="0"/>
        <v>41-50</v>
      </c>
      <c r="F50">
        <v>48</v>
      </c>
      <c r="G50" t="s">
        <v>17</v>
      </c>
      <c r="H50">
        <v>3</v>
      </c>
      <c r="I50" t="s">
        <v>130</v>
      </c>
      <c r="K50">
        <f t="shared" si="7"/>
        <v>0</v>
      </c>
      <c r="L50">
        <f t="shared" si="1"/>
        <v>1</v>
      </c>
      <c r="M50">
        <f t="shared" si="2"/>
        <v>0</v>
      </c>
      <c r="N50">
        <f t="shared" si="3"/>
        <v>1</v>
      </c>
      <c r="O50">
        <f t="shared" si="4"/>
        <v>1</v>
      </c>
      <c r="P50">
        <f t="shared" si="5"/>
        <v>0</v>
      </c>
      <c r="Q50">
        <f t="shared" si="6"/>
        <v>0</v>
      </c>
      <c r="R50" t="b">
        <v>1</v>
      </c>
      <c r="S50" t="s">
        <v>131</v>
      </c>
      <c r="T50" s="10">
        <v>0.497222222222222</v>
      </c>
      <c r="U50" s="10">
        <v>0.577777777777778</v>
      </c>
      <c r="V50">
        <v>116</v>
      </c>
      <c r="W50" t="b">
        <v>1</v>
      </c>
      <c r="X50" t="s">
        <v>23</v>
      </c>
    </row>
    <row r="51" spans="1:24">
      <c r="A51">
        <v>50</v>
      </c>
      <c r="B51" t="s">
        <v>132</v>
      </c>
      <c r="C51" t="s">
        <v>16</v>
      </c>
      <c r="D51" s="9">
        <v>29218</v>
      </c>
      <c r="E51" s="9" t="str">
        <f t="shared" si="0"/>
        <v>41-50</v>
      </c>
      <c r="F51">
        <v>44</v>
      </c>
      <c r="G51" t="s">
        <v>17</v>
      </c>
      <c r="H51">
        <v>2</v>
      </c>
      <c r="I51" t="s">
        <v>133</v>
      </c>
      <c r="K51">
        <f t="shared" si="7"/>
        <v>1</v>
      </c>
      <c r="L51">
        <f t="shared" si="1"/>
        <v>0</v>
      </c>
      <c r="M51">
        <f t="shared" si="2"/>
        <v>1</v>
      </c>
      <c r="N51">
        <f t="shared" si="3"/>
        <v>0</v>
      </c>
      <c r="O51">
        <f t="shared" si="4"/>
        <v>0</v>
      </c>
      <c r="P51">
        <f t="shared" si="5"/>
        <v>0</v>
      </c>
      <c r="Q51">
        <f t="shared" si="6"/>
        <v>0</v>
      </c>
      <c r="R51" t="b">
        <v>1</v>
      </c>
      <c r="S51" t="s">
        <v>134</v>
      </c>
      <c r="T51" s="10">
        <v>0.370833333333333</v>
      </c>
      <c r="U51" s="10">
        <v>0.464583333333333</v>
      </c>
      <c r="V51">
        <v>135</v>
      </c>
      <c r="W51" t="b">
        <v>0</v>
      </c>
    </row>
    <row r="52" spans="1:24">
      <c r="A52">
        <v>51</v>
      </c>
      <c r="B52" t="s">
        <v>135</v>
      </c>
      <c r="C52" t="s">
        <v>25</v>
      </c>
      <c r="D52" s="9">
        <v>29053</v>
      </c>
      <c r="E52" s="9" t="str">
        <f t="shared" si="0"/>
        <v>41-50</v>
      </c>
      <c r="F52">
        <v>45</v>
      </c>
      <c r="G52" t="s">
        <v>21</v>
      </c>
      <c r="H52">
        <v>3</v>
      </c>
      <c r="I52" t="s">
        <v>136</v>
      </c>
      <c r="K52">
        <f t="shared" si="7"/>
        <v>1</v>
      </c>
      <c r="L52">
        <f t="shared" si="1"/>
        <v>0</v>
      </c>
      <c r="M52">
        <f t="shared" si="2"/>
        <v>0</v>
      </c>
      <c r="N52">
        <f t="shared" si="3"/>
        <v>1</v>
      </c>
      <c r="O52">
        <f t="shared" si="4"/>
        <v>0</v>
      </c>
      <c r="P52">
        <f t="shared" si="5"/>
        <v>1</v>
      </c>
      <c r="Q52">
        <f t="shared" si="6"/>
        <v>0</v>
      </c>
      <c r="R52" t="b">
        <v>0</v>
      </c>
      <c r="T52" s="10">
        <v>0.404861111111111</v>
      </c>
      <c r="U52" s="10">
        <v>0.467361111111111</v>
      </c>
      <c r="V52">
        <v>90</v>
      </c>
      <c r="W52" t="b">
        <v>0</v>
      </c>
    </row>
    <row r="53" spans="1:24">
      <c r="A53">
        <v>52</v>
      </c>
      <c r="B53" t="s">
        <v>137</v>
      </c>
      <c r="C53" t="s">
        <v>25</v>
      </c>
      <c r="D53" s="9">
        <v>35176</v>
      </c>
      <c r="E53" s="9" t="str">
        <f t="shared" si="0"/>
        <v>20-30</v>
      </c>
      <c r="F53">
        <v>28</v>
      </c>
      <c r="G53" t="s">
        <v>17</v>
      </c>
      <c r="H53">
        <v>2</v>
      </c>
      <c r="I53" t="s">
        <v>138</v>
      </c>
      <c r="K53">
        <f t="shared" si="7"/>
        <v>0</v>
      </c>
      <c r="L53">
        <f t="shared" si="1"/>
        <v>0</v>
      </c>
      <c r="M53">
        <f t="shared" si="2"/>
        <v>1</v>
      </c>
      <c r="N53">
        <f t="shared" si="3"/>
        <v>0</v>
      </c>
      <c r="O53">
        <f t="shared" si="4"/>
        <v>0</v>
      </c>
      <c r="P53">
        <f t="shared" si="5"/>
        <v>1</v>
      </c>
      <c r="Q53">
        <f t="shared" si="6"/>
        <v>0</v>
      </c>
      <c r="R53" t="b">
        <v>1</v>
      </c>
      <c r="S53" t="s">
        <v>139</v>
      </c>
      <c r="T53" s="10">
        <v>0.873611111111111</v>
      </c>
      <c r="U53" s="10">
        <v>0.90625</v>
      </c>
      <c r="V53">
        <v>47</v>
      </c>
      <c r="W53" t="b">
        <v>0</v>
      </c>
    </row>
    <row r="54" spans="1:24">
      <c r="A54">
        <v>53</v>
      </c>
      <c r="B54" t="s">
        <v>140</v>
      </c>
      <c r="C54" t="s">
        <v>16</v>
      </c>
      <c r="D54" s="9">
        <v>38185</v>
      </c>
      <c r="E54" s="9" t="str">
        <f t="shared" si="0"/>
        <v>20-30</v>
      </c>
      <c r="F54">
        <v>20</v>
      </c>
      <c r="G54" t="s">
        <v>17</v>
      </c>
      <c r="H54">
        <v>2</v>
      </c>
      <c r="I54" t="s">
        <v>111</v>
      </c>
      <c r="K54">
        <f t="shared" si="7"/>
        <v>0</v>
      </c>
      <c r="L54">
        <f t="shared" si="1"/>
        <v>1</v>
      </c>
      <c r="M54">
        <f t="shared" si="2"/>
        <v>0</v>
      </c>
      <c r="N54">
        <f t="shared" si="3"/>
        <v>0</v>
      </c>
      <c r="O54">
        <f t="shared" si="4"/>
        <v>0</v>
      </c>
      <c r="P54">
        <f t="shared" si="5"/>
        <v>0</v>
      </c>
      <c r="Q54">
        <f t="shared" si="6"/>
        <v>1</v>
      </c>
      <c r="R54" t="b">
        <v>1</v>
      </c>
      <c r="S54" t="s">
        <v>141</v>
      </c>
      <c r="T54" s="10">
        <v>0.393055555555556</v>
      </c>
      <c r="U54" s="10">
        <v>0.448611111111111</v>
      </c>
      <c r="V54">
        <v>80</v>
      </c>
      <c r="W54" t="b">
        <v>0</v>
      </c>
    </row>
    <row r="55" spans="1:24">
      <c r="A55">
        <v>54</v>
      </c>
      <c r="B55" t="s">
        <v>142</v>
      </c>
      <c r="C55" t="s">
        <v>16</v>
      </c>
      <c r="D55" s="9">
        <v>29552</v>
      </c>
      <c r="E55" s="9" t="str">
        <f t="shared" si="0"/>
        <v>41-50</v>
      </c>
      <c r="F55">
        <v>43</v>
      </c>
      <c r="G55" t="s">
        <v>21</v>
      </c>
      <c r="H55">
        <v>4</v>
      </c>
      <c r="I55" t="s">
        <v>143</v>
      </c>
      <c r="K55">
        <f t="shared" si="7"/>
        <v>1</v>
      </c>
      <c r="L55">
        <f t="shared" si="1"/>
        <v>1</v>
      </c>
      <c r="M55">
        <f t="shared" si="2"/>
        <v>0</v>
      </c>
      <c r="N55">
        <f t="shared" si="3"/>
        <v>1</v>
      </c>
      <c r="O55">
        <f t="shared" si="4"/>
        <v>0</v>
      </c>
      <c r="P55">
        <f t="shared" si="5"/>
        <v>1</v>
      </c>
      <c r="Q55">
        <f t="shared" si="6"/>
        <v>0</v>
      </c>
      <c r="R55" t="b">
        <v>1</v>
      </c>
      <c r="S55" t="s">
        <v>144</v>
      </c>
      <c r="T55" s="10">
        <v>0.858333333333333</v>
      </c>
      <c r="U55" s="10">
        <v>0.93125</v>
      </c>
      <c r="V55">
        <v>105</v>
      </c>
      <c r="W55" t="b">
        <v>1</v>
      </c>
      <c r="X55" t="s">
        <v>28</v>
      </c>
    </row>
    <row r="56" spans="1:24">
      <c r="A56">
        <v>55</v>
      </c>
      <c r="B56" t="s">
        <v>145</v>
      </c>
      <c r="C56" t="s">
        <v>25</v>
      </c>
      <c r="D56" s="9">
        <v>36529</v>
      </c>
      <c r="E56" s="9" t="str">
        <f t="shared" si="0"/>
        <v>20-30</v>
      </c>
      <c r="F56">
        <v>24</v>
      </c>
      <c r="G56" t="s">
        <v>21</v>
      </c>
      <c r="H56">
        <v>2</v>
      </c>
      <c r="I56" t="s">
        <v>138</v>
      </c>
      <c r="K56">
        <f t="shared" si="7"/>
        <v>0</v>
      </c>
      <c r="L56">
        <f t="shared" si="1"/>
        <v>0</v>
      </c>
      <c r="M56">
        <f t="shared" si="2"/>
        <v>1</v>
      </c>
      <c r="N56">
        <f t="shared" si="3"/>
        <v>0</v>
      </c>
      <c r="O56">
        <f t="shared" si="4"/>
        <v>0</v>
      </c>
      <c r="P56">
        <f t="shared" si="5"/>
        <v>1</v>
      </c>
      <c r="Q56">
        <f t="shared" si="6"/>
        <v>0</v>
      </c>
      <c r="R56" t="b">
        <v>1</v>
      </c>
      <c r="S56" t="s">
        <v>146</v>
      </c>
      <c r="T56" s="10">
        <v>0.659027777777778</v>
      </c>
      <c r="U56" s="10">
        <v>0.714583333333333</v>
      </c>
      <c r="V56">
        <v>80</v>
      </c>
      <c r="W56" t="b">
        <v>1</v>
      </c>
      <c r="X56" t="s">
        <v>23</v>
      </c>
    </row>
    <row r="57" spans="1:24">
      <c r="A57">
        <v>56</v>
      </c>
      <c r="B57" t="s">
        <v>147</v>
      </c>
      <c r="C57" t="s">
        <v>25</v>
      </c>
      <c r="D57" s="9">
        <v>37463</v>
      </c>
      <c r="E57" s="9" t="str">
        <f t="shared" si="0"/>
        <v>20-30</v>
      </c>
      <c r="F57">
        <v>22</v>
      </c>
      <c r="G57" t="s">
        <v>21</v>
      </c>
      <c r="H57">
        <v>3</v>
      </c>
      <c r="I57" t="s">
        <v>148</v>
      </c>
      <c r="K57">
        <f t="shared" si="7"/>
        <v>0</v>
      </c>
      <c r="L57">
        <f t="shared" si="1"/>
        <v>0</v>
      </c>
      <c r="M57">
        <f t="shared" si="2"/>
        <v>0</v>
      </c>
      <c r="N57">
        <f t="shared" si="3"/>
        <v>1</v>
      </c>
      <c r="O57">
        <f t="shared" si="4"/>
        <v>1</v>
      </c>
      <c r="P57">
        <f t="shared" si="5"/>
        <v>1</v>
      </c>
      <c r="Q57">
        <f t="shared" si="6"/>
        <v>0</v>
      </c>
      <c r="R57" t="b">
        <v>0</v>
      </c>
      <c r="T57" s="10">
        <v>0.717361111111111</v>
      </c>
      <c r="U57" s="10">
        <v>0.797916666666667</v>
      </c>
      <c r="V57">
        <v>116</v>
      </c>
      <c r="W57" t="b">
        <v>0</v>
      </c>
    </row>
    <row r="58" spans="1:24">
      <c r="A58">
        <v>57</v>
      </c>
      <c r="B58" t="s">
        <v>149</v>
      </c>
      <c r="C58" t="s">
        <v>16</v>
      </c>
      <c r="D58" s="9">
        <v>37054</v>
      </c>
      <c r="E58" s="9" t="str">
        <f t="shared" si="0"/>
        <v>20-30</v>
      </c>
      <c r="F58">
        <v>23</v>
      </c>
      <c r="G58" t="s">
        <v>21</v>
      </c>
      <c r="H58">
        <v>3</v>
      </c>
      <c r="I58" t="s">
        <v>150</v>
      </c>
      <c r="K58">
        <f t="shared" si="7"/>
        <v>0</v>
      </c>
      <c r="L58">
        <f t="shared" si="1"/>
        <v>1</v>
      </c>
      <c r="M58">
        <f t="shared" si="2"/>
        <v>0</v>
      </c>
      <c r="N58">
        <f t="shared" si="3"/>
        <v>1</v>
      </c>
      <c r="O58">
        <f t="shared" si="4"/>
        <v>0</v>
      </c>
      <c r="P58">
        <f t="shared" si="5"/>
        <v>0</v>
      </c>
      <c r="Q58">
        <f t="shared" si="6"/>
        <v>1</v>
      </c>
      <c r="R58" t="b">
        <v>0</v>
      </c>
      <c r="T58" s="10">
        <v>0.358333333333333</v>
      </c>
      <c r="U58" s="10">
        <v>0.430555555555556</v>
      </c>
      <c r="V58">
        <v>104</v>
      </c>
      <c r="W58" t="b">
        <v>0</v>
      </c>
    </row>
    <row r="59" spans="1:24">
      <c r="A59">
        <v>58</v>
      </c>
      <c r="B59" t="s">
        <v>151</v>
      </c>
      <c r="C59" t="s">
        <v>25</v>
      </c>
      <c r="D59" s="9">
        <v>28489</v>
      </c>
      <c r="E59" s="9" t="str">
        <f t="shared" si="0"/>
        <v>41-50</v>
      </c>
      <c r="F59">
        <v>46</v>
      </c>
      <c r="G59" t="s">
        <v>17</v>
      </c>
      <c r="H59">
        <v>5</v>
      </c>
      <c r="I59" t="s">
        <v>152</v>
      </c>
      <c r="K59">
        <f t="shared" si="7"/>
        <v>1</v>
      </c>
      <c r="L59">
        <f t="shared" si="1"/>
        <v>0</v>
      </c>
      <c r="M59">
        <f t="shared" si="2"/>
        <v>1</v>
      </c>
      <c r="N59">
        <f t="shared" si="3"/>
        <v>1</v>
      </c>
      <c r="O59">
        <f t="shared" si="4"/>
        <v>1</v>
      </c>
      <c r="P59">
        <f t="shared" si="5"/>
        <v>0</v>
      </c>
      <c r="Q59">
        <f t="shared" si="6"/>
        <v>1</v>
      </c>
      <c r="R59" t="b">
        <v>1</v>
      </c>
      <c r="S59" t="s">
        <v>153</v>
      </c>
      <c r="T59" s="10">
        <v>0.513194444444444</v>
      </c>
      <c r="U59" s="10">
        <v>0.629861111111111</v>
      </c>
      <c r="V59">
        <v>168</v>
      </c>
      <c r="W59" t="b">
        <v>1</v>
      </c>
      <c r="X59" t="s">
        <v>23</v>
      </c>
    </row>
    <row r="60" spans="1:24">
      <c r="A60">
        <v>59</v>
      </c>
      <c r="B60" t="s">
        <v>154</v>
      </c>
      <c r="C60" t="s">
        <v>25</v>
      </c>
      <c r="D60" s="9">
        <v>39274</v>
      </c>
      <c r="E60" s="9" t="str">
        <f t="shared" si="0"/>
        <v>below 20</v>
      </c>
      <c r="F60">
        <v>17</v>
      </c>
      <c r="G60" t="s">
        <v>17</v>
      </c>
      <c r="H60">
        <v>2</v>
      </c>
      <c r="I60" t="s">
        <v>133</v>
      </c>
      <c r="K60">
        <f t="shared" si="7"/>
        <v>1</v>
      </c>
      <c r="L60">
        <f t="shared" si="1"/>
        <v>0</v>
      </c>
      <c r="M60">
        <f t="shared" si="2"/>
        <v>1</v>
      </c>
      <c r="N60">
        <f t="shared" si="3"/>
        <v>0</v>
      </c>
      <c r="O60">
        <f t="shared" si="4"/>
        <v>0</v>
      </c>
      <c r="P60">
        <f t="shared" si="5"/>
        <v>0</v>
      </c>
      <c r="Q60">
        <f t="shared" si="6"/>
        <v>0</v>
      </c>
      <c r="R60" t="b">
        <v>1</v>
      </c>
      <c r="S60" t="s">
        <v>155</v>
      </c>
      <c r="T60" s="10">
        <v>0.444444444444444</v>
      </c>
      <c r="U60" s="10">
        <v>0.479166666666667</v>
      </c>
      <c r="V60">
        <v>50</v>
      </c>
      <c r="W60" t="b">
        <v>0</v>
      </c>
    </row>
    <row r="61" spans="1:24">
      <c r="A61">
        <v>60</v>
      </c>
      <c r="B61" t="s">
        <v>156</v>
      </c>
      <c r="C61" t="s">
        <v>16</v>
      </c>
      <c r="D61" s="9">
        <v>32375</v>
      </c>
      <c r="E61" s="9" t="str">
        <f t="shared" si="0"/>
        <v>31-41</v>
      </c>
      <c r="F61">
        <v>36</v>
      </c>
      <c r="G61" t="s">
        <v>21</v>
      </c>
      <c r="H61">
        <v>2</v>
      </c>
      <c r="I61" t="s">
        <v>32</v>
      </c>
      <c r="K61">
        <f t="shared" si="7"/>
        <v>0</v>
      </c>
      <c r="L61">
        <f t="shared" si="1"/>
        <v>0</v>
      </c>
      <c r="M61">
        <f t="shared" si="2"/>
        <v>1</v>
      </c>
      <c r="N61">
        <f t="shared" si="3"/>
        <v>0</v>
      </c>
      <c r="O61">
        <f t="shared" si="4"/>
        <v>1</v>
      </c>
      <c r="P61">
        <f t="shared" si="5"/>
        <v>0</v>
      </c>
      <c r="Q61">
        <f t="shared" si="6"/>
        <v>0</v>
      </c>
      <c r="R61" t="b">
        <v>1</v>
      </c>
      <c r="S61" t="s">
        <v>157</v>
      </c>
      <c r="T61" s="10">
        <v>0.818055555555556</v>
      </c>
      <c r="U61" s="10">
        <v>0.906944444444444</v>
      </c>
      <c r="V61">
        <v>128</v>
      </c>
      <c r="W61" t="b">
        <v>1</v>
      </c>
      <c r="X61" t="s">
        <v>23</v>
      </c>
    </row>
    <row r="62" spans="1:24">
      <c r="A62">
        <v>61</v>
      </c>
      <c r="B62" t="s">
        <v>158</v>
      </c>
      <c r="C62" t="s">
        <v>16</v>
      </c>
      <c r="D62" s="9">
        <v>28253</v>
      </c>
      <c r="E62" s="9" t="str">
        <f t="shared" si="0"/>
        <v>41-50</v>
      </c>
      <c r="F62">
        <v>47</v>
      </c>
      <c r="G62" t="s">
        <v>17</v>
      </c>
      <c r="H62">
        <v>3</v>
      </c>
      <c r="I62" t="s">
        <v>159</v>
      </c>
      <c r="K62">
        <f t="shared" si="7"/>
        <v>0</v>
      </c>
      <c r="L62">
        <f t="shared" si="1"/>
        <v>1</v>
      </c>
      <c r="M62">
        <f t="shared" si="2"/>
        <v>0</v>
      </c>
      <c r="N62">
        <f t="shared" si="3"/>
        <v>0</v>
      </c>
      <c r="O62">
        <f t="shared" si="4"/>
        <v>1</v>
      </c>
      <c r="P62">
        <f t="shared" si="5"/>
        <v>0</v>
      </c>
      <c r="Q62">
        <f t="shared" si="6"/>
        <v>1</v>
      </c>
      <c r="R62" t="b">
        <v>0</v>
      </c>
      <c r="T62" s="10">
        <v>0.770833333333333</v>
      </c>
      <c r="U62" s="10">
        <v>0.830555555555556</v>
      </c>
      <c r="V62">
        <v>86</v>
      </c>
      <c r="W62" t="b">
        <v>1</v>
      </c>
      <c r="X62" t="s">
        <v>23</v>
      </c>
    </row>
    <row r="63" spans="1:24">
      <c r="A63">
        <v>62</v>
      </c>
      <c r="B63" t="s">
        <v>160</v>
      </c>
      <c r="C63" t="s">
        <v>16</v>
      </c>
      <c r="D63" s="9">
        <v>34832</v>
      </c>
      <c r="E63" s="9" t="str">
        <f t="shared" si="0"/>
        <v>20-30</v>
      </c>
      <c r="F63">
        <v>29</v>
      </c>
      <c r="G63" t="s">
        <v>21</v>
      </c>
      <c r="H63">
        <v>3</v>
      </c>
      <c r="I63" t="s">
        <v>161</v>
      </c>
      <c r="K63">
        <f t="shared" si="7"/>
        <v>0</v>
      </c>
      <c r="L63">
        <f t="shared" si="1"/>
        <v>0</v>
      </c>
      <c r="M63">
        <f t="shared" si="2"/>
        <v>0</v>
      </c>
      <c r="N63">
        <f t="shared" si="3"/>
        <v>0</v>
      </c>
      <c r="O63">
        <f t="shared" si="4"/>
        <v>1</v>
      </c>
      <c r="P63">
        <f t="shared" si="5"/>
        <v>1</v>
      </c>
      <c r="Q63">
        <f t="shared" si="6"/>
        <v>1</v>
      </c>
      <c r="R63" t="b">
        <v>0</v>
      </c>
      <c r="T63" s="10">
        <v>0.436111111111111</v>
      </c>
      <c r="U63" s="10">
        <v>0.559722222222222</v>
      </c>
      <c r="V63">
        <v>178</v>
      </c>
      <c r="W63" t="b">
        <v>1</v>
      </c>
      <c r="X63" t="s">
        <v>23</v>
      </c>
    </row>
    <row r="64" spans="1:24">
      <c r="A64">
        <v>63</v>
      </c>
      <c r="B64" t="s">
        <v>162</v>
      </c>
      <c r="C64" t="s">
        <v>25</v>
      </c>
      <c r="D64" s="9">
        <v>34403</v>
      </c>
      <c r="E64" s="9" t="str">
        <f t="shared" si="0"/>
        <v>20-30</v>
      </c>
      <c r="F64">
        <v>30</v>
      </c>
      <c r="G64" t="s">
        <v>21</v>
      </c>
      <c r="H64">
        <v>3</v>
      </c>
      <c r="I64" t="s">
        <v>22</v>
      </c>
      <c r="K64">
        <f t="shared" si="7"/>
        <v>1</v>
      </c>
      <c r="L64">
        <f t="shared" si="1"/>
        <v>0</v>
      </c>
      <c r="M64">
        <f t="shared" si="2"/>
        <v>0</v>
      </c>
      <c r="N64">
        <f t="shared" si="3"/>
        <v>0</v>
      </c>
      <c r="O64">
        <f t="shared" si="4"/>
        <v>0</v>
      </c>
      <c r="P64">
        <f t="shared" si="5"/>
        <v>1</v>
      </c>
      <c r="Q64">
        <f t="shared" si="6"/>
        <v>1</v>
      </c>
      <c r="R64" t="b">
        <v>0</v>
      </c>
      <c r="T64" s="10">
        <v>0.723611111111111</v>
      </c>
      <c r="U64" s="10">
        <v>0.805555555555555</v>
      </c>
      <c r="V64">
        <v>118</v>
      </c>
      <c r="W64" t="b">
        <v>0</v>
      </c>
    </row>
    <row r="65" spans="1:24">
      <c r="A65">
        <v>64</v>
      </c>
      <c r="B65" t="s">
        <v>163</v>
      </c>
      <c r="C65" t="s">
        <v>16</v>
      </c>
      <c r="D65" s="9">
        <v>37392</v>
      </c>
      <c r="E65" s="9" t="str">
        <f t="shared" si="0"/>
        <v>20-30</v>
      </c>
      <c r="F65">
        <v>22</v>
      </c>
      <c r="G65" t="s">
        <v>17</v>
      </c>
      <c r="H65">
        <v>3</v>
      </c>
      <c r="I65" t="s">
        <v>164</v>
      </c>
      <c r="K65">
        <f t="shared" si="7"/>
        <v>0</v>
      </c>
      <c r="L65">
        <f t="shared" si="1"/>
        <v>0</v>
      </c>
      <c r="M65">
        <f t="shared" si="2"/>
        <v>1</v>
      </c>
      <c r="N65">
        <f t="shared" si="3"/>
        <v>0</v>
      </c>
      <c r="O65">
        <f t="shared" si="4"/>
        <v>1</v>
      </c>
      <c r="P65">
        <f t="shared" si="5"/>
        <v>1</v>
      </c>
      <c r="Q65">
        <f t="shared" si="6"/>
        <v>0</v>
      </c>
      <c r="R65" t="b">
        <v>0</v>
      </c>
      <c r="T65" s="10">
        <v>0.445138888888889</v>
      </c>
      <c r="U65" s="10">
        <v>0.502083333333333</v>
      </c>
      <c r="V65">
        <v>82</v>
      </c>
      <c r="W65" t="b">
        <v>1</v>
      </c>
      <c r="X65" t="s">
        <v>50</v>
      </c>
    </row>
    <row r="66" spans="1:24">
      <c r="A66">
        <v>65</v>
      </c>
      <c r="B66" t="s">
        <v>165</v>
      </c>
      <c r="C66" t="s">
        <v>16</v>
      </c>
      <c r="D66" s="9">
        <v>30276</v>
      </c>
      <c r="E66" s="9" t="str">
        <f t="shared" ref="E66:E129" si="8">IF(F66&lt;20,"below 20",IF(F66&lt;=30,"20-30",IF(F66&lt;=40,"31-41",IF(F66&lt;=50,"41-50","above 50"))))</f>
        <v>41-50</v>
      </c>
      <c r="F66">
        <v>41</v>
      </c>
      <c r="G66" t="s">
        <v>21</v>
      </c>
      <c r="H66">
        <v>2</v>
      </c>
      <c r="I66" t="s">
        <v>166</v>
      </c>
      <c r="K66">
        <f t="shared" si="7"/>
        <v>0</v>
      </c>
      <c r="L66">
        <f t="shared" si="1"/>
        <v>1</v>
      </c>
      <c r="M66">
        <f t="shared" si="2"/>
        <v>0</v>
      </c>
      <c r="N66">
        <f t="shared" si="3"/>
        <v>1</v>
      </c>
      <c r="O66">
        <f t="shared" si="4"/>
        <v>0</v>
      </c>
      <c r="P66">
        <f t="shared" si="5"/>
        <v>0</v>
      </c>
      <c r="Q66">
        <f t="shared" si="6"/>
        <v>0</v>
      </c>
      <c r="R66" t="b">
        <v>0</v>
      </c>
      <c r="T66" s="10">
        <v>0.579861111111111</v>
      </c>
      <c r="U66" s="10">
        <v>0.677083333333333</v>
      </c>
      <c r="V66">
        <v>140</v>
      </c>
      <c r="W66" t="b">
        <v>0</v>
      </c>
    </row>
    <row r="67" spans="1:24">
      <c r="A67">
        <v>66</v>
      </c>
      <c r="B67" t="s">
        <v>167</v>
      </c>
      <c r="C67" t="s">
        <v>16</v>
      </c>
      <c r="D67" s="9">
        <v>28941</v>
      </c>
      <c r="E67" s="9" t="str">
        <f t="shared" si="8"/>
        <v>41-50</v>
      </c>
      <c r="F67">
        <v>45</v>
      </c>
      <c r="G67" t="s">
        <v>17</v>
      </c>
      <c r="H67">
        <v>4</v>
      </c>
      <c r="I67" t="s">
        <v>168</v>
      </c>
      <c r="K67">
        <f t="shared" si="7"/>
        <v>1</v>
      </c>
      <c r="L67">
        <f t="shared" ref="L67:L130" si="9">--ISNUMBER(SEARCH("Mon",I67))</f>
        <v>0</v>
      </c>
      <c r="M67">
        <f t="shared" ref="M67:M130" si="10">--ISNUMBER(SEARCH("Tue",I67))</f>
        <v>1</v>
      </c>
      <c r="N67">
        <f t="shared" ref="N67:N130" si="11">--ISNUMBER(SEARCH("Wed",I67))</f>
        <v>1</v>
      </c>
      <c r="O67">
        <f t="shared" ref="O67:O130" si="12">--ISNUMBER(SEARCH("Thu",I67))</f>
        <v>0</v>
      </c>
      <c r="P67">
        <f t="shared" ref="P67:P130" si="13">--ISNUMBER(SEARCH("Fri",I67))</f>
        <v>0</v>
      </c>
      <c r="Q67">
        <f t="shared" ref="Q67:Q130" si="14">--ISNUMBER(SEARCH("Sat",I67))</f>
        <v>1</v>
      </c>
      <c r="R67" t="b">
        <v>0</v>
      </c>
      <c r="T67" s="10">
        <v>0.545833333333333</v>
      </c>
      <c r="U67" s="10">
        <v>0.574305555555556</v>
      </c>
      <c r="V67">
        <v>41</v>
      </c>
      <c r="W67" t="b">
        <v>0</v>
      </c>
    </row>
    <row r="68" spans="1:24">
      <c r="A68">
        <v>67</v>
      </c>
      <c r="B68" t="s">
        <v>169</v>
      </c>
      <c r="C68" t="s">
        <v>16</v>
      </c>
      <c r="D68" s="9">
        <v>37372</v>
      </c>
      <c r="E68" s="9" t="str">
        <f t="shared" si="8"/>
        <v>20-30</v>
      </c>
      <c r="F68">
        <v>22</v>
      </c>
      <c r="G68" t="s">
        <v>17</v>
      </c>
      <c r="H68">
        <v>1</v>
      </c>
      <c r="I68" t="s">
        <v>26</v>
      </c>
      <c r="K68">
        <f t="shared" si="7"/>
        <v>1</v>
      </c>
      <c r="L68">
        <f t="shared" si="9"/>
        <v>0</v>
      </c>
      <c r="M68">
        <f t="shared" si="10"/>
        <v>0</v>
      </c>
      <c r="N68">
        <f t="shared" si="11"/>
        <v>0</v>
      </c>
      <c r="O68">
        <f t="shared" si="12"/>
        <v>0</v>
      </c>
      <c r="P68">
        <f t="shared" si="13"/>
        <v>0</v>
      </c>
      <c r="Q68">
        <f t="shared" si="14"/>
        <v>0</v>
      </c>
      <c r="R68" t="b">
        <v>1</v>
      </c>
      <c r="S68" t="s">
        <v>170</v>
      </c>
      <c r="T68" s="10">
        <v>0.345833333333333</v>
      </c>
      <c r="U68" s="10">
        <v>0.371527777777778</v>
      </c>
      <c r="V68">
        <v>37</v>
      </c>
      <c r="W68" t="b">
        <v>0</v>
      </c>
    </row>
    <row r="69" spans="1:24">
      <c r="A69">
        <v>68</v>
      </c>
      <c r="B69" t="s">
        <v>171</v>
      </c>
      <c r="C69" t="s">
        <v>25</v>
      </c>
      <c r="D69" s="9">
        <v>38184</v>
      </c>
      <c r="E69" s="9" t="str">
        <f t="shared" si="8"/>
        <v>20-30</v>
      </c>
      <c r="F69">
        <v>20</v>
      </c>
      <c r="G69" t="s">
        <v>21</v>
      </c>
      <c r="H69">
        <v>5</v>
      </c>
      <c r="I69" t="s">
        <v>152</v>
      </c>
      <c r="K69">
        <f t="shared" ref="K69:K132" si="15">--ISNUMBER(SEARCH("Sun",I69))</f>
        <v>1</v>
      </c>
      <c r="L69">
        <f t="shared" si="9"/>
        <v>0</v>
      </c>
      <c r="M69">
        <f t="shared" si="10"/>
        <v>1</v>
      </c>
      <c r="N69">
        <f t="shared" si="11"/>
        <v>1</v>
      </c>
      <c r="O69">
        <f t="shared" si="12"/>
        <v>1</v>
      </c>
      <c r="P69">
        <f t="shared" si="13"/>
        <v>0</v>
      </c>
      <c r="Q69">
        <f t="shared" si="14"/>
        <v>1</v>
      </c>
      <c r="R69" t="b">
        <v>1</v>
      </c>
      <c r="S69" t="s">
        <v>172</v>
      </c>
      <c r="T69" s="10">
        <v>0.544444444444444</v>
      </c>
      <c r="U69" s="10">
        <v>0.571527777777778</v>
      </c>
      <c r="V69">
        <v>39</v>
      </c>
      <c r="W69" t="b">
        <v>1</v>
      </c>
      <c r="X69" t="s">
        <v>28</v>
      </c>
    </row>
    <row r="70" spans="1:24">
      <c r="A70">
        <v>69</v>
      </c>
      <c r="B70" t="s">
        <v>173</v>
      </c>
      <c r="C70" t="s">
        <v>25</v>
      </c>
      <c r="D70" s="9">
        <v>33219</v>
      </c>
      <c r="E70" s="9" t="str">
        <f t="shared" si="8"/>
        <v>31-41</v>
      </c>
      <c r="F70">
        <v>33</v>
      </c>
      <c r="G70" t="s">
        <v>17</v>
      </c>
      <c r="H70">
        <v>1</v>
      </c>
      <c r="I70" t="s">
        <v>46</v>
      </c>
      <c r="K70">
        <f t="shared" si="15"/>
        <v>0</v>
      </c>
      <c r="L70">
        <f t="shared" si="9"/>
        <v>1</v>
      </c>
      <c r="M70">
        <f t="shared" si="10"/>
        <v>0</v>
      </c>
      <c r="N70">
        <f t="shared" si="11"/>
        <v>0</v>
      </c>
      <c r="O70">
        <f t="shared" si="12"/>
        <v>0</v>
      </c>
      <c r="P70">
        <f t="shared" si="13"/>
        <v>0</v>
      </c>
      <c r="Q70">
        <f t="shared" si="14"/>
        <v>0</v>
      </c>
      <c r="R70" t="b">
        <v>1</v>
      </c>
      <c r="S70" t="s">
        <v>174</v>
      </c>
      <c r="T70" s="10">
        <v>0.377777777777778</v>
      </c>
      <c r="U70" s="10">
        <v>0.430555555555556</v>
      </c>
      <c r="V70">
        <v>76</v>
      </c>
      <c r="W70" t="b">
        <v>0</v>
      </c>
    </row>
    <row r="71" spans="1:24">
      <c r="A71">
        <v>70</v>
      </c>
      <c r="B71" t="s">
        <v>175</v>
      </c>
      <c r="C71" t="s">
        <v>16</v>
      </c>
      <c r="D71" s="9">
        <v>32356</v>
      </c>
      <c r="E71" s="9" t="str">
        <f t="shared" si="8"/>
        <v>31-41</v>
      </c>
      <c r="F71">
        <v>36</v>
      </c>
      <c r="G71" t="s">
        <v>17</v>
      </c>
      <c r="H71">
        <v>3</v>
      </c>
      <c r="I71" t="s">
        <v>30</v>
      </c>
      <c r="K71">
        <f t="shared" si="15"/>
        <v>0</v>
      </c>
      <c r="L71">
        <f t="shared" si="9"/>
        <v>0</v>
      </c>
      <c r="M71">
        <f t="shared" si="10"/>
        <v>1</v>
      </c>
      <c r="N71">
        <f t="shared" si="11"/>
        <v>0</v>
      </c>
      <c r="O71">
        <f t="shared" si="12"/>
        <v>0</v>
      </c>
      <c r="P71">
        <f t="shared" si="13"/>
        <v>1</v>
      </c>
      <c r="Q71">
        <f t="shared" si="14"/>
        <v>1</v>
      </c>
      <c r="R71" t="b">
        <v>0</v>
      </c>
      <c r="T71" s="10">
        <v>0.465972222222222</v>
      </c>
      <c r="U71" s="10">
        <v>0.584027777777778</v>
      </c>
      <c r="V71">
        <v>170</v>
      </c>
      <c r="W71" t="b">
        <v>0</v>
      </c>
    </row>
    <row r="72" spans="1:24">
      <c r="A72">
        <v>71</v>
      </c>
      <c r="B72" t="s">
        <v>176</v>
      </c>
      <c r="C72" t="s">
        <v>25</v>
      </c>
      <c r="D72" s="9">
        <v>34598</v>
      </c>
      <c r="E72" s="9" t="str">
        <f t="shared" si="8"/>
        <v>20-30</v>
      </c>
      <c r="F72">
        <v>30</v>
      </c>
      <c r="G72" t="s">
        <v>17</v>
      </c>
      <c r="H72">
        <v>5</v>
      </c>
      <c r="I72" t="s">
        <v>177</v>
      </c>
      <c r="K72">
        <f t="shared" si="15"/>
        <v>1</v>
      </c>
      <c r="L72">
        <f t="shared" si="9"/>
        <v>1</v>
      </c>
      <c r="M72">
        <f t="shared" si="10"/>
        <v>0</v>
      </c>
      <c r="N72">
        <f t="shared" si="11"/>
        <v>0</v>
      </c>
      <c r="O72">
        <f t="shared" si="12"/>
        <v>1</v>
      </c>
      <c r="P72">
        <f t="shared" si="13"/>
        <v>1</v>
      </c>
      <c r="Q72">
        <f t="shared" si="14"/>
        <v>1</v>
      </c>
      <c r="R72" t="b">
        <v>1</v>
      </c>
      <c r="S72" t="s">
        <v>178</v>
      </c>
      <c r="T72" s="10">
        <v>0.544444444444444</v>
      </c>
      <c r="U72" s="10">
        <v>0.614583333333333</v>
      </c>
      <c r="V72">
        <v>101</v>
      </c>
      <c r="W72" t="b">
        <v>1</v>
      </c>
      <c r="X72" t="s">
        <v>50</v>
      </c>
    </row>
    <row r="73" spans="1:24">
      <c r="A73">
        <v>72</v>
      </c>
      <c r="B73" t="s">
        <v>179</v>
      </c>
      <c r="C73" t="s">
        <v>25</v>
      </c>
      <c r="D73" s="9">
        <v>39154</v>
      </c>
      <c r="E73" s="9" t="str">
        <f t="shared" si="8"/>
        <v>below 20</v>
      </c>
      <c r="F73">
        <v>17</v>
      </c>
      <c r="G73" t="s">
        <v>17</v>
      </c>
      <c r="H73">
        <v>1</v>
      </c>
      <c r="I73" t="s">
        <v>26</v>
      </c>
      <c r="K73">
        <f t="shared" si="15"/>
        <v>1</v>
      </c>
      <c r="L73">
        <f t="shared" si="9"/>
        <v>0</v>
      </c>
      <c r="M73">
        <f t="shared" si="10"/>
        <v>0</v>
      </c>
      <c r="N73">
        <f t="shared" si="11"/>
        <v>0</v>
      </c>
      <c r="O73">
        <f t="shared" si="12"/>
        <v>0</v>
      </c>
      <c r="P73">
        <f t="shared" si="13"/>
        <v>0</v>
      </c>
      <c r="Q73">
        <f t="shared" si="14"/>
        <v>0</v>
      </c>
      <c r="R73" t="b">
        <v>0</v>
      </c>
      <c r="T73" s="10">
        <v>0.4375</v>
      </c>
      <c r="U73" s="10">
        <v>0.540277777777778</v>
      </c>
      <c r="V73">
        <v>148</v>
      </c>
      <c r="W73" t="b">
        <v>1</v>
      </c>
      <c r="X73" t="s">
        <v>28</v>
      </c>
    </row>
    <row r="74" spans="1:24">
      <c r="A74">
        <v>73</v>
      </c>
      <c r="B74" t="s">
        <v>180</v>
      </c>
      <c r="C74" t="s">
        <v>25</v>
      </c>
      <c r="D74" s="9">
        <v>32508</v>
      </c>
      <c r="E74" s="9" t="str">
        <f t="shared" si="8"/>
        <v>31-41</v>
      </c>
      <c r="F74">
        <v>35</v>
      </c>
      <c r="G74" t="s">
        <v>17</v>
      </c>
      <c r="H74">
        <v>2</v>
      </c>
      <c r="I74" t="s">
        <v>138</v>
      </c>
      <c r="K74">
        <f t="shared" si="15"/>
        <v>0</v>
      </c>
      <c r="L74">
        <f t="shared" si="9"/>
        <v>0</v>
      </c>
      <c r="M74">
        <f t="shared" si="10"/>
        <v>1</v>
      </c>
      <c r="N74">
        <f t="shared" si="11"/>
        <v>0</v>
      </c>
      <c r="O74">
        <f t="shared" si="12"/>
        <v>0</v>
      </c>
      <c r="P74">
        <f t="shared" si="13"/>
        <v>1</v>
      </c>
      <c r="Q74">
        <f t="shared" si="14"/>
        <v>0</v>
      </c>
      <c r="R74" t="b">
        <v>0</v>
      </c>
      <c r="T74" s="10">
        <v>0.7125</v>
      </c>
      <c r="U74" s="10">
        <v>0.756944444444445</v>
      </c>
      <c r="V74">
        <v>64</v>
      </c>
      <c r="W74" t="b">
        <v>1</v>
      </c>
      <c r="X74" t="s">
        <v>23</v>
      </c>
    </row>
    <row r="75" spans="1:24">
      <c r="A75">
        <v>74</v>
      </c>
      <c r="B75" t="s">
        <v>181</v>
      </c>
      <c r="C75" t="s">
        <v>25</v>
      </c>
      <c r="D75" s="9">
        <v>35049</v>
      </c>
      <c r="E75" s="9" t="str">
        <f t="shared" si="8"/>
        <v>20-30</v>
      </c>
      <c r="F75">
        <v>28</v>
      </c>
      <c r="G75" t="s">
        <v>21</v>
      </c>
      <c r="H75">
        <v>2</v>
      </c>
      <c r="I75" t="s">
        <v>166</v>
      </c>
      <c r="K75">
        <f t="shared" si="15"/>
        <v>0</v>
      </c>
      <c r="L75">
        <f t="shared" si="9"/>
        <v>1</v>
      </c>
      <c r="M75">
        <f t="shared" si="10"/>
        <v>0</v>
      </c>
      <c r="N75">
        <f t="shared" si="11"/>
        <v>1</v>
      </c>
      <c r="O75">
        <f t="shared" si="12"/>
        <v>0</v>
      </c>
      <c r="P75">
        <f t="shared" si="13"/>
        <v>0</v>
      </c>
      <c r="Q75">
        <f t="shared" si="14"/>
        <v>0</v>
      </c>
      <c r="R75" t="b">
        <v>0</v>
      </c>
      <c r="T75" s="10">
        <v>0.845138888888889</v>
      </c>
      <c r="U75" s="10">
        <v>0.874305555555556</v>
      </c>
      <c r="V75">
        <v>42</v>
      </c>
      <c r="W75" t="b">
        <v>0</v>
      </c>
    </row>
    <row r="76" spans="1:24">
      <c r="A76">
        <v>75</v>
      </c>
      <c r="B76" t="s">
        <v>182</v>
      </c>
      <c r="C76" t="s">
        <v>16</v>
      </c>
      <c r="D76" s="9">
        <v>35399</v>
      </c>
      <c r="E76" s="9" t="str">
        <f t="shared" si="8"/>
        <v>20-30</v>
      </c>
      <c r="F76">
        <v>27</v>
      </c>
      <c r="G76" t="s">
        <v>21</v>
      </c>
      <c r="H76">
        <v>5</v>
      </c>
      <c r="I76" t="s">
        <v>183</v>
      </c>
      <c r="K76">
        <f t="shared" si="15"/>
        <v>0</v>
      </c>
      <c r="L76">
        <f t="shared" si="9"/>
        <v>1</v>
      </c>
      <c r="M76">
        <f t="shared" si="10"/>
        <v>1</v>
      </c>
      <c r="N76">
        <f t="shared" si="11"/>
        <v>1</v>
      </c>
      <c r="O76">
        <f t="shared" si="12"/>
        <v>0</v>
      </c>
      <c r="P76">
        <f t="shared" si="13"/>
        <v>1</v>
      </c>
      <c r="Q76">
        <f t="shared" si="14"/>
        <v>1</v>
      </c>
      <c r="R76" t="b">
        <v>0</v>
      </c>
      <c r="T76" s="10">
        <v>0.414583333333333</v>
      </c>
      <c r="U76" s="10">
        <v>0.470138888888889</v>
      </c>
      <c r="V76">
        <v>80</v>
      </c>
      <c r="W76" t="b">
        <v>0</v>
      </c>
    </row>
    <row r="77" spans="1:24">
      <c r="A77">
        <v>76</v>
      </c>
      <c r="B77" t="s">
        <v>184</v>
      </c>
      <c r="C77" t="s">
        <v>25</v>
      </c>
      <c r="D77" s="9">
        <v>38147</v>
      </c>
      <c r="E77" s="9" t="str">
        <f t="shared" si="8"/>
        <v>20-30</v>
      </c>
      <c r="F77">
        <v>20</v>
      </c>
      <c r="G77" t="s">
        <v>17</v>
      </c>
      <c r="H77">
        <v>1</v>
      </c>
      <c r="I77" t="s">
        <v>185</v>
      </c>
      <c r="K77">
        <f t="shared" si="15"/>
        <v>0</v>
      </c>
      <c r="L77">
        <f t="shared" si="9"/>
        <v>0</v>
      </c>
      <c r="M77">
        <f t="shared" si="10"/>
        <v>0</v>
      </c>
      <c r="N77">
        <f t="shared" si="11"/>
        <v>1</v>
      </c>
      <c r="O77">
        <f t="shared" si="12"/>
        <v>0</v>
      </c>
      <c r="P77">
        <f t="shared" si="13"/>
        <v>0</v>
      </c>
      <c r="Q77">
        <f t="shared" si="14"/>
        <v>0</v>
      </c>
      <c r="R77" t="b">
        <v>0</v>
      </c>
      <c r="T77" s="10">
        <v>0.647916666666667</v>
      </c>
      <c r="U77" s="10">
        <v>0.679861111111111</v>
      </c>
      <c r="V77">
        <v>46</v>
      </c>
      <c r="W77" t="b">
        <v>1</v>
      </c>
      <c r="X77" t="s">
        <v>28</v>
      </c>
    </row>
    <row r="78" spans="1:24">
      <c r="A78">
        <v>77</v>
      </c>
      <c r="B78" t="s">
        <v>186</v>
      </c>
      <c r="C78" t="s">
        <v>16</v>
      </c>
      <c r="D78" s="9">
        <v>39191</v>
      </c>
      <c r="E78" s="9" t="str">
        <f t="shared" si="8"/>
        <v>below 20</v>
      </c>
      <c r="F78">
        <v>17</v>
      </c>
      <c r="G78" t="s">
        <v>17</v>
      </c>
      <c r="H78">
        <v>2</v>
      </c>
      <c r="I78" t="s">
        <v>187</v>
      </c>
      <c r="K78">
        <f t="shared" si="15"/>
        <v>0</v>
      </c>
      <c r="L78">
        <f t="shared" si="9"/>
        <v>0</v>
      </c>
      <c r="M78">
        <f t="shared" si="10"/>
        <v>0</v>
      </c>
      <c r="N78">
        <f t="shared" si="11"/>
        <v>1</v>
      </c>
      <c r="O78">
        <f t="shared" si="12"/>
        <v>1</v>
      </c>
      <c r="P78">
        <f t="shared" si="13"/>
        <v>0</v>
      </c>
      <c r="Q78">
        <f t="shared" si="14"/>
        <v>0</v>
      </c>
      <c r="R78" t="b">
        <v>0</v>
      </c>
      <c r="T78" s="10">
        <v>0.6625</v>
      </c>
      <c r="U78" s="10">
        <v>0.698611111111111</v>
      </c>
      <c r="V78">
        <v>52</v>
      </c>
      <c r="W78" t="b">
        <v>1</v>
      </c>
      <c r="X78" t="s">
        <v>50</v>
      </c>
    </row>
    <row r="79" spans="1:24">
      <c r="A79">
        <v>78</v>
      </c>
      <c r="B79" t="s">
        <v>188</v>
      </c>
      <c r="C79" t="s">
        <v>25</v>
      </c>
      <c r="D79" s="9">
        <v>33170</v>
      </c>
      <c r="E79" s="9" t="str">
        <f t="shared" si="8"/>
        <v>31-41</v>
      </c>
      <c r="F79">
        <v>33</v>
      </c>
      <c r="G79" t="s">
        <v>17</v>
      </c>
      <c r="H79">
        <v>2</v>
      </c>
      <c r="I79" t="s">
        <v>189</v>
      </c>
      <c r="K79">
        <f t="shared" si="15"/>
        <v>0</v>
      </c>
      <c r="L79">
        <f t="shared" si="9"/>
        <v>1</v>
      </c>
      <c r="M79">
        <f t="shared" si="10"/>
        <v>1</v>
      </c>
      <c r="N79">
        <f t="shared" si="11"/>
        <v>0</v>
      </c>
      <c r="O79">
        <f t="shared" si="12"/>
        <v>0</v>
      </c>
      <c r="P79">
        <f t="shared" si="13"/>
        <v>0</v>
      </c>
      <c r="Q79">
        <f t="shared" si="14"/>
        <v>0</v>
      </c>
      <c r="R79" t="b">
        <v>1</v>
      </c>
      <c r="S79" t="s">
        <v>190</v>
      </c>
      <c r="T79" s="10">
        <v>0.677777777777778</v>
      </c>
      <c r="U79" s="10">
        <v>0.7375</v>
      </c>
      <c r="V79">
        <v>86</v>
      </c>
      <c r="W79" t="b">
        <v>1</v>
      </c>
      <c r="X79" t="s">
        <v>28</v>
      </c>
    </row>
    <row r="80" spans="1:24">
      <c r="A80">
        <v>79</v>
      </c>
      <c r="B80" t="s">
        <v>191</v>
      </c>
      <c r="C80" t="s">
        <v>16</v>
      </c>
      <c r="D80" s="9">
        <v>29700</v>
      </c>
      <c r="E80" s="9" t="str">
        <f t="shared" si="8"/>
        <v>41-50</v>
      </c>
      <c r="F80">
        <v>43</v>
      </c>
      <c r="G80" t="s">
        <v>21</v>
      </c>
      <c r="H80">
        <v>5</v>
      </c>
      <c r="I80" t="s">
        <v>192</v>
      </c>
      <c r="K80">
        <f t="shared" si="15"/>
        <v>1</v>
      </c>
      <c r="L80">
        <f t="shared" si="9"/>
        <v>1</v>
      </c>
      <c r="M80">
        <f t="shared" si="10"/>
        <v>1</v>
      </c>
      <c r="N80">
        <f t="shared" si="11"/>
        <v>0</v>
      </c>
      <c r="O80">
        <f t="shared" si="12"/>
        <v>0</v>
      </c>
      <c r="P80">
        <f t="shared" si="13"/>
        <v>1</v>
      </c>
      <c r="Q80">
        <f t="shared" si="14"/>
        <v>1</v>
      </c>
      <c r="R80" t="b">
        <v>1</v>
      </c>
      <c r="S80" t="s">
        <v>193</v>
      </c>
      <c r="T80" s="10">
        <v>0.530555555555556</v>
      </c>
      <c r="U80" s="10">
        <v>0.628472222222222</v>
      </c>
      <c r="V80">
        <v>141</v>
      </c>
      <c r="W80" t="b">
        <v>0</v>
      </c>
    </row>
    <row r="81" spans="1:24">
      <c r="A81">
        <v>80</v>
      </c>
      <c r="B81" t="s">
        <v>194</v>
      </c>
      <c r="C81" t="s">
        <v>16</v>
      </c>
      <c r="D81" s="9">
        <v>32409</v>
      </c>
      <c r="E81" s="9" t="str">
        <f t="shared" si="8"/>
        <v>31-41</v>
      </c>
      <c r="F81">
        <v>36</v>
      </c>
      <c r="G81" t="s">
        <v>21</v>
      </c>
      <c r="H81">
        <v>2</v>
      </c>
      <c r="I81" t="s">
        <v>195</v>
      </c>
      <c r="K81">
        <f t="shared" si="15"/>
        <v>1</v>
      </c>
      <c r="L81">
        <f t="shared" si="9"/>
        <v>1</v>
      </c>
      <c r="M81">
        <f t="shared" si="10"/>
        <v>0</v>
      </c>
      <c r="N81">
        <f t="shared" si="11"/>
        <v>0</v>
      </c>
      <c r="O81">
        <f t="shared" si="12"/>
        <v>0</v>
      </c>
      <c r="P81">
        <f t="shared" si="13"/>
        <v>0</v>
      </c>
      <c r="Q81">
        <f t="shared" si="14"/>
        <v>0</v>
      </c>
      <c r="R81" t="b">
        <v>1</v>
      </c>
      <c r="S81" t="s">
        <v>196</v>
      </c>
      <c r="T81" s="10">
        <v>0.763194444444444</v>
      </c>
      <c r="U81" s="10">
        <v>0.820833333333333</v>
      </c>
      <c r="V81">
        <v>83</v>
      </c>
      <c r="W81" t="b">
        <v>1</v>
      </c>
      <c r="X81" t="s">
        <v>47</v>
      </c>
    </row>
    <row r="82" spans="1:24">
      <c r="A82">
        <v>81</v>
      </c>
      <c r="B82" t="s">
        <v>197</v>
      </c>
      <c r="C82" t="s">
        <v>25</v>
      </c>
      <c r="D82" s="9">
        <v>28778</v>
      </c>
      <c r="E82" s="9" t="str">
        <f t="shared" si="8"/>
        <v>41-50</v>
      </c>
      <c r="F82">
        <v>45</v>
      </c>
      <c r="G82" t="s">
        <v>21</v>
      </c>
      <c r="H82">
        <v>2</v>
      </c>
      <c r="I82" t="s">
        <v>189</v>
      </c>
      <c r="K82">
        <f t="shared" si="15"/>
        <v>0</v>
      </c>
      <c r="L82">
        <f t="shared" si="9"/>
        <v>1</v>
      </c>
      <c r="M82">
        <f t="shared" si="10"/>
        <v>1</v>
      </c>
      <c r="N82">
        <f t="shared" si="11"/>
        <v>0</v>
      </c>
      <c r="O82">
        <f t="shared" si="12"/>
        <v>0</v>
      </c>
      <c r="P82">
        <f t="shared" si="13"/>
        <v>0</v>
      </c>
      <c r="Q82">
        <f t="shared" si="14"/>
        <v>0</v>
      </c>
      <c r="R82" t="b">
        <v>0</v>
      </c>
      <c r="T82" s="10">
        <v>0.524305555555556</v>
      </c>
      <c r="U82" s="10">
        <v>0.611805555555556</v>
      </c>
      <c r="V82">
        <v>126</v>
      </c>
      <c r="W82" t="b">
        <v>1</v>
      </c>
      <c r="X82" t="s">
        <v>28</v>
      </c>
    </row>
    <row r="83" spans="1:24">
      <c r="A83">
        <v>82</v>
      </c>
      <c r="B83" t="s">
        <v>198</v>
      </c>
      <c r="C83" t="s">
        <v>25</v>
      </c>
      <c r="D83" s="9">
        <v>29896</v>
      </c>
      <c r="E83" s="9" t="str">
        <f t="shared" si="8"/>
        <v>41-50</v>
      </c>
      <c r="F83">
        <v>42</v>
      </c>
      <c r="G83" t="s">
        <v>21</v>
      </c>
      <c r="H83">
        <v>3</v>
      </c>
      <c r="I83" t="s">
        <v>159</v>
      </c>
      <c r="K83">
        <f t="shared" si="15"/>
        <v>0</v>
      </c>
      <c r="L83">
        <f t="shared" si="9"/>
        <v>1</v>
      </c>
      <c r="M83">
        <f t="shared" si="10"/>
        <v>0</v>
      </c>
      <c r="N83">
        <f t="shared" si="11"/>
        <v>0</v>
      </c>
      <c r="O83">
        <f t="shared" si="12"/>
        <v>1</v>
      </c>
      <c r="P83">
        <f t="shared" si="13"/>
        <v>0</v>
      </c>
      <c r="Q83">
        <f t="shared" si="14"/>
        <v>1</v>
      </c>
      <c r="R83" t="b">
        <v>1</v>
      </c>
      <c r="S83" t="s">
        <v>33</v>
      </c>
      <c r="T83" s="10">
        <v>0.788194444444445</v>
      </c>
      <c r="U83" s="10">
        <v>0.867361111111111</v>
      </c>
      <c r="V83">
        <v>114</v>
      </c>
      <c r="W83" t="b">
        <v>0</v>
      </c>
    </row>
    <row r="84" spans="1:24">
      <c r="A84">
        <v>83</v>
      </c>
      <c r="B84" t="s">
        <v>199</v>
      </c>
      <c r="C84" t="s">
        <v>25</v>
      </c>
      <c r="D84" s="9">
        <v>34791</v>
      </c>
      <c r="E84" s="9" t="str">
        <f t="shared" si="8"/>
        <v>20-30</v>
      </c>
      <c r="F84">
        <v>29</v>
      </c>
      <c r="G84" t="s">
        <v>17</v>
      </c>
      <c r="H84">
        <v>1</v>
      </c>
      <c r="I84" t="s">
        <v>49</v>
      </c>
      <c r="K84">
        <f t="shared" si="15"/>
        <v>0</v>
      </c>
      <c r="L84">
        <f t="shared" si="9"/>
        <v>0</v>
      </c>
      <c r="M84">
        <f t="shared" si="10"/>
        <v>0</v>
      </c>
      <c r="N84">
        <f t="shared" si="11"/>
        <v>0</v>
      </c>
      <c r="O84">
        <f t="shared" si="12"/>
        <v>1</v>
      </c>
      <c r="P84">
        <f t="shared" si="13"/>
        <v>0</v>
      </c>
      <c r="Q84">
        <f t="shared" si="14"/>
        <v>0</v>
      </c>
      <c r="R84" t="b">
        <v>0</v>
      </c>
      <c r="T84" s="10">
        <v>0.35625</v>
      </c>
      <c r="U84" s="10">
        <v>0.404166666666667</v>
      </c>
      <c r="V84">
        <v>69</v>
      </c>
      <c r="W84" t="b">
        <v>0</v>
      </c>
    </row>
    <row r="85" spans="1:24">
      <c r="A85">
        <v>84</v>
      </c>
      <c r="B85" t="s">
        <v>200</v>
      </c>
      <c r="C85" t="s">
        <v>25</v>
      </c>
      <c r="D85" s="9">
        <v>38928</v>
      </c>
      <c r="E85" s="9" t="str">
        <f t="shared" si="8"/>
        <v>below 20</v>
      </c>
      <c r="F85">
        <v>18</v>
      </c>
      <c r="G85" t="s">
        <v>21</v>
      </c>
      <c r="H85">
        <v>3</v>
      </c>
      <c r="I85" t="s">
        <v>98</v>
      </c>
      <c r="K85">
        <f t="shared" si="15"/>
        <v>0</v>
      </c>
      <c r="L85">
        <f t="shared" si="9"/>
        <v>1</v>
      </c>
      <c r="M85">
        <f t="shared" si="10"/>
        <v>0</v>
      </c>
      <c r="N85">
        <f t="shared" si="11"/>
        <v>0</v>
      </c>
      <c r="O85">
        <f t="shared" si="12"/>
        <v>1</v>
      </c>
      <c r="P85">
        <f t="shared" si="13"/>
        <v>1</v>
      </c>
      <c r="Q85">
        <f t="shared" si="14"/>
        <v>0</v>
      </c>
      <c r="R85" t="b">
        <v>1</v>
      </c>
      <c r="S85" t="s">
        <v>201</v>
      </c>
      <c r="T85" s="10">
        <v>0.385416666666667</v>
      </c>
      <c r="U85" s="10">
        <v>0.421527777777778</v>
      </c>
      <c r="V85">
        <v>52</v>
      </c>
      <c r="W85" t="b">
        <v>0</v>
      </c>
    </row>
    <row r="86" spans="1:24">
      <c r="A86">
        <v>85</v>
      </c>
      <c r="B86" t="s">
        <v>202</v>
      </c>
      <c r="C86" t="s">
        <v>16</v>
      </c>
      <c r="D86" s="9">
        <v>33721</v>
      </c>
      <c r="E86" s="9" t="str">
        <f t="shared" si="8"/>
        <v>31-41</v>
      </c>
      <c r="F86">
        <v>32</v>
      </c>
      <c r="G86" t="s">
        <v>17</v>
      </c>
      <c r="H86">
        <v>2</v>
      </c>
      <c r="I86" t="s">
        <v>203</v>
      </c>
      <c r="K86">
        <f t="shared" si="15"/>
        <v>1</v>
      </c>
      <c r="L86">
        <f t="shared" si="9"/>
        <v>0</v>
      </c>
      <c r="M86">
        <f t="shared" si="10"/>
        <v>0</v>
      </c>
      <c r="N86">
        <f t="shared" si="11"/>
        <v>0</v>
      </c>
      <c r="O86">
        <f t="shared" si="12"/>
        <v>0</v>
      </c>
      <c r="P86">
        <f t="shared" si="13"/>
        <v>1</v>
      </c>
      <c r="Q86">
        <f t="shared" si="14"/>
        <v>0</v>
      </c>
      <c r="R86" t="b">
        <v>1</v>
      </c>
      <c r="S86" t="s">
        <v>204</v>
      </c>
      <c r="T86" s="10">
        <v>0.796527777777778</v>
      </c>
      <c r="U86" s="10">
        <v>0.902083333333333</v>
      </c>
      <c r="V86">
        <v>152</v>
      </c>
      <c r="W86" t="b">
        <v>0</v>
      </c>
    </row>
    <row r="87" spans="1:24">
      <c r="A87">
        <v>86</v>
      </c>
      <c r="B87" t="s">
        <v>205</v>
      </c>
      <c r="C87" t="s">
        <v>16</v>
      </c>
      <c r="D87" s="9">
        <v>35470</v>
      </c>
      <c r="E87" s="9" t="str">
        <f t="shared" si="8"/>
        <v>20-30</v>
      </c>
      <c r="F87">
        <v>27</v>
      </c>
      <c r="G87" t="s">
        <v>21</v>
      </c>
      <c r="H87">
        <v>3</v>
      </c>
      <c r="I87" t="s">
        <v>37</v>
      </c>
      <c r="K87">
        <f t="shared" si="15"/>
        <v>1</v>
      </c>
      <c r="L87">
        <f t="shared" si="9"/>
        <v>1</v>
      </c>
      <c r="M87">
        <f t="shared" si="10"/>
        <v>0</v>
      </c>
      <c r="N87">
        <f t="shared" si="11"/>
        <v>0</v>
      </c>
      <c r="O87">
        <f t="shared" si="12"/>
        <v>0</v>
      </c>
      <c r="P87">
        <f t="shared" si="13"/>
        <v>0</v>
      </c>
      <c r="Q87">
        <f t="shared" si="14"/>
        <v>1</v>
      </c>
      <c r="R87" t="b">
        <v>1</v>
      </c>
      <c r="S87" t="s">
        <v>206</v>
      </c>
      <c r="T87" s="10">
        <v>0.853472222222222</v>
      </c>
      <c r="U87" s="10">
        <v>0.972222222222222</v>
      </c>
      <c r="V87">
        <v>171</v>
      </c>
      <c r="W87" t="b">
        <v>1</v>
      </c>
      <c r="X87" t="s">
        <v>23</v>
      </c>
    </row>
    <row r="88" spans="1:24">
      <c r="A88">
        <v>87</v>
      </c>
      <c r="B88" t="s">
        <v>207</v>
      </c>
      <c r="C88" t="s">
        <v>25</v>
      </c>
      <c r="D88" s="9">
        <v>28303</v>
      </c>
      <c r="E88" s="9" t="str">
        <f t="shared" si="8"/>
        <v>41-50</v>
      </c>
      <c r="F88">
        <v>47</v>
      </c>
      <c r="G88" t="s">
        <v>17</v>
      </c>
      <c r="H88">
        <v>3</v>
      </c>
      <c r="I88" t="s">
        <v>159</v>
      </c>
      <c r="K88">
        <f t="shared" si="15"/>
        <v>0</v>
      </c>
      <c r="L88">
        <f t="shared" si="9"/>
        <v>1</v>
      </c>
      <c r="M88">
        <f t="shared" si="10"/>
        <v>0</v>
      </c>
      <c r="N88">
        <f t="shared" si="11"/>
        <v>0</v>
      </c>
      <c r="O88">
        <f t="shared" si="12"/>
        <v>1</v>
      </c>
      <c r="P88">
        <f t="shared" si="13"/>
        <v>0</v>
      </c>
      <c r="Q88">
        <f t="shared" si="14"/>
        <v>1</v>
      </c>
      <c r="R88" t="b">
        <v>1</v>
      </c>
      <c r="S88" t="s">
        <v>208</v>
      </c>
      <c r="T88" s="10">
        <v>0.535416666666667</v>
      </c>
      <c r="U88" s="10">
        <v>0.650694444444444</v>
      </c>
      <c r="V88">
        <v>166</v>
      </c>
      <c r="W88" t="b">
        <v>1</v>
      </c>
      <c r="X88" t="s">
        <v>23</v>
      </c>
    </row>
    <row r="89" spans="1:24">
      <c r="A89">
        <v>88</v>
      </c>
      <c r="B89" t="s">
        <v>209</v>
      </c>
      <c r="C89" t="s">
        <v>16</v>
      </c>
      <c r="D89" s="9">
        <v>39726</v>
      </c>
      <c r="E89" s="9" t="str">
        <f t="shared" si="8"/>
        <v>below 20</v>
      </c>
      <c r="F89">
        <v>15</v>
      </c>
      <c r="G89" t="s">
        <v>17</v>
      </c>
      <c r="H89">
        <v>2</v>
      </c>
      <c r="I89" t="s">
        <v>210</v>
      </c>
      <c r="K89">
        <f t="shared" si="15"/>
        <v>0</v>
      </c>
      <c r="L89">
        <f t="shared" si="9"/>
        <v>1</v>
      </c>
      <c r="M89">
        <f t="shared" si="10"/>
        <v>0</v>
      </c>
      <c r="N89">
        <f t="shared" si="11"/>
        <v>0</v>
      </c>
      <c r="O89">
        <f t="shared" si="12"/>
        <v>0</v>
      </c>
      <c r="P89">
        <f t="shared" si="13"/>
        <v>1</v>
      </c>
      <c r="Q89">
        <f t="shared" si="14"/>
        <v>0</v>
      </c>
      <c r="R89" t="b">
        <v>0</v>
      </c>
      <c r="T89" s="10">
        <v>0.478472222222222</v>
      </c>
      <c r="U89" s="10">
        <v>0.513888888888889</v>
      </c>
      <c r="V89">
        <v>51</v>
      </c>
      <c r="W89" t="b">
        <v>0</v>
      </c>
    </row>
    <row r="90" spans="1:24">
      <c r="A90">
        <v>89</v>
      </c>
      <c r="B90" t="s">
        <v>211</v>
      </c>
      <c r="C90" t="s">
        <v>16</v>
      </c>
      <c r="D90" s="9">
        <v>31037</v>
      </c>
      <c r="E90" s="9" t="str">
        <f t="shared" si="8"/>
        <v>31-41</v>
      </c>
      <c r="F90">
        <v>39</v>
      </c>
      <c r="G90" t="s">
        <v>21</v>
      </c>
      <c r="H90">
        <v>4</v>
      </c>
      <c r="I90" t="s">
        <v>212</v>
      </c>
      <c r="K90">
        <f t="shared" si="15"/>
        <v>0</v>
      </c>
      <c r="L90">
        <f t="shared" si="9"/>
        <v>1</v>
      </c>
      <c r="M90">
        <f t="shared" si="10"/>
        <v>1</v>
      </c>
      <c r="N90">
        <f t="shared" si="11"/>
        <v>1</v>
      </c>
      <c r="O90">
        <f t="shared" si="12"/>
        <v>0</v>
      </c>
      <c r="P90">
        <f t="shared" si="13"/>
        <v>1</v>
      </c>
      <c r="Q90">
        <f t="shared" si="14"/>
        <v>0</v>
      </c>
      <c r="R90" t="b">
        <v>1</v>
      </c>
      <c r="S90" t="s">
        <v>201</v>
      </c>
      <c r="T90" s="10">
        <v>0.440277777777778</v>
      </c>
      <c r="U90" s="10">
        <v>0.464583333333333</v>
      </c>
      <c r="V90">
        <v>35</v>
      </c>
      <c r="W90" t="b">
        <v>0</v>
      </c>
    </row>
    <row r="91" spans="1:24">
      <c r="A91">
        <v>90</v>
      </c>
      <c r="B91" t="s">
        <v>213</v>
      </c>
      <c r="C91" t="s">
        <v>16</v>
      </c>
      <c r="D91" s="9">
        <v>28726</v>
      </c>
      <c r="E91" s="9" t="str">
        <f t="shared" si="8"/>
        <v>41-50</v>
      </c>
      <c r="F91">
        <v>46</v>
      </c>
      <c r="G91" t="s">
        <v>21</v>
      </c>
      <c r="H91">
        <v>1</v>
      </c>
      <c r="I91" t="s">
        <v>35</v>
      </c>
      <c r="K91">
        <f t="shared" si="15"/>
        <v>0</v>
      </c>
      <c r="L91">
        <f t="shared" si="9"/>
        <v>0</v>
      </c>
      <c r="M91">
        <f t="shared" si="10"/>
        <v>1</v>
      </c>
      <c r="N91">
        <f t="shared" si="11"/>
        <v>0</v>
      </c>
      <c r="O91">
        <f t="shared" si="12"/>
        <v>0</v>
      </c>
      <c r="P91">
        <f t="shared" si="13"/>
        <v>0</v>
      </c>
      <c r="Q91">
        <f t="shared" si="14"/>
        <v>0</v>
      </c>
      <c r="R91" t="b">
        <v>0</v>
      </c>
      <c r="T91" s="10">
        <v>0.467361111111111</v>
      </c>
      <c r="U91" s="10">
        <v>0.510416666666667</v>
      </c>
      <c r="V91">
        <v>62</v>
      </c>
      <c r="W91" t="b">
        <v>0</v>
      </c>
    </row>
    <row r="92" spans="1:24">
      <c r="A92">
        <v>91</v>
      </c>
      <c r="B92" t="s">
        <v>214</v>
      </c>
      <c r="C92" t="s">
        <v>16</v>
      </c>
      <c r="D92" s="9">
        <v>37688</v>
      </c>
      <c r="E92" s="9" t="str">
        <f t="shared" si="8"/>
        <v>20-30</v>
      </c>
      <c r="F92">
        <v>21</v>
      </c>
      <c r="G92" t="s">
        <v>17</v>
      </c>
      <c r="H92">
        <v>3</v>
      </c>
      <c r="I92" t="s">
        <v>215</v>
      </c>
      <c r="K92">
        <f t="shared" si="15"/>
        <v>1</v>
      </c>
      <c r="L92">
        <f t="shared" si="9"/>
        <v>1</v>
      </c>
      <c r="M92">
        <f t="shared" si="10"/>
        <v>1</v>
      </c>
      <c r="N92">
        <f t="shared" si="11"/>
        <v>0</v>
      </c>
      <c r="O92">
        <f t="shared" si="12"/>
        <v>0</v>
      </c>
      <c r="P92">
        <f t="shared" si="13"/>
        <v>0</v>
      </c>
      <c r="Q92">
        <f t="shared" si="14"/>
        <v>0</v>
      </c>
      <c r="R92" t="b">
        <v>0</v>
      </c>
      <c r="T92" s="10">
        <v>0.544444444444444</v>
      </c>
      <c r="U92" s="10">
        <v>0.606944444444444</v>
      </c>
      <c r="V92">
        <v>90</v>
      </c>
      <c r="W92" t="b">
        <v>0</v>
      </c>
    </row>
    <row r="93" spans="1:24">
      <c r="A93">
        <v>92</v>
      </c>
      <c r="B93" t="s">
        <v>216</v>
      </c>
      <c r="C93" t="s">
        <v>25</v>
      </c>
      <c r="D93" s="9">
        <v>34198</v>
      </c>
      <c r="E93" s="9" t="str">
        <f t="shared" si="8"/>
        <v>31-41</v>
      </c>
      <c r="F93">
        <v>31</v>
      </c>
      <c r="G93" t="s">
        <v>21</v>
      </c>
      <c r="H93">
        <v>1</v>
      </c>
      <c r="I93" t="s">
        <v>26</v>
      </c>
      <c r="K93">
        <f t="shared" si="15"/>
        <v>1</v>
      </c>
      <c r="L93">
        <f t="shared" si="9"/>
        <v>0</v>
      </c>
      <c r="M93">
        <f t="shared" si="10"/>
        <v>0</v>
      </c>
      <c r="N93">
        <f t="shared" si="11"/>
        <v>0</v>
      </c>
      <c r="O93">
        <f t="shared" si="12"/>
        <v>0</v>
      </c>
      <c r="P93">
        <f t="shared" si="13"/>
        <v>0</v>
      </c>
      <c r="Q93">
        <f t="shared" si="14"/>
        <v>0</v>
      </c>
      <c r="R93" t="b">
        <v>1</v>
      </c>
      <c r="S93" t="s">
        <v>217</v>
      </c>
      <c r="T93" s="10">
        <v>0.609027777777778</v>
      </c>
      <c r="U93" s="10">
        <v>0.690972222222222</v>
      </c>
      <c r="V93">
        <v>118</v>
      </c>
      <c r="W93" t="b">
        <v>1</v>
      </c>
      <c r="X93" t="s">
        <v>23</v>
      </c>
    </row>
    <row r="94" spans="1:24">
      <c r="A94">
        <v>93</v>
      </c>
      <c r="B94" t="s">
        <v>218</v>
      </c>
      <c r="C94" t="s">
        <v>16</v>
      </c>
      <c r="D94" s="9">
        <v>30839</v>
      </c>
      <c r="E94" s="9" t="str">
        <f t="shared" si="8"/>
        <v>31-41</v>
      </c>
      <c r="F94">
        <v>40</v>
      </c>
      <c r="G94" t="s">
        <v>21</v>
      </c>
      <c r="H94">
        <v>4</v>
      </c>
      <c r="I94" t="s">
        <v>219</v>
      </c>
      <c r="K94">
        <f t="shared" si="15"/>
        <v>0</v>
      </c>
      <c r="L94">
        <f t="shared" si="9"/>
        <v>1</v>
      </c>
      <c r="M94">
        <f t="shared" si="10"/>
        <v>0</v>
      </c>
      <c r="N94">
        <f t="shared" si="11"/>
        <v>1</v>
      </c>
      <c r="O94">
        <f t="shared" si="12"/>
        <v>1</v>
      </c>
      <c r="P94">
        <f t="shared" si="13"/>
        <v>0</v>
      </c>
      <c r="Q94">
        <f t="shared" si="14"/>
        <v>1</v>
      </c>
      <c r="R94" t="b">
        <v>1</v>
      </c>
      <c r="S94" t="s">
        <v>206</v>
      </c>
      <c r="T94" s="10">
        <v>0.413194444444444</v>
      </c>
      <c r="U94" s="10">
        <v>0.477777777777778</v>
      </c>
      <c r="V94">
        <v>93</v>
      </c>
      <c r="W94" t="b">
        <v>0</v>
      </c>
    </row>
    <row r="95" spans="1:24">
      <c r="A95">
        <v>94</v>
      </c>
      <c r="B95" t="s">
        <v>220</v>
      </c>
      <c r="C95" t="s">
        <v>16</v>
      </c>
      <c r="D95" s="9">
        <v>30470</v>
      </c>
      <c r="E95" s="9" t="str">
        <f t="shared" si="8"/>
        <v>41-50</v>
      </c>
      <c r="F95">
        <v>41</v>
      </c>
      <c r="G95" t="s">
        <v>21</v>
      </c>
      <c r="H95">
        <v>2</v>
      </c>
      <c r="I95" t="s">
        <v>121</v>
      </c>
      <c r="K95">
        <f t="shared" si="15"/>
        <v>0</v>
      </c>
      <c r="L95">
        <f t="shared" si="9"/>
        <v>0</v>
      </c>
      <c r="M95">
        <f t="shared" si="10"/>
        <v>0</v>
      </c>
      <c r="N95">
        <f t="shared" si="11"/>
        <v>1</v>
      </c>
      <c r="O95">
        <f t="shared" si="12"/>
        <v>0</v>
      </c>
      <c r="P95">
        <f t="shared" si="13"/>
        <v>1</v>
      </c>
      <c r="Q95">
        <f t="shared" si="14"/>
        <v>0</v>
      </c>
      <c r="R95" t="b">
        <v>1</v>
      </c>
      <c r="S95" t="s">
        <v>44</v>
      </c>
      <c r="T95" s="10">
        <v>0.696527777777778</v>
      </c>
      <c r="U95" s="10">
        <v>0.761111111111111</v>
      </c>
      <c r="V95">
        <v>93</v>
      </c>
      <c r="W95" t="b">
        <v>1</v>
      </c>
      <c r="X95" t="s">
        <v>23</v>
      </c>
    </row>
    <row r="96" spans="1:24">
      <c r="A96">
        <v>95</v>
      </c>
      <c r="B96" t="s">
        <v>221</v>
      </c>
      <c r="C96" t="s">
        <v>16</v>
      </c>
      <c r="D96" s="9">
        <v>41039</v>
      </c>
      <c r="E96" s="9" t="str">
        <f t="shared" si="8"/>
        <v>below 20</v>
      </c>
      <c r="F96">
        <v>12</v>
      </c>
      <c r="G96" t="s">
        <v>21</v>
      </c>
      <c r="H96">
        <v>3</v>
      </c>
      <c r="I96" t="s">
        <v>222</v>
      </c>
      <c r="K96">
        <f t="shared" si="15"/>
        <v>0</v>
      </c>
      <c r="L96">
        <f t="shared" si="9"/>
        <v>1</v>
      </c>
      <c r="M96">
        <f t="shared" si="10"/>
        <v>1</v>
      </c>
      <c r="N96">
        <f t="shared" si="11"/>
        <v>0</v>
      </c>
      <c r="O96">
        <f t="shared" si="12"/>
        <v>0</v>
      </c>
      <c r="P96">
        <f t="shared" si="13"/>
        <v>1</v>
      </c>
      <c r="Q96">
        <f t="shared" si="14"/>
        <v>0</v>
      </c>
      <c r="R96" t="b">
        <v>1</v>
      </c>
      <c r="S96" t="s">
        <v>223</v>
      </c>
      <c r="T96" s="10">
        <v>0.423611111111111</v>
      </c>
      <c r="U96" s="10">
        <v>0.482638888888889</v>
      </c>
      <c r="V96">
        <v>85</v>
      </c>
      <c r="W96" t="b">
        <v>0</v>
      </c>
    </row>
    <row r="97" spans="1:24">
      <c r="A97">
        <v>96</v>
      </c>
      <c r="B97" t="s">
        <v>224</v>
      </c>
      <c r="C97" t="s">
        <v>25</v>
      </c>
      <c r="D97" s="9">
        <v>30782</v>
      </c>
      <c r="E97" s="9" t="str">
        <f t="shared" si="8"/>
        <v>31-41</v>
      </c>
      <c r="F97">
        <v>40</v>
      </c>
      <c r="G97" t="s">
        <v>21</v>
      </c>
      <c r="H97">
        <v>1</v>
      </c>
      <c r="I97" t="s">
        <v>46</v>
      </c>
      <c r="K97">
        <f t="shared" si="15"/>
        <v>0</v>
      </c>
      <c r="L97">
        <f t="shared" si="9"/>
        <v>1</v>
      </c>
      <c r="M97">
        <f t="shared" si="10"/>
        <v>0</v>
      </c>
      <c r="N97">
        <f t="shared" si="11"/>
        <v>0</v>
      </c>
      <c r="O97">
        <f t="shared" si="12"/>
        <v>0</v>
      </c>
      <c r="P97">
        <f t="shared" si="13"/>
        <v>0</v>
      </c>
      <c r="Q97">
        <f t="shared" si="14"/>
        <v>0</v>
      </c>
      <c r="R97" t="b">
        <v>0</v>
      </c>
      <c r="T97" s="10">
        <v>0.436111111111111</v>
      </c>
      <c r="U97" s="10">
        <v>0.538194444444444</v>
      </c>
      <c r="V97">
        <v>147</v>
      </c>
      <c r="W97" t="b">
        <v>0</v>
      </c>
    </row>
    <row r="98" spans="1:24">
      <c r="A98">
        <v>97</v>
      </c>
      <c r="B98" t="s">
        <v>225</v>
      </c>
      <c r="C98" t="s">
        <v>25</v>
      </c>
      <c r="D98" s="9">
        <v>34782</v>
      </c>
      <c r="E98" s="9" t="str">
        <f t="shared" si="8"/>
        <v>20-30</v>
      </c>
      <c r="F98">
        <v>29</v>
      </c>
      <c r="G98" t="s">
        <v>17</v>
      </c>
      <c r="H98">
        <v>3</v>
      </c>
      <c r="I98" t="s">
        <v>116</v>
      </c>
      <c r="K98">
        <f t="shared" si="15"/>
        <v>0</v>
      </c>
      <c r="L98">
        <f t="shared" si="9"/>
        <v>0</v>
      </c>
      <c r="M98">
        <f t="shared" si="10"/>
        <v>0</v>
      </c>
      <c r="N98">
        <f t="shared" si="11"/>
        <v>1</v>
      </c>
      <c r="O98">
        <f t="shared" si="12"/>
        <v>1</v>
      </c>
      <c r="P98">
        <f t="shared" si="13"/>
        <v>0</v>
      </c>
      <c r="Q98">
        <f t="shared" si="14"/>
        <v>1</v>
      </c>
      <c r="R98" t="b">
        <v>0</v>
      </c>
      <c r="T98" s="10">
        <v>0.594444444444444</v>
      </c>
      <c r="U98" s="10">
        <v>0.717361111111111</v>
      </c>
      <c r="V98">
        <v>177</v>
      </c>
      <c r="W98" t="b">
        <v>0</v>
      </c>
    </row>
    <row r="99" spans="1:24">
      <c r="A99">
        <v>98</v>
      </c>
      <c r="B99" t="s">
        <v>226</v>
      </c>
      <c r="C99" t="s">
        <v>25</v>
      </c>
      <c r="D99" s="9">
        <v>38613</v>
      </c>
      <c r="E99" s="9" t="str">
        <f t="shared" si="8"/>
        <v>below 20</v>
      </c>
      <c r="F99">
        <v>19</v>
      </c>
      <c r="G99" t="s">
        <v>17</v>
      </c>
      <c r="H99">
        <v>2</v>
      </c>
      <c r="I99" t="s">
        <v>166</v>
      </c>
      <c r="K99">
        <f t="shared" si="15"/>
        <v>0</v>
      </c>
      <c r="L99">
        <f t="shared" si="9"/>
        <v>1</v>
      </c>
      <c r="M99">
        <f t="shared" si="10"/>
        <v>0</v>
      </c>
      <c r="N99">
        <f t="shared" si="11"/>
        <v>1</v>
      </c>
      <c r="O99">
        <f t="shared" si="12"/>
        <v>0</v>
      </c>
      <c r="P99">
        <f t="shared" si="13"/>
        <v>0</v>
      </c>
      <c r="Q99">
        <f t="shared" si="14"/>
        <v>0</v>
      </c>
      <c r="R99" t="b">
        <v>0</v>
      </c>
      <c r="T99" s="10">
        <v>0.70625</v>
      </c>
      <c r="U99" s="10">
        <v>0.741666666666667</v>
      </c>
      <c r="V99">
        <v>51</v>
      </c>
      <c r="W99" t="b">
        <v>1</v>
      </c>
      <c r="X99" t="s">
        <v>47</v>
      </c>
    </row>
    <row r="100" spans="1:24">
      <c r="A100">
        <v>99</v>
      </c>
      <c r="B100" t="s">
        <v>227</v>
      </c>
      <c r="C100" t="s">
        <v>16</v>
      </c>
      <c r="D100" s="9">
        <v>32955</v>
      </c>
      <c r="E100" s="9" t="str">
        <f t="shared" si="8"/>
        <v>31-41</v>
      </c>
      <c r="F100">
        <v>34</v>
      </c>
      <c r="G100" t="s">
        <v>17</v>
      </c>
      <c r="H100">
        <v>2</v>
      </c>
      <c r="I100" t="s">
        <v>187</v>
      </c>
      <c r="K100">
        <f t="shared" si="15"/>
        <v>0</v>
      </c>
      <c r="L100">
        <f t="shared" si="9"/>
        <v>0</v>
      </c>
      <c r="M100">
        <f t="shared" si="10"/>
        <v>0</v>
      </c>
      <c r="N100">
        <f t="shared" si="11"/>
        <v>1</v>
      </c>
      <c r="O100">
        <f t="shared" si="12"/>
        <v>1</v>
      </c>
      <c r="P100">
        <f t="shared" si="13"/>
        <v>0</v>
      </c>
      <c r="Q100">
        <f t="shared" si="14"/>
        <v>0</v>
      </c>
      <c r="R100" t="b">
        <v>0</v>
      </c>
      <c r="T100" s="10">
        <v>0.399305555555556</v>
      </c>
      <c r="U100" s="10">
        <v>0.45625</v>
      </c>
      <c r="V100">
        <v>82</v>
      </c>
      <c r="W100" t="b">
        <v>1</v>
      </c>
      <c r="X100" t="s">
        <v>50</v>
      </c>
    </row>
    <row r="101" spans="1:24">
      <c r="A101">
        <v>100</v>
      </c>
      <c r="B101" t="s">
        <v>228</v>
      </c>
      <c r="C101" t="s">
        <v>16</v>
      </c>
      <c r="D101" s="9">
        <v>37660</v>
      </c>
      <c r="E101" s="9" t="str">
        <f t="shared" si="8"/>
        <v>20-30</v>
      </c>
      <c r="F101">
        <v>21</v>
      </c>
      <c r="G101" t="s">
        <v>17</v>
      </c>
      <c r="H101">
        <v>3</v>
      </c>
      <c r="I101" t="s">
        <v>37</v>
      </c>
      <c r="K101">
        <f t="shared" si="15"/>
        <v>1</v>
      </c>
      <c r="L101">
        <f t="shared" si="9"/>
        <v>1</v>
      </c>
      <c r="M101">
        <f t="shared" si="10"/>
        <v>0</v>
      </c>
      <c r="N101">
        <f t="shared" si="11"/>
        <v>0</v>
      </c>
      <c r="O101">
        <f t="shared" si="12"/>
        <v>0</v>
      </c>
      <c r="P101">
        <f t="shared" si="13"/>
        <v>0</v>
      </c>
      <c r="Q101">
        <f t="shared" si="14"/>
        <v>1</v>
      </c>
      <c r="R101" t="b">
        <v>0</v>
      </c>
      <c r="T101" s="10">
        <v>0.356944444444444</v>
      </c>
      <c r="U101" s="10">
        <v>0.422916666666667</v>
      </c>
      <c r="V101">
        <v>95</v>
      </c>
      <c r="W101" t="b">
        <v>0</v>
      </c>
    </row>
    <row r="102" spans="1:24">
      <c r="A102">
        <v>101</v>
      </c>
      <c r="B102" t="s">
        <v>229</v>
      </c>
      <c r="C102" t="s">
        <v>25</v>
      </c>
      <c r="D102" s="9">
        <v>29359</v>
      </c>
      <c r="E102" s="9" t="str">
        <f t="shared" si="8"/>
        <v>41-50</v>
      </c>
      <c r="F102">
        <v>44</v>
      </c>
      <c r="G102" t="s">
        <v>21</v>
      </c>
      <c r="H102">
        <v>3</v>
      </c>
      <c r="I102" t="s">
        <v>74</v>
      </c>
      <c r="K102">
        <f t="shared" si="15"/>
        <v>1</v>
      </c>
      <c r="L102">
        <f t="shared" si="9"/>
        <v>1</v>
      </c>
      <c r="M102">
        <f t="shared" si="10"/>
        <v>0</v>
      </c>
      <c r="N102">
        <f t="shared" si="11"/>
        <v>0</v>
      </c>
      <c r="O102">
        <f t="shared" si="12"/>
        <v>0</v>
      </c>
      <c r="P102">
        <f t="shared" si="13"/>
        <v>1</v>
      </c>
      <c r="Q102">
        <f t="shared" si="14"/>
        <v>0</v>
      </c>
      <c r="R102" t="b">
        <v>1</v>
      </c>
      <c r="S102" t="s">
        <v>230</v>
      </c>
      <c r="T102" s="10">
        <v>0.424305555555556</v>
      </c>
      <c r="U102" s="10">
        <v>0.542361111111111</v>
      </c>
      <c r="V102">
        <v>170</v>
      </c>
      <c r="W102" t="b">
        <v>1</v>
      </c>
      <c r="X102" t="s">
        <v>47</v>
      </c>
    </row>
    <row r="103" spans="1:24">
      <c r="A103">
        <v>102</v>
      </c>
      <c r="B103" t="s">
        <v>231</v>
      </c>
      <c r="C103" t="s">
        <v>16</v>
      </c>
      <c r="D103" s="9">
        <v>36571</v>
      </c>
      <c r="E103" s="9" t="str">
        <f t="shared" si="8"/>
        <v>20-30</v>
      </c>
      <c r="F103">
        <v>24</v>
      </c>
      <c r="G103" t="s">
        <v>21</v>
      </c>
      <c r="H103">
        <v>3</v>
      </c>
      <c r="I103" t="s">
        <v>150</v>
      </c>
      <c r="K103">
        <f t="shared" si="15"/>
        <v>0</v>
      </c>
      <c r="L103">
        <f t="shared" si="9"/>
        <v>1</v>
      </c>
      <c r="M103">
        <f t="shared" si="10"/>
        <v>0</v>
      </c>
      <c r="N103">
        <f t="shared" si="11"/>
        <v>1</v>
      </c>
      <c r="O103">
        <f t="shared" si="12"/>
        <v>0</v>
      </c>
      <c r="P103">
        <f t="shared" si="13"/>
        <v>0</v>
      </c>
      <c r="Q103">
        <f t="shared" si="14"/>
        <v>1</v>
      </c>
      <c r="R103" t="b">
        <v>1</v>
      </c>
      <c r="S103" t="s">
        <v>232</v>
      </c>
      <c r="T103" s="10">
        <v>0.7375</v>
      </c>
      <c r="U103" s="10">
        <v>0.849305555555556</v>
      </c>
      <c r="V103">
        <v>161</v>
      </c>
      <c r="W103" t="b">
        <v>1</v>
      </c>
      <c r="X103" t="s">
        <v>28</v>
      </c>
    </row>
    <row r="104" spans="1:24">
      <c r="A104">
        <v>103</v>
      </c>
      <c r="B104" t="s">
        <v>233</v>
      </c>
      <c r="C104" t="s">
        <v>25</v>
      </c>
      <c r="D104" s="9">
        <v>33183</v>
      </c>
      <c r="E104" s="9" t="str">
        <f t="shared" si="8"/>
        <v>31-41</v>
      </c>
      <c r="F104">
        <v>33</v>
      </c>
      <c r="G104" t="s">
        <v>21</v>
      </c>
      <c r="H104">
        <v>5</v>
      </c>
      <c r="I104" t="s">
        <v>104</v>
      </c>
      <c r="K104">
        <f t="shared" si="15"/>
        <v>0</v>
      </c>
      <c r="L104">
        <f t="shared" si="9"/>
        <v>0</v>
      </c>
      <c r="M104">
        <f t="shared" si="10"/>
        <v>1</v>
      </c>
      <c r="N104">
        <f t="shared" si="11"/>
        <v>1</v>
      </c>
      <c r="O104">
        <f t="shared" si="12"/>
        <v>1</v>
      </c>
      <c r="P104">
        <f t="shared" si="13"/>
        <v>1</v>
      </c>
      <c r="Q104">
        <f t="shared" si="14"/>
        <v>1</v>
      </c>
      <c r="R104" t="b">
        <v>1</v>
      </c>
      <c r="S104" t="s">
        <v>234</v>
      </c>
      <c r="T104" s="10">
        <v>0.436805555555556</v>
      </c>
      <c r="U104" s="10">
        <v>0.528472222222222</v>
      </c>
      <c r="V104">
        <v>132</v>
      </c>
      <c r="W104" t="b">
        <v>1</v>
      </c>
      <c r="X104" t="s">
        <v>23</v>
      </c>
    </row>
    <row r="105" spans="1:24">
      <c r="A105">
        <v>104</v>
      </c>
      <c r="B105" t="s">
        <v>235</v>
      </c>
      <c r="C105" t="s">
        <v>16</v>
      </c>
      <c r="D105" s="9">
        <v>28114</v>
      </c>
      <c r="E105" s="9" t="str">
        <f t="shared" si="8"/>
        <v>41-50</v>
      </c>
      <c r="F105">
        <v>47</v>
      </c>
      <c r="G105" t="s">
        <v>17</v>
      </c>
      <c r="H105">
        <v>2</v>
      </c>
      <c r="I105" t="s">
        <v>203</v>
      </c>
      <c r="K105">
        <f t="shared" si="15"/>
        <v>1</v>
      </c>
      <c r="L105">
        <f t="shared" si="9"/>
        <v>0</v>
      </c>
      <c r="M105">
        <f t="shared" si="10"/>
        <v>0</v>
      </c>
      <c r="N105">
        <f t="shared" si="11"/>
        <v>0</v>
      </c>
      <c r="O105">
        <f t="shared" si="12"/>
        <v>0</v>
      </c>
      <c r="P105">
        <f t="shared" si="13"/>
        <v>1</v>
      </c>
      <c r="Q105">
        <f t="shared" si="14"/>
        <v>0</v>
      </c>
      <c r="R105" t="b">
        <v>0</v>
      </c>
      <c r="T105" s="10">
        <v>0.554861111111111</v>
      </c>
      <c r="U105" s="10">
        <v>0.653472222222222</v>
      </c>
      <c r="V105">
        <v>142</v>
      </c>
      <c r="W105" t="b">
        <v>1</v>
      </c>
      <c r="X105" t="s">
        <v>28</v>
      </c>
    </row>
    <row r="106" spans="1:24">
      <c r="A106">
        <v>105</v>
      </c>
      <c r="B106" t="s">
        <v>236</v>
      </c>
      <c r="C106" t="s">
        <v>16</v>
      </c>
      <c r="D106" s="9">
        <v>31486</v>
      </c>
      <c r="E106" s="9" t="str">
        <f t="shared" si="8"/>
        <v>31-41</v>
      </c>
      <c r="F106">
        <v>38</v>
      </c>
      <c r="G106" t="s">
        <v>17</v>
      </c>
      <c r="H106">
        <v>1</v>
      </c>
      <c r="I106" t="s">
        <v>185</v>
      </c>
      <c r="K106">
        <f t="shared" si="15"/>
        <v>0</v>
      </c>
      <c r="L106">
        <f t="shared" si="9"/>
        <v>0</v>
      </c>
      <c r="M106">
        <f t="shared" si="10"/>
        <v>0</v>
      </c>
      <c r="N106">
        <f t="shared" si="11"/>
        <v>1</v>
      </c>
      <c r="O106">
        <f t="shared" si="12"/>
        <v>0</v>
      </c>
      <c r="P106">
        <f t="shared" si="13"/>
        <v>0</v>
      </c>
      <c r="Q106">
        <f t="shared" si="14"/>
        <v>0</v>
      </c>
      <c r="R106" t="b">
        <v>1</v>
      </c>
      <c r="S106" t="s">
        <v>206</v>
      </c>
      <c r="T106" s="10">
        <v>0.410416666666667</v>
      </c>
      <c r="U106" s="10">
        <v>0.440972222222222</v>
      </c>
      <c r="V106">
        <v>44</v>
      </c>
      <c r="W106" t="b">
        <v>1</v>
      </c>
      <c r="X106" t="s">
        <v>28</v>
      </c>
    </row>
    <row r="107" spans="1:24">
      <c r="A107">
        <v>106</v>
      </c>
      <c r="B107" t="s">
        <v>237</v>
      </c>
      <c r="C107" t="s">
        <v>25</v>
      </c>
      <c r="D107" s="9">
        <v>41149</v>
      </c>
      <c r="E107" s="9" t="str">
        <f t="shared" si="8"/>
        <v>below 20</v>
      </c>
      <c r="F107">
        <v>12</v>
      </c>
      <c r="G107" t="s">
        <v>17</v>
      </c>
      <c r="H107">
        <v>3</v>
      </c>
      <c r="I107" t="s">
        <v>30</v>
      </c>
      <c r="K107">
        <f t="shared" si="15"/>
        <v>0</v>
      </c>
      <c r="L107">
        <f t="shared" si="9"/>
        <v>0</v>
      </c>
      <c r="M107">
        <f t="shared" si="10"/>
        <v>1</v>
      </c>
      <c r="N107">
        <f t="shared" si="11"/>
        <v>0</v>
      </c>
      <c r="O107">
        <f t="shared" si="12"/>
        <v>0</v>
      </c>
      <c r="P107">
        <f t="shared" si="13"/>
        <v>1</v>
      </c>
      <c r="Q107">
        <f t="shared" si="14"/>
        <v>1</v>
      </c>
      <c r="R107" t="b">
        <v>1</v>
      </c>
      <c r="S107" t="s">
        <v>238</v>
      </c>
      <c r="T107" s="10">
        <v>0.83125</v>
      </c>
      <c r="U107" s="10">
        <v>0.867361111111111</v>
      </c>
      <c r="V107">
        <v>52</v>
      </c>
      <c r="W107" t="b">
        <v>0</v>
      </c>
    </row>
    <row r="108" spans="1:24">
      <c r="A108">
        <v>107</v>
      </c>
      <c r="B108" t="s">
        <v>239</v>
      </c>
      <c r="C108" t="s">
        <v>16</v>
      </c>
      <c r="D108" s="9">
        <v>37824</v>
      </c>
      <c r="E108" s="9" t="str">
        <f t="shared" si="8"/>
        <v>20-30</v>
      </c>
      <c r="F108">
        <v>21</v>
      </c>
      <c r="G108" t="s">
        <v>21</v>
      </c>
      <c r="H108">
        <v>2</v>
      </c>
      <c r="I108" t="s">
        <v>111</v>
      </c>
      <c r="K108">
        <f t="shared" si="15"/>
        <v>0</v>
      </c>
      <c r="L108">
        <f t="shared" si="9"/>
        <v>1</v>
      </c>
      <c r="M108">
        <f t="shared" si="10"/>
        <v>0</v>
      </c>
      <c r="N108">
        <f t="shared" si="11"/>
        <v>0</v>
      </c>
      <c r="O108">
        <f t="shared" si="12"/>
        <v>0</v>
      </c>
      <c r="P108">
        <f t="shared" si="13"/>
        <v>0</v>
      </c>
      <c r="Q108">
        <f t="shared" si="14"/>
        <v>1</v>
      </c>
      <c r="R108" t="b">
        <v>0</v>
      </c>
      <c r="T108" s="10">
        <v>0.842361111111111</v>
      </c>
      <c r="U108" s="10">
        <v>0.945833333333333</v>
      </c>
      <c r="V108">
        <v>149</v>
      </c>
      <c r="W108" t="b">
        <v>0</v>
      </c>
    </row>
    <row r="109" spans="1:24">
      <c r="A109">
        <v>108</v>
      </c>
      <c r="B109" t="s">
        <v>240</v>
      </c>
      <c r="C109" t="s">
        <v>16</v>
      </c>
      <c r="D109" s="9">
        <v>37320</v>
      </c>
      <c r="E109" s="9" t="str">
        <f t="shared" si="8"/>
        <v>20-30</v>
      </c>
      <c r="F109">
        <v>22</v>
      </c>
      <c r="G109" t="s">
        <v>21</v>
      </c>
      <c r="H109">
        <v>3</v>
      </c>
      <c r="I109" t="s">
        <v>241</v>
      </c>
      <c r="K109">
        <f t="shared" si="15"/>
        <v>0</v>
      </c>
      <c r="L109">
        <f t="shared" si="9"/>
        <v>0</v>
      </c>
      <c r="M109">
        <f t="shared" si="10"/>
        <v>1</v>
      </c>
      <c r="N109">
        <f t="shared" si="11"/>
        <v>1</v>
      </c>
      <c r="O109">
        <f t="shared" si="12"/>
        <v>1</v>
      </c>
      <c r="P109">
        <f t="shared" si="13"/>
        <v>0</v>
      </c>
      <c r="Q109">
        <f t="shared" si="14"/>
        <v>0</v>
      </c>
      <c r="R109" t="b">
        <v>1</v>
      </c>
      <c r="S109" t="s">
        <v>170</v>
      </c>
      <c r="T109" s="10">
        <v>0.827777777777778</v>
      </c>
      <c r="U109" s="10">
        <v>0.886805555555556</v>
      </c>
      <c r="V109">
        <v>85</v>
      </c>
      <c r="W109" t="b">
        <v>1</v>
      </c>
      <c r="X109" t="s">
        <v>23</v>
      </c>
    </row>
    <row r="110" spans="1:24">
      <c r="A110">
        <v>109</v>
      </c>
      <c r="B110" t="s">
        <v>242</v>
      </c>
      <c r="C110" t="s">
        <v>16</v>
      </c>
      <c r="D110" s="9">
        <v>33324</v>
      </c>
      <c r="E110" s="9" t="str">
        <f t="shared" si="8"/>
        <v>31-41</v>
      </c>
      <c r="F110">
        <v>33</v>
      </c>
      <c r="G110" t="s">
        <v>17</v>
      </c>
      <c r="H110">
        <v>1</v>
      </c>
      <c r="I110" t="s">
        <v>81</v>
      </c>
      <c r="K110">
        <f t="shared" si="15"/>
        <v>0</v>
      </c>
      <c r="L110">
        <f t="shared" si="9"/>
        <v>0</v>
      </c>
      <c r="M110">
        <f t="shared" si="10"/>
        <v>0</v>
      </c>
      <c r="N110">
        <f t="shared" si="11"/>
        <v>0</v>
      </c>
      <c r="O110">
        <f t="shared" si="12"/>
        <v>0</v>
      </c>
      <c r="P110">
        <f t="shared" si="13"/>
        <v>1</v>
      </c>
      <c r="Q110">
        <f t="shared" si="14"/>
        <v>0</v>
      </c>
      <c r="R110" t="b">
        <v>0</v>
      </c>
      <c r="T110" s="10">
        <v>0.584722222222222</v>
      </c>
      <c r="U110" s="10">
        <v>0.622916666666667</v>
      </c>
      <c r="V110">
        <v>55</v>
      </c>
      <c r="W110" t="b">
        <v>0</v>
      </c>
    </row>
    <row r="111" spans="1:24">
      <c r="A111">
        <v>110</v>
      </c>
      <c r="B111" t="s">
        <v>243</v>
      </c>
      <c r="C111" t="s">
        <v>16</v>
      </c>
      <c r="D111" s="9">
        <v>38047</v>
      </c>
      <c r="E111" s="9" t="str">
        <f t="shared" si="8"/>
        <v>20-30</v>
      </c>
      <c r="F111">
        <v>20</v>
      </c>
      <c r="G111" t="s">
        <v>17</v>
      </c>
      <c r="H111">
        <v>2</v>
      </c>
      <c r="I111" t="s">
        <v>72</v>
      </c>
      <c r="K111">
        <f t="shared" si="15"/>
        <v>0</v>
      </c>
      <c r="L111">
        <f t="shared" si="9"/>
        <v>0</v>
      </c>
      <c r="M111">
        <f t="shared" si="10"/>
        <v>0</v>
      </c>
      <c r="N111">
        <f t="shared" si="11"/>
        <v>0</v>
      </c>
      <c r="O111">
        <f t="shared" si="12"/>
        <v>1</v>
      </c>
      <c r="P111">
        <f t="shared" si="13"/>
        <v>0</v>
      </c>
      <c r="Q111">
        <f t="shared" si="14"/>
        <v>1</v>
      </c>
      <c r="R111" t="b">
        <v>1</v>
      </c>
      <c r="S111" t="s">
        <v>67</v>
      </c>
      <c r="T111" s="10">
        <v>0.744444444444444</v>
      </c>
      <c r="U111" s="10">
        <v>0.860416666666667</v>
      </c>
      <c r="V111">
        <v>167</v>
      </c>
      <c r="W111" t="b">
        <v>0</v>
      </c>
    </row>
    <row r="112" spans="1:24">
      <c r="A112">
        <v>111</v>
      </c>
      <c r="B112" t="s">
        <v>244</v>
      </c>
      <c r="C112" t="s">
        <v>16</v>
      </c>
      <c r="D112" s="9">
        <v>34366</v>
      </c>
      <c r="E112" s="9" t="str">
        <f t="shared" si="8"/>
        <v>20-30</v>
      </c>
      <c r="F112">
        <v>30</v>
      </c>
      <c r="G112" t="s">
        <v>21</v>
      </c>
      <c r="H112">
        <v>3</v>
      </c>
      <c r="I112" t="s">
        <v>245</v>
      </c>
      <c r="K112">
        <f t="shared" si="15"/>
        <v>1</v>
      </c>
      <c r="L112">
        <f t="shared" si="9"/>
        <v>0</v>
      </c>
      <c r="M112">
        <f t="shared" si="10"/>
        <v>1</v>
      </c>
      <c r="N112">
        <f t="shared" si="11"/>
        <v>0</v>
      </c>
      <c r="O112">
        <f t="shared" si="12"/>
        <v>0</v>
      </c>
      <c r="P112">
        <f t="shared" si="13"/>
        <v>1</v>
      </c>
      <c r="Q112">
        <f t="shared" si="14"/>
        <v>0</v>
      </c>
      <c r="R112" t="b">
        <v>1</v>
      </c>
      <c r="S112" t="s">
        <v>230</v>
      </c>
      <c r="T112" s="10">
        <v>0.738194444444444</v>
      </c>
      <c r="U112" s="10">
        <v>0.767361111111111</v>
      </c>
      <c r="V112">
        <v>42</v>
      </c>
      <c r="W112" t="b">
        <v>0</v>
      </c>
    </row>
    <row r="113" spans="1:24">
      <c r="A113">
        <v>112</v>
      </c>
      <c r="B113" t="s">
        <v>246</v>
      </c>
      <c r="C113" t="s">
        <v>25</v>
      </c>
      <c r="D113" s="9">
        <v>39878</v>
      </c>
      <c r="E113" s="9" t="str">
        <f t="shared" si="8"/>
        <v>below 20</v>
      </c>
      <c r="F113">
        <v>15</v>
      </c>
      <c r="G113" t="s">
        <v>21</v>
      </c>
      <c r="H113">
        <v>3</v>
      </c>
      <c r="I113" t="s">
        <v>247</v>
      </c>
      <c r="K113">
        <f t="shared" si="15"/>
        <v>0</v>
      </c>
      <c r="L113">
        <f t="shared" si="9"/>
        <v>0</v>
      </c>
      <c r="M113">
        <f t="shared" si="10"/>
        <v>1</v>
      </c>
      <c r="N113">
        <f t="shared" si="11"/>
        <v>1</v>
      </c>
      <c r="O113">
        <f t="shared" si="12"/>
        <v>0</v>
      </c>
      <c r="P113">
        <f t="shared" si="13"/>
        <v>1</v>
      </c>
      <c r="Q113">
        <f t="shared" si="14"/>
        <v>0</v>
      </c>
      <c r="R113" t="b">
        <v>1</v>
      </c>
      <c r="S113" t="s">
        <v>248</v>
      </c>
      <c r="T113" s="10">
        <v>0.689583333333333</v>
      </c>
      <c r="U113" s="10">
        <v>0.749305555555556</v>
      </c>
      <c r="V113">
        <v>86</v>
      </c>
      <c r="W113" t="b">
        <v>0</v>
      </c>
    </row>
    <row r="114" spans="1:24">
      <c r="A114">
        <v>113</v>
      </c>
      <c r="B114" t="s">
        <v>249</v>
      </c>
      <c r="C114" t="s">
        <v>16</v>
      </c>
      <c r="D114" s="9">
        <v>28337</v>
      </c>
      <c r="E114" s="9" t="str">
        <f t="shared" si="8"/>
        <v>41-50</v>
      </c>
      <c r="F114">
        <v>47</v>
      </c>
      <c r="G114" t="s">
        <v>17</v>
      </c>
      <c r="H114">
        <v>1</v>
      </c>
      <c r="I114" t="s">
        <v>26</v>
      </c>
      <c r="K114">
        <f t="shared" si="15"/>
        <v>1</v>
      </c>
      <c r="L114">
        <f t="shared" si="9"/>
        <v>0</v>
      </c>
      <c r="M114">
        <f t="shared" si="10"/>
        <v>0</v>
      </c>
      <c r="N114">
        <f t="shared" si="11"/>
        <v>0</v>
      </c>
      <c r="O114">
        <f t="shared" si="12"/>
        <v>0</v>
      </c>
      <c r="P114">
        <f t="shared" si="13"/>
        <v>0</v>
      </c>
      <c r="Q114">
        <f t="shared" si="14"/>
        <v>0</v>
      </c>
      <c r="R114" t="b">
        <v>0</v>
      </c>
      <c r="T114" s="10">
        <v>0.682638888888889</v>
      </c>
      <c r="U114" s="10">
        <v>0.733333333333333</v>
      </c>
      <c r="V114">
        <v>73</v>
      </c>
      <c r="W114" t="b">
        <v>1</v>
      </c>
      <c r="X114" t="s">
        <v>23</v>
      </c>
    </row>
    <row r="115" spans="1:24">
      <c r="A115">
        <v>114</v>
      </c>
      <c r="B115" t="s">
        <v>250</v>
      </c>
      <c r="C115" t="s">
        <v>16</v>
      </c>
      <c r="D115" s="9">
        <v>34503</v>
      </c>
      <c r="E115" s="9" t="str">
        <f t="shared" si="8"/>
        <v>20-30</v>
      </c>
      <c r="F115">
        <v>30</v>
      </c>
      <c r="G115" t="s">
        <v>17</v>
      </c>
      <c r="H115">
        <v>3</v>
      </c>
      <c r="I115" t="s">
        <v>251</v>
      </c>
      <c r="K115">
        <f t="shared" si="15"/>
        <v>1</v>
      </c>
      <c r="L115">
        <f t="shared" si="9"/>
        <v>0</v>
      </c>
      <c r="M115">
        <f t="shared" si="10"/>
        <v>1</v>
      </c>
      <c r="N115">
        <f t="shared" si="11"/>
        <v>1</v>
      </c>
      <c r="O115">
        <f t="shared" si="12"/>
        <v>0</v>
      </c>
      <c r="P115">
        <f t="shared" si="13"/>
        <v>0</v>
      </c>
      <c r="Q115">
        <f t="shared" si="14"/>
        <v>0</v>
      </c>
      <c r="R115" t="b">
        <v>0</v>
      </c>
      <c r="T115" s="10">
        <v>0.577083333333333</v>
      </c>
      <c r="U115" s="10">
        <v>0.620833333333333</v>
      </c>
      <c r="V115">
        <v>63</v>
      </c>
      <c r="W115" t="b">
        <v>1</v>
      </c>
      <c r="X115" t="s">
        <v>47</v>
      </c>
    </row>
    <row r="116" spans="1:24">
      <c r="A116">
        <v>115</v>
      </c>
      <c r="B116" t="s">
        <v>252</v>
      </c>
      <c r="C116" t="s">
        <v>16</v>
      </c>
      <c r="D116" s="9">
        <v>40437</v>
      </c>
      <c r="E116" s="9" t="str">
        <f t="shared" si="8"/>
        <v>below 20</v>
      </c>
      <c r="F116">
        <v>14</v>
      </c>
      <c r="G116" t="s">
        <v>17</v>
      </c>
      <c r="H116">
        <v>3</v>
      </c>
      <c r="I116" t="s">
        <v>130</v>
      </c>
      <c r="K116">
        <f t="shared" si="15"/>
        <v>0</v>
      </c>
      <c r="L116">
        <f t="shared" si="9"/>
        <v>1</v>
      </c>
      <c r="M116">
        <f t="shared" si="10"/>
        <v>0</v>
      </c>
      <c r="N116">
        <f t="shared" si="11"/>
        <v>1</v>
      </c>
      <c r="O116">
        <f t="shared" si="12"/>
        <v>1</v>
      </c>
      <c r="P116">
        <f t="shared" si="13"/>
        <v>0</v>
      </c>
      <c r="Q116">
        <f t="shared" si="14"/>
        <v>0</v>
      </c>
      <c r="R116" t="b">
        <v>0</v>
      </c>
      <c r="T116" s="10">
        <v>0.608333333333333</v>
      </c>
      <c r="U116" s="10">
        <v>0.66875</v>
      </c>
      <c r="V116">
        <v>87</v>
      </c>
      <c r="W116" t="b">
        <v>1</v>
      </c>
      <c r="X116" t="s">
        <v>47</v>
      </c>
    </row>
    <row r="117" spans="1:24">
      <c r="A117">
        <v>116</v>
      </c>
      <c r="B117" t="s">
        <v>253</v>
      </c>
      <c r="C117" t="s">
        <v>25</v>
      </c>
      <c r="D117" s="9">
        <v>33314</v>
      </c>
      <c r="E117" s="9" t="str">
        <f t="shared" si="8"/>
        <v>31-41</v>
      </c>
      <c r="F117">
        <v>33</v>
      </c>
      <c r="G117" t="s">
        <v>17</v>
      </c>
      <c r="H117">
        <v>4</v>
      </c>
      <c r="I117" t="s">
        <v>168</v>
      </c>
      <c r="K117">
        <f t="shared" si="15"/>
        <v>1</v>
      </c>
      <c r="L117">
        <f t="shared" si="9"/>
        <v>0</v>
      </c>
      <c r="M117">
        <f t="shared" si="10"/>
        <v>1</v>
      </c>
      <c r="N117">
        <f t="shared" si="11"/>
        <v>1</v>
      </c>
      <c r="O117">
        <f t="shared" si="12"/>
        <v>0</v>
      </c>
      <c r="P117">
        <f t="shared" si="13"/>
        <v>0</v>
      </c>
      <c r="Q117">
        <f t="shared" si="14"/>
        <v>1</v>
      </c>
      <c r="R117" t="b">
        <v>0</v>
      </c>
      <c r="T117" s="10">
        <v>0.797222222222222</v>
      </c>
      <c r="U117" s="10">
        <v>0.891666666666667</v>
      </c>
      <c r="V117">
        <v>136</v>
      </c>
      <c r="W117" t="b">
        <v>0</v>
      </c>
    </row>
    <row r="118" spans="1:24">
      <c r="A118">
        <v>117</v>
      </c>
      <c r="B118" t="s">
        <v>254</v>
      </c>
      <c r="C118" t="s">
        <v>25</v>
      </c>
      <c r="D118" s="9">
        <v>27488</v>
      </c>
      <c r="E118" s="9" t="str">
        <f t="shared" si="8"/>
        <v>41-50</v>
      </c>
      <c r="F118">
        <v>49</v>
      </c>
      <c r="G118" t="s">
        <v>21</v>
      </c>
      <c r="H118">
        <v>1</v>
      </c>
      <c r="I118" t="s">
        <v>59</v>
      </c>
      <c r="K118">
        <f t="shared" si="15"/>
        <v>0</v>
      </c>
      <c r="L118">
        <f t="shared" si="9"/>
        <v>0</v>
      </c>
      <c r="M118">
        <f t="shared" si="10"/>
        <v>0</v>
      </c>
      <c r="N118">
        <f t="shared" si="11"/>
        <v>0</v>
      </c>
      <c r="O118">
        <f t="shared" si="12"/>
        <v>0</v>
      </c>
      <c r="P118">
        <f t="shared" si="13"/>
        <v>0</v>
      </c>
      <c r="Q118">
        <f t="shared" si="14"/>
        <v>1</v>
      </c>
      <c r="R118" t="b">
        <v>1</v>
      </c>
      <c r="S118" t="s">
        <v>67</v>
      </c>
      <c r="T118" s="10">
        <v>0.751388888888889</v>
      </c>
      <c r="U118" s="10">
        <v>0.817361111111111</v>
      </c>
      <c r="V118">
        <v>95</v>
      </c>
      <c r="W118" t="b">
        <v>0</v>
      </c>
    </row>
    <row r="119" spans="1:24">
      <c r="A119">
        <v>118</v>
      </c>
      <c r="B119" t="s">
        <v>253</v>
      </c>
      <c r="C119" t="s">
        <v>25</v>
      </c>
      <c r="D119" s="9">
        <v>30678</v>
      </c>
      <c r="E119" s="9" t="str">
        <f t="shared" si="8"/>
        <v>31-41</v>
      </c>
      <c r="F119">
        <v>40</v>
      </c>
      <c r="G119" t="s">
        <v>21</v>
      </c>
      <c r="H119">
        <v>5</v>
      </c>
      <c r="I119" t="s">
        <v>183</v>
      </c>
      <c r="K119">
        <f t="shared" si="15"/>
        <v>0</v>
      </c>
      <c r="L119">
        <f t="shared" si="9"/>
        <v>1</v>
      </c>
      <c r="M119">
        <f t="shared" si="10"/>
        <v>1</v>
      </c>
      <c r="N119">
        <f t="shared" si="11"/>
        <v>1</v>
      </c>
      <c r="O119">
        <f t="shared" si="12"/>
        <v>0</v>
      </c>
      <c r="P119">
        <f t="shared" si="13"/>
        <v>1</v>
      </c>
      <c r="Q119">
        <f t="shared" si="14"/>
        <v>1</v>
      </c>
      <c r="R119" t="b">
        <v>0</v>
      </c>
      <c r="T119" s="10">
        <v>0.349305555555556</v>
      </c>
      <c r="U119" s="10">
        <v>0.418055555555556</v>
      </c>
      <c r="V119">
        <v>99</v>
      </c>
      <c r="W119" t="b">
        <v>0</v>
      </c>
    </row>
    <row r="120" spans="1:24">
      <c r="A120">
        <v>119</v>
      </c>
      <c r="B120" t="s">
        <v>255</v>
      </c>
      <c r="C120" t="s">
        <v>25</v>
      </c>
      <c r="D120" s="9">
        <v>28678</v>
      </c>
      <c r="E120" s="9" t="str">
        <f t="shared" si="8"/>
        <v>41-50</v>
      </c>
      <c r="F120">
        <v>46</v>
      </c>
      <c r="G120" t="s">
        <v>17</v>
      </c>
      <c r="H120">
        <v>3</v>
      </c>
      <c r="I120" t="s">
        <v>130</v>
      </c>
      <c r="K120">
        <f t="shared" si="15"/>
        <v>0</v>
      </c>
      <c r="L120">
        <f t="shared" si="9"/>
        <v>1</v>
      </c>
      <c r="M120">
        <f t="shared" si="10"/>
        <v>0</v>
      </c>
      <c r="N120">
        <f t="shared" si="11"/>
        <v>1</v>
      </c>
      <c r="O120">
        <f t="shared" si="12"/>
        <v>1</v>
      </c>
      <c r="P120">
        <f t="shared" si="13"/>
        <v>0</v>
      </c>
      <c r="Q120">
        <f t="shared" si="14"/>
        <v>0</v>
      </c>
      <c r="R120" t="b">
        <v>1</v>
      </c>
      <c r="S120" t="s">
        <v>256</v>
      </c>
      <c r="T120" s="10">
        <v>0.5625</v>
      </c>
      <c r="U120" s="10">
        <v>0.684722222222222</v>
      </c>
      <c r="V120">
        <v>176</v>
      </c>
      <c r="W120" t="b">
        <v>1</v>
      </c>
      <c r="X120" t="s">
        <v>47</v>
      </c>
    </row>
    <row r="121" spans="1:24">
      <c r="A121">
        <v>120</v>
      </c>
      <c r="B121" t="s">
        <v>257</v>
      </c>
      <c r="C121" t="s">
        <v>16</v>
      </c>
      <c r="D121" s="9">
        <v>30808</v>
      </c>
      <c r="E121" s="9" t="str">
        <f t="shared" si="8"/>
        <v>31-41</v>
      </c>
      <c r="F121">
        <v>40</v>
      </c>
      <c r="G121" t="s">
        <v>21</v>
      </c>
      <c r="H121">
        <v>3</v>
      </c>
      <c r="I121" t="s">
        <v>37</v>
      </c>
      <c r="K121">
        <f t="shared" si="15"/>
        <v>1</v>
      </c>
      <c r="L121">
        <f t="shared" si="9"/>
        <v>1</v>
      </c>
      <c r="M121">
        <f t="shared" si="10"/>
        <v>0</v>
      </c>
      <c r="N121">
        <f t="shared" si="11"/>
        <v>0</v>
      </c>
      <c r="O121">
        <f t="shared" si="12"/>
        <v>0</v>
      </c>
      <c r="P121">
        <f t="shared" si="13"/>
        <v>0</v>
      </c>
      <c r="Q121">
        <f t="shared" si="14"/>
        <v>1</v>
      </c>
      <c r="R121" t="b">
        <v>0</v>
      </c>
      <c r="T121" s="10">
        <v>0.621527777777778</v>
      </c>
      <c r="U121" s="10">
        <v>0.739583333333333</v>
      </c>
      <c r="V121">
        <v>170</v>
      </c>
      <c r="W121" t="b">
        <v>1</v>
      </c>
      <c r="X121" t="s">
        <v>23</v>
      </c>
    </row>
    <row r="122" spans="1:24">
      <c r="A122">
        <v>121</v>
      </c>
      <c r="B122" t="s">
        <v>258</v>
      </c>
      <c r="C122" t="s">
        <v>16</v>
      </c>
      <c r="D122" s="9">
        <v>37345</v>
      </c>
      <c r="E122" s="9" t="str">
        <f t="shared" si="8"/>
        <v>20-30</v>
      </c>
      <c r="F122">
        <v>22</v>
      </c>
      <c r="G122" t="s">
        <v>17</v>
      </c>
      <c r="H122">
        <v>2</v>
      </c>
      <c r="I122" t="s">
        <v>259</v>
      </c>
      <c r="K122">
        <f t="shared" si="15"/>
        <v>0</v>
      </c>
      <c r="L122">
        <f t="shared" si="9"/>
        <v>1</v>
      </c>
      <c r="M122">
        <f t="shared" si="10"/>
        <v>0</v>
      </c>
      <c r="N122">
        <f t="shared" si="11"/>
        <v>0</v>
      </c>
      <c r="O122">
        <f t="shared" si="12"/>
        <v>1</v>
      </c>
      <c r="P122">
        <f t="shared" si="13"/>
        <v>0</v>
      </c>
      <c r="Q122">
        <f t="shared" si="14"/>
        <v>0</v>
      </c>
      <c r="R122" t="b">
        <v>1</v>
      </c>
      <c r="S122" t="s">
        <v>260</v>
      </c>
      <c r="T122" s="10">
        <v>0.804861111111111</v>
      </c>
      <c r="U122" s="10">
        <v>0.910416666666667</v>
      </c>
      <c r="V122">
        <v>152</v>
      </c>
      <c r="W122" t="b">
        <v>0</v>
      </c>
    </row>
    <row r="123" spans="1:24">
      <c r="A123">
        <v>122</v>
      </c>
      <c r="B123" t="s">
        <v>261</v>
      </c>
      <c r="C123" t="s">
        <v>16</v>
      </c>
      <c r="D123" s="9">
        <v>29769</v>
      </c>
      <c r="E123" s="9" t="str">
        <f t="shared" si="8"/>
        <v>41-50</v>
      </c>
      <c r="F123">
        <v>43</v>
      </c>
      <c r="G123" t="s">
        <v>17</v>
      </c>
      <c r="H123">
        <v>1</v>
      </c>
      <c r="I123" t="s">
        <v>35</v>
      </c>
      <c r="K123">
        <f t="shared" si="15"/>
        <v>0</v>
      </c>
      <c r="L123">
        <f t="shared" si="9"/>
        <v>0</v>
      </c>
      <c r="M123">
        <f t="shared" si="10"/>
        <v>1</v>
      </c>
      <c r="N123">
        <f t="shared" si="11"/>
        <v>0</v>
      </c>
      <c r="O123">
        <f t="shared" si="12"/>
        <v>0</v>
      </c>
      <c r="P123">
        <f t="shared" si="13"/>
        <v>0</v>
      </c>
      <c r="Q123">
        <f t="shared" si="14"/>
        <v>0</v>
      </c>
      <c r="R123" t="b">
        <v>1</v>
      </c>
      <c r="S123" t="s">
        <v>262</v>
      </c>
      <c r="T123" s="10">
        <v>0.839583333333333</v>
      </c>
      <c r="U123" s="10">
        <v>0.927083333333333</v>
      </c>
      <c r="V123">
        <v>126</v>
      </c>
      <c r="W123" t="b">
        <v>0</v>
      </c>
    </row>
    <row r="124" spans="1:24">
      <c r="A124">
        <v>123</v>
      </c>
      <c r="B124" t="s">
        <v>263</v>
      </c>
      <c r="C124" t="s">
        <v>16</v>
      </c>
      <c r="D124" s="9">
        <v>33174</v>
      </c>
      <c r="E124" s="9" t="str">
        <f t="shared" si="8"/>
        <v>31-41</v>
      </c>
      <c r="F124">
        <v>33</v>
      </c>
      <c r="G124" t="s">
        <v>21</v>
      </c>
      <c r="H124">
        <v>3</v>
      </c>
      <c r="I124" t="s">
        <v>22</v>
      </c>
      <c r="K124">
        <f t="shared" si="15"/>
        <v>1</v>
      </c>
      <c r="L124">
        <f t="shared" si="9"/>
        <v>0</v>
      </c>
      <c r="M124">
        <f t="shared" si="10"/>
        <v>0</v>
      </c>
      <c r="N124">
        <f t="shared" si="11"/>
        <v>0</v>
      </c>
      <c r="O124">
        <f t="shared" si="12"/>
        <v>0</v>
      </c>
      <c r="P124">
        <f t="shared" si="13"/>
        <v>1</v>
      </c>
      <c r="Q124">
        <f t="shared" si="14"/>
        <v>1</v>
      </c>
      <c r="R124" t="b">
        <v>0</v>
      </c>
      <c r="T124" s="10">
        <v>0.406944444444444</v>
      </c>
      <c r="U124" s="10">
        <v>0.434722222222222</v>
      </c>
      <c r="V124">
        <v>40</v>
      </c>
      <c r="W124" t="b">
        <v>0</v>
      </c>
    </row>
    <row r="125" spans="1:24">
      <c r="A125">
        <v>124</v>
      </c>
      <c r="B125" t="s">
        <v>264</v>
      </c>
      <c r="C125" t="s">
        <v>16</v>
      </c>
      <c r="D125" s="9">
        <v>40388</v>
      </c>
      <c r="E125" s="9" t="str">
        <f t="shared" si="8"/>
        <v>below 20</v>
      </c>
      <c r="F125">
        <v>14</v>
      </c>
      <c r="G125" t="s">
        <v>17</v>
      </c>
      <c r="H125">
        <v>3</v>
      </c>
      <c r="I125" t="s">
        <v>215</v>
      </c>
      <c r="K125">
        <f t="shared" si="15"/>
        <v>1</v>
      </c>
      <c r="L125">
        <f t="shared" si="9"/>
        <v>1</v>
      </c>
      <c r="M125">
        <f t="shared" si="10"/>
        <v>1</v>
      </c>
      <c r="N125">
        <f t="shared" si="11"/>
        <v>0</v>
      </c>
      <c r="O125">
        <f t="shared" si="12"/>
        <v>0</v>
      </c>
      <c r="P125">
        <f t="shared" si="13"/>
        <v>0</v>
      </c>
      <c r="Q125">
        <f t="shared" si="14"/>
        <v>0</v>
      </c>
      <c r="R125" t="b">
        <v>0</v>
      </c>
      <c r="T125" s="10">
        <v>0.611111111111111</v>
      </c>
      <c r="U125" s="10">
        <v>0.645138888888889</v>
      </c>
      <c r="V125">
        <v>49</v>
      </c>
      <c r="W125" t="b">
        <v>1</v>
      </c>
      <c r="X125" t="s">
        <v>50</v>
      </c>
    </row>
    <row r="126" spans="1:24">
      <c r="A126">
        <v>125</v>
      </c>
      <c r="B126" t="s">
        <v>265</v>
      </c>
      <c r="C126" t="s">
        <v>25</v>
      </c>
      <c r="D126" s="9">
        <v>40288</v>
      </c>
      <c r="E126" s="9" t="str">
        <f t="shared" si="8"/>
        <v>below 20</v>
      </c>
      <c r="F126">
        <v>14</v>
      </c>
      <c r="G126" t="s">
        <v>21</v>
      </c>
      <c r="H126">
        <v>3</v>
      </c>
      <c r="I126" t="s">
        <v>266</v>
      </c>
      <c r="K126">
        <f t="shared" si="15"/>
        <v>1</v>
      </c>
      <c r="L126">
        <f t="shared" si="9"/>
        <v>0</v>
      </c>
      <c r="M126">
        <f t="shared" si="10"/>
        <v>0</v>
      </c>
      <c r="N126">
        <f t="shared" si="11"/>
        <v>0</v>
      </c>
      <c r="O126">
        <f t="shared" si="12"/>
        <v>1</v>
      </c>
      <c r="P126">
        <f t="shared" si="13"/>
        <v>1</v>
      </c>
      <c r="Q126">
        <f t="shared" si="14"/>
        <v>0</v>
      </c>
      <c r="R126" t="b">
        <v>0</v>
      </c>
      <c r="T126" s="10">
        <v>0.589583333333333</v>
      </c>
      <c r="U126" s="10">
        <v>0.7125</v>
      </c>
      <c r="V126">
        <v>177</v>
      </c>
      <c r="W126" t="b">
        <v>1</v>
      </c>
      <c r="X126" t="s">
        <v>47</v>
      </c>
    </row>
    <row r="127" spans="1:24">
      <c r="A127">
        <v>126</v>
      </c>
      <c r="B127" t="s">
        <v>267</v>
      </c>
      <c r="C127" t="s">
        <v>25</v>
      </c>
      <c r="D127" s="9">
        <v>40102</v>
      </c>
      <c r="E127" s="9" t="str">
        <f t="shared" si="8"/>
        <v>below 20</v>
      </c>
      <c r="F127">
        <v>14</v>
      </c>
      <c r="G127" t="s">
        <v>21</v>
      </c>
      <c r="H127">
        <v>3</v>
      </c>
      <c r="I127" t="s">
        <v>215</v>
      </c>
      <c r="K127">
        <f t="shared" si="15"/>
        <v>1</v>
      </c>
      <c r="L127">
        <f t="shared" si="9"/>
        <v>1</v>
      </c>
      <c r="M127">
        <f t="shared" si="10"/>
        <v>1</v>
      </c>
      <c r="N127">
        <f t="shared" si="11"/>
        <v>0</v>
      </c>
      <c r="O127">
        <f t="shared" si="12"/>
        <v>0</v>
      </c>
      <c r="P127">
        <f t="shared" si="13"/>
        <v>0</v>
      </c>
      <c r="Q127">
        <f t="shared" si="14"/>
        <v>0</v>
      </c>
      <c r="R127" t="b">
        <v>0</v>
      </c>
      <c r="T127" s="10">
        <v>0.361111111111111</v>
      </c>
      <c r="U127" s="10">
        <v>0.413888888888889</v>
      </c>
      <c r="V127">
        <v>76</v>
      </c>
      <c r="W127" t="b">
        <v>1</v>
      </c>
      <c r="X127" t="s">
        <v>23</v>
      </c>
    </row>
    <row r="128" spans="1:24">
      <c r="A128">
        <v>127</v>
      </c>
      <c r="B128" t="s">
        <v>268</v>
      </c>
      <c r="C128" t="s">
        <v>16</v>
      </c>
      <c r="D128" s="9">
        <v>38337</v>
      </c>
      <c r="E128" s="9" t="str">
        <f t="shared" si="8"/>
        <v>below 20</v>
      </c>
      <c r="F128">
        <v>19</v>
      </c>
      <c r="G128" t="s">
        <v>21</v>
      </c>
      <c r="H128">
        <v>3</v>
      </c>
      <c r="I128" t="s">
        <v>241</v>
      </c>
      <c r="K128">
        <f t="shared" si="15"/>
        <v>0</v>
      </c>
      <c r="L128">
        <f t="shared" si="9"/>
        <v>0</v>
      </c>
      <c r="M128">
        <f t="shared" si="10"/>
        <v>1</v>
      </c>
      <c r="N128">
        <f t="shared" si="11"/>
        <v>1</v>
      </c>
      <c r="O128">
        <f t="shared" si="12"/>
        <v>1</v>
      </c>
      <c r="P128">
        <f t="shared" si="13"/>
        <v>0</v>
      </c>
      <c r="Q128">
        <f t="shared" si="14"/>
        <v>0</v>
      </c>
      <c r="R128" t="b">
        <v>0</v>
      </c>
      <c r="T128" s="10">
        <v>0.456944444444444</v>
      </c>
      <c r="U128" s="10">
        <v>0.527083333333333</v>
      </c>
      <c r="V128">
        <v>101</v>
      </c>
      <c r="W128" t="b">
        <v>1</v>
      </c>
      <c r="X128" t="s">
        <v>50</v>
      </c>
    </row>
    <row r="129" spans="1:24">
      <c r="A129">
        <v>128</v>
      </c>
      <c r="B129" t="s">
        <v>269</v>
      </c>
      <c r="C129" t="s">
        <v>16</v>
      </c>
      <c r="D129" s="9">
        <v>33661</v>
      </c>
      <c r="E129" s="9" t="str">
        <f t="shared" si="8"/>
        <v>31-41</v>
      </c>
      <c r="F129">
        <v>32</v>
      </c>
      <c r="G129" t="s">
        <v>17</v>
      </c>
      <c r="H129">
        <v>3</v>
      </c>
      <c r="I129" t="s">
        <v>251</v>
      </c>
      <c r="K129">
        <f t="shared" si="15"/>
        <v>1</v>
      </c>
      <c r="L129">
        <f t="shared" si="9"/>
        <v>0</v>
      </c>
      <c r="M129">
        <f t="shared" si="10"/>
        <v>1</v>
      </c>
      <c r="N129">
        <f t="shared" si="11"/>
        <v>1</v>
      </c>
      <c r="O129">
        <f t="shared" si="12"/>
        <v>0</v>
      </c>
      <c r="P129">
        <f t="shared" si="13"/>
        <v>0</v>
      </c>
      <c r="Q129">
        <f t="shared" si="14"/>
        <v>0</v>
      </c>
      <c r="R129" t="b">
        <v>0</v>
      </c>
      <c r="T129" s="10">
        <v>0.599305555555556</v>
      </c>
      <c r="U129" s="10">
        <v>0.70625</v>
      </c>
      <c r="V129">
        <v>154</v>
      </c>
      <c r="W129" t="b">
        <v>0</v>
      </c>
    </row>
    <row r="130" spans="1:24">
      <c r="A130">
        <v>129</v>
      </c>
      <c r="B130" t="s">
        <v>270</v>
      </c>
      <c r="C130" t="s">
        <v>25</v>
      </c>
      <c r="D130" s="9">
        <v>28214</v>
      </c>
      <c r="E130" s="9" t="str">
        <f t="shared" ref="E130:E193" si="16">IF(F130&lt;20,"below 20",IF(F130&lt;=30,"20-30",IF(F130&lt;=40,"31-41",IF(F130&lt;=50,"41-50","above 50"))))</f>
        <v>41-50</v>
      </c>
      <c r="F130">
        <v>47</v>
      </c>
      <c r="G130" t="s">
        <v>17</v>
      </c>
      <c r="H130">
        <v>1</v>
      </c>
      <c r="I130" t="s">
        <v>185</v>
      </c>
      <c r="K130">
        <f t="shared" si="15"/>
        <v>0</v>
      </c>
      <c r="L130">
        <f t="shared" si="9"/>
        <v>0</v>
      </c>
      <c r="M130">
        <f t="shared" si="10"/>
        <v>0</v>
      </c>
      <c r="N130">
        <f t="shared" si="11"/>
        <v>1</v>
      </c>
      <c r="O130">
        <f t="shared" si="12"/>
        <v>0</v>
      </c>
      <c r="P130">
        <f t="shared" si="13"/>
        <v>0</v>
      </c>
      <c r="Q130">
        <f t="shared" si="14"/>
        <v>0</v>
      </c>
      <c r="R130" t="b">
        <v>1</v>
      </c>
      <c r="S130" t="s">
        <v>217</v>
      </c>
      <c r="T130" s="10">
        <v>0.516666666666667</v>
      </c>
      <c r="U130" s="10">
        <v>0.550694444444444</v>
      </c>
      <c r="V130">
        <v>49</v>
      </c>
      <c r="W130" t="b">
        <v>1</v>
      </c>
      <c r="X130" t="s">
        <v>50</v>
      </c>
    </row>
    <row r="131" spans="1:24">
      <c r="A131">
        <v>130</v>
      </c>
      <c r="B131" t="s">
        <v>271</v>
      </c>
      <c r="C131" t="s">
        <v>25</v>
      </c>
      <c r="D131" s="9">
        <v>29733</v>
      </c>
      <c r="E131" s="9" t="str">
        <f t="shared" si="16"/>
        <v>41-50</v>
      </c>
      <c r="F131">
        <v>43</v>
      </c>
      <c r="G131" t="s">
        <v>17</v>
      </c>
      <c r="H131">
        <v>2</v>
      </c>
      <c r="I131" t="s">
        <v>272</v>
      </c>
      <c r="K131">
        <f t="shared" si="15"/>
        <v>0</v>
      </c>
      <c r="L131">
        <f t="shared" ref="L131:L194" si="17">--ISNUMBER(SEARCH("Mon",I131))</f>
        <v>0</v>
      </c>
      <c r="M131">
        <f t="shared" ref="M131:M194" si="18">--ISNUMBER(SEARCH("Tue",I131))</f>
        <v>1</v>
      </c>
      <c r="N131">
        <f t="shared" ref="N131:N194" si="19">--ISNUMBER(SEARCH("Wed",I131))</f>
        <v>1</v>
      </c>
      <c r="O131">
        <f t="shared" ref="O131:O194" si="20">--ISNUMBER(SEARCH("Thu",I131))</f>
        <v>0</v>
      </c>
      <c r="P131">
        <f t="shared" ref="P131:P194" si="21">--ISNUMBER(SEARCH("Fri",I131))</f>
        <v>0</v>
      </c>
      <c r="Q131">
        <f t="shared" ref="Q131:Q194" si="22">--ISNUMBER(SEARCH("Sat",I131))</f>
        <v>0</v>
      </c>
      <c r="R131" t="b">
        <v>0</v>
      </c>
      <c r="T131" s="10">
        <v>0.819444444444445</v>
      </c>
      <c r="U131" s="10">
        <v>0.875</v>
      </c>
      <c r="V131">
        <v>80</v>
      </c>
      <c r="W131" t="b">
        <v>1</v>
      </c>
      <c r="X131" t="s">
        <v>23</v>
      </c>
    </row>
    <row r="132" spans="1:24">
      <c r="A132">
        <v>131</v>
      </c>
      <c r="B132" t="s">
        <v>273</v>
      </c>
      <c r="C132" t="s">
        <v>25</v>
      </c>
      <c r="D132" s="9">
        <v>32829</v>
      </c>
      <c r="E132" s="9" t="str">
        <f t="shared" si="16"/>
        <v>31-41</v>
      </c>
      <c r="F132">
        <v>34</v>
      </c>
      <c r="G132" t="s">
        <v>21</v>
      </c>
      <c r="H132">
        <v>3</v>
      </c>
      <c r="I132" t="s">
        <v>65</v>
      </c>
      <c r="K132">
        <f t="shared" si="15"/>
        <v>1</v>
      </c>
      <c r="L132">
        <f t="shared" si="17"/>
        <v>0</v>
      </c>
      <c r="M132">
        <f t="shared" si="18"/>
        <v>0</v>
      </c>
      <c r="N132">
        <f t="shared" si="19"/>
        <v>1</v>
      </c>
      <c r="O132">
        <f t="shared" si="20"/>
        <v>1</v>
      </c>
      <c r="P132">
        <f t="shared" si="21"/>
        <v>0</v>
      </c>
      <c r="Q132">
        <f t="shared" si="22"/>
        <v>0</v>
      </c>
      <c r="R132" t="b">
        <v>0</v>
      </c>
      <c r="T132" s="10">
        <v>0.653472222222222</v>
      </c>
      <c r="U132" s="10">
        <v>0.727083333333333</v>
      </c>
      <c r="V132">
        <v>106</v>
      </c>
      <c r="W132" t="b">
        <v>1</v>
      </c>
      <c r="X132" t="s">
        <v>50</v>
      </c>
    </row>
    <row r="133" spans="1:24">
      <c r="A133">
        <v>132</v>
      </c>
      <c r="B133" t="s">
        <v>274</v>
      </c>
      <c r="C133" t="s">
        <v>25</v>
      </c>
      <c r="D133" s="9">
        <v>37699</v>
      </c>
      <c r="E133" s="9" t="str">
        <f t="shared" si="16"/>
        <v>20-30</v>
      </c>
      <c r="F133">
        <v>21</v>
      </c>
      <c r="G133" t="s">
        <v>17</v>
      </c>
      <c r="H133">
        <v>1</v>
      </c>
      <c r="I133" t="s">
        <v>35</v>
      </c>
      <c r="K133">
        <f t="shared" ref="K133:K196" si="23">--ISNUMBER(SEARCH("Sun",I133))</f>
        <v>0</v>
      </c>
      <c r="L133">
        <f t="shared" si="17"/>
        <v>0</v>
      </c>
      <c r="M133">
        <f t="shared" si="18"/>
        <v>1</v>
      </c>
      <c r="N133">
        <f t="shared" si="19"/>
        <v>0</v>
      </c>
      <c r="O133">
        <f t="shared" si="20"/>
        <v>0</v>
      </c>
      <c r="P133">
        <f t="shared" si="21"/>
        <v>0</v>
      </c>
      <c r="Q133">
        <f t="shared" si="22"/>
        <v>0</v>
      </c>
      <c r="R133" t="b">
        <v>0</v>
      </c>
      <c r="T133" s="10">
        <v>0.757638888888889</v>
      </c>
      <c r="U133" s="10">
        <v>0.822222222222222</v>
      </c>
      <c r="V133">
        <v>93</v>
      </c>
      <c r="W133" t="b">
        <v>1</v>
      </c>
      <c r="X133" t="s">
        <v>50</v>
      </c>
    </row>
    <row r="134" spans="1:24">
      <c r="A134">
        <v>133</v>
      </c>
      <c r="B134" t="s">
        <v>275</v>
      </c>
      <c r="C134" t="s">
        <v>25</v>
      </c>
      <c r="D134" s="9">
        <v>35546</v>
      </c>
      <c r="E134" s="9" t="str">
        <f t="shared" si="16"/>
        <v>20-30</v>
      </c>
      <c r="F134">
        <v>27</v>
      </c>
      <c r="G134" t="s">
        <v>17</v>
      </c>
      <c r="H134">
        <v>2</v>
      </c>
      <c r="I134" t="s">
        <v>40</v>
      </c>
      <c r="K134">
        <f t="shared" si="23"/>
        <v>1</v>
      </c>
      <c r="L134">
        <f t="shared" si="17"/>
        <v>0</v>
      </c>
      <c r="M134">
        <f t="shared" si="18"/>
        <v>0</v>
      </c>
      <c r="N134">
        <f t="shared" si="19"/>
        <v>0</v>
      </c>
      <c r="O134">
        <f t="shared" si="20"/>
        <v>0</v>
      </c>
      <c r="P134">
        <f t="shared" si="21"/>
        <v>0</v>
      </c>
      <c r="Q134">
        <f t="shared" si="22"/>
        <v>1</v>
      </c>
      <c r="R134" t="b">
        <v>1</v>
      </c>
      <c r="S134" t="s">
        <v>174</v>
      </c>
      <c r="T134" s="10">
        <v>0.482638888888889</v>
      </c>
      <c r="U134" s="10">
        <v>0.604861111111111</v>
      </c>
      <c r="V134">
        <v>176</v>
      </c>
      <c r="W134" t="b">
        <v>0</v>
      </c>
    </row>
    <row r="135" spans="1:24">
      <c r="A135">
        <v>134</v>
      </c>
      <c r="B135" t="s">
        <v>276</v>
      </c>
      <c r="C135" t="s">
        <v>16</v>
      </c>
      <c r="D135" s="9">
        <v>34201</v>
      </c>
      <c r="E135" s="9" t="str">
        <f t="shared" si="16"/>
        <v>31-41</v>
      </c>
      <c r="F135">
        <v>31</v>
      </c>
      <c r="G135" t="s">
        <v>17</v>
      </c>
      <c r="H135">
        <v>5</v>
      </c>
      <c r="I135" t="s">
        <v>277</v>
      </c>
      <c r="K135">
        <f t="shared" si="23"/>
        <v>1</v>
      </c>
      <c r="L135">
        <f t="shared" si="17"/>
        <v>1</v>
      </c>
      <c r="M135">
        <f t="shared" si="18"/>
        <v>0</v>
      </c>
      <c r="N135">
        <f t="shared" si="19"/>
        <v>1</v>
      </c>
      <c r="O135">
        <f t="shared" si="20"/>
        <v>1</v>
      </c>
      <c r="P135">
        <f t="shared" si="21"/>
        <v>0</v>
      </c>
      <c r="Q135">
        <f t="shared" si="22"/>
        <v>1</v>
      </c>
      <c r="R135" t="b">
        <v>1</v>
      </c>
      <c r="S135" t="s">
        <v>62</v>
      </c>
      <c r="T135" s="10">
        <v>0.396527777777778</v>
      </c>
      <c r="U135" s="10">
        <v>0.516666666666667</v>
      </c>
      <c r="V135">
        <v>173</v>
      </c>
      <c r="W135" t="b">
        <v>1</v>
      </c>
      <c r="X135" t="s">
        <v>28</v>
      </c>
    </row>
    <row r="136" spans="1:24">
      <c r="A136">
        <v>135</v>
      </c>
      <c r="B136" t="s">
        <v>278</v>
      </c>
      <c r="C136" t="s">
        <v>16</v>
      </c>
      <c r="D136" s="9">
        <v>37760</v>
      </c>
      <c r="E136" s="9" t="str">
        <f t="shared" si="16"/>
        <v>20-30</v>
      </c>
      <c r="F136">
        <v>21</v>
      </c>
      <c r="G136" t="s">
        <v>21</v>
      </c>
      <c r="H136">
        <v>2</v>
      </c>
      <c r="I136" t="s">
        <v>133</v>
      </c>
      <c r="K136">
        <f t="shared" si="23"/>
        <v>1</v>
      </c>
      <c r="L136">
        <f t="shared" si="17"/>
        <v>0</v>
      </c>
      <c r="M136">
        <f t="shared" si="18"/>
        <v>1</v>
      </c>
      <c r="N136">
        <f t="shared" si="19"/>
        <v>0</v>
      </c>
      <c r="O136">
        <f t="shared" si="20"/>
        <v>0</v>
      </c>
      <c r="P136">
        <f t="shared" si="21"/>
        <v>0</v>
      </c>
      <c r="Q136">
        <f t="shared" si="22"/>
        <v>0</v>
      </c>
      <c r="R136" t="b">
        <v>0</v>
      </c>
      <c r="T136" s="10">
        <v>0.545138888888889</v>
      </c>
      <c r="U136" s="10">
        <v>0.584722222222222</v>
      </c>
      <c r="V136">
        <v>57</v>
      </c>
      <c r="W136" t="b">
        <v>1</v>
      </c>
      <c r="X136" t="s">
        <v>28</v>
      </c>
    </row>
    <row r="137" spans="1:24">
      <c r="A137">
        <v>136</v>
      </c>
      <c r="B137" t="s">
        <v>279</v>
      </c>
      <c r="C137" t="s">
        <v>16</v>
      </c>
      <c r="D137" s="9">
        <v>39994</v>
      </c>
      <c r="E137" s="9" t="str">
        <f t="shared" si="16"/>
        <v>below 20</v>
      </c>
      <c r="F137">
        <v>15</v>
      </c>
      <c r="G137" t="s">
        <v>21</v>
      </c>
      <c r="H137">
        <v>2</v>
      </c>
      <c r="I137" t="s">
        <v>138</v>
      </c>
      <c r="K137">
        <f t="shared" si="23"/>
        <v>0</v>
      </c>
      <c r="L137">
        <f t="shared" si="17"/>
        <v>0</v>
      </c>
      <c r="M137">
        <f t="shared" si="18"/>
        <v>1</v>
      </c>
      <c r="N137">
        <f t="shared" si="19"/>
        <v>0</v>
      </c>
      <c r="O137">
        <f t="shared" si="20"/>
        <v>0</v>
      </c>
      <c r="P137">
        <f t="shared" si="21"/>
        <v>1</v>
      </c>
      <c r="Q137">
        <f t="shared" si="22"/>
        <v>0</v>
      </c>
      <c r="R137" t="b">
        <v>0</v>
      </c>
      <c r="T137" s="10">
        <v>0.702083333333333</v>
      </c>
      <c r="U137" s="10">
        <v>0.733333333333333</v>
      </c>
      <c r="V137">
        <v>45</v>
      </c>
      <c r="W137" t="b">
        <v>0</v>
      </c>
    </row>
    <row r="138" spans="1:24">
      <c r="A138">
        <v>137</v>
      </c>
      <c r="B138" t="s">
        <v>280</v>
      </c>
      <c r="C138" t="s">
        <v>16</v>
      </c>
      <c r="D138" s="9">
        <v>38248</v>
      </c>
      <c r="E138" s="9" t="str">
        <f t="shared" si="16"/>
        <v>20-30</v>
      </c>
      <c r="F138">
        <v>20</v>
      </c>
      <c r="G138" t="s">
        <v>17</v>
      </c>
      <c r="H138">
        <v>3</v>
      </c>
      <c r="I138" t="s">
        <v>79</v>
      </c>
      <c r="K138">
        <f t="shared" si="23"/>
        <v>0</v>
      </c>
      <c r="L138">
        <f t="shared" si="17"/>
        <v>1</v>
      </c>
      <c r="M138">
        <f t="shared" si="18"/>
        <v>0</v>
      </c>
      <c r="N138">
        <f t="shared" si="19"/>
        <v>0</v>
      </c>
      <c r="O138">
        <f t="shared" si="20"/>
        <v>0</v>
      </c>
      <c r="P138">
        <f t="shared" si="21"/>
        <v>1</v>
      </c>
      <c r="Q138">
        <f t="shared" si="22"/>
        <v>1</v>
      </c>
      <c r="R138" t="b">
        <v>0</v>
      </c>
      <c r="T138" s="10">
        <v>0.438888888888889</v>
      </c>
      <c r="U138" s="10">
        <v>0.5625</v>
      </c>
      <c r="V138">
        <v>178</v>
      </c>
      <c r="W138" t="b">
        <v>0</v>
      </c>
    </row>
    <row r="139" spans="1:24">
      <c r="A139">
        <v>138</v>
      </c>
      <c r="B139" t="s">
        <v>281</v>
      </c>
      <c r="C139" t="s">
        <v>25</v>
      </c>
      <c r="D139" s="9">
        <v>32243</v>
      </c>
      <c r="E139" s="9" t="str">
        <f t="shared" si="16"/>
        <v>31-41</v>
      </c>
      <c r="F139">
        <v>36</v>
      </c>
      <c r="G139" t="s">
        <v>21</v>
      </c>
      <c r="H139">
        <v>1</v>
      </c>
      <c r="I139" t="s">
        <v>185</v>
      </c>
      <c r="K139">
        <f t="shared" si="23"/>
        <v>0</v>
      </c>
      <c r="L139">
        <f t="shared" si="17"/>
        <v>0</v>
      </c>
      <c r="M139">
        <f t="shared" si="18"/>
        <v>0</v>
      </c>
      <c r="N139">
        <f t="shared" si="19"/>
        <v>1</v>
      </c>
      <c r="O139">
        <f t="shared" si="20"/>
        <v>0</v>
      </c>
      <c r="P139">
        <f t="shared" si="21"/>
        <v>0</v>
      </c>
      <c r="Q139">
        <f t="shared" si="22"/>
        <v>0</v>
      </c>
      <c r="R139" t="b">
        <v>0</v>
      </c>
      <c r="T139" s="10">
        <v>0.871527777777778</v>
      </c>
      <c r="U139" s="10">
        <v>0.927777777777778</v>
      </c>
      <c r="V139">
        <v>81</v>
      </c>
      <c r="W139" t="b">
        <v>0</v>
      </c>
    </row>
    <row r="140" spans="1:24">
      <c r="A140">
        <v>139</v>
      </c>
      <c r="B140" t="s">
        <v>282</v>
      </c>
      <c r="C140" t="s">
        <v>16</v>
      </c>
      <c r="D140" s="9">
        <v>34066</v>
      </c>
      <c r="E140" s="9" t="str">
        <f t="shared" si="16"/>
        <v>31-41</v>
      </c>
      <c r="F140">
        <v>31</v>
      </c>
      <c r="G140" t="s">
        <v>21</v>
      </c>
      <c r="H140">
        <v>5</v>
      </c>
      <c r="I140" t="s">
        <v>283</v>
      </c>
      <c r="K140">
        <f t="shared" si="23"/>
        <v>1</v>
      </c>
      <c r="L140">
        <f t="shared" si="17"/>
        <v>1</v>
      </c>
      <c r="M140">
        <f t="shared" si="18"/>
        <v>1</v>
      </c>
      <c r="N140">
        <f t="shared" si="19"/>
        <v>0</v>
      </c>
      <c r="O140">
        <f t="shared" si="20"/>
        <v>1</v>
      </c>
      <c r="P140">
        <f t="shared" si="21"/>
        <v>1</v>
      </c>
      <c r="Q140">
        <f t="shared" si="22"/>
        <v>0</v>
      </c>
      <c r="R140" t="b">
        <v>0</v>
      </c>
      <c r="T140" s="10">
        <v>0.811111111111111</v>
      </c>
      <c r="U140" s="10">
        <v>0.899305555555555</v>
      </c>
      <c r="V140">
        <v>127</v>
      </c>
      <c r="W140" t="b">
        <v>0</v>
      </c>
    </row>
    <row r="141" spans="1:24">
      <c r="A141">
        <v>140</v>
      </c>
      <c r="B141" t="s">
        <v>284</v>
      </c>
      <c r="C141" t="s">
        <v>16</v>
      </c>
      <c r="D141" s="9">
        <v>40234</v>
      </c>
      <c r="E141" s="9" t="str">
        <f t="shared" si="16"/>
        <v>below 20</v>
      </c>
      <c r="F141">
        <v>14</v>
      </c>
      <c r="G141" t="s">
        <v>21</v>
      </c>
      <c r="H141">
        <v>2</v>
      </c>
      <c r="I141" t="s">
        <v>55</v>
      </c>
      <c r="K141">
        <f t="shared" si="23"/>
        <v>1</v>
      </c>
      <c r="L141">
        <f t="shared" si="17"/>
        <v>0</v>
      </c>
      <c r="M141">
        <f t="shared" si="18"/>
        <v>0</v>
      </c>
      <c r="N141">
        <f t="shared" si="19"/>
        <v>1</v>
      </c>
      <c r="O141">
        <f t="shared" si="20"/>
        <v>0</v>
      </c>
      <c r="P141">
        <f t="shared" si="21"/>
        <v>0</v>
      </c>
      <c r="Q141">
        <f t="shared" si="22"/>
        <v>0</v>
      </c>
      <c r="R141" t="b">
        <v>1</v>
      </c>
      <c r="S141" t="s">
        <v>285</v>
      </c>
      <c r="T141" s="10">
        <v>0.439583333333333</v>
      </c>
      <c r="U141" s="10">
        <v>0.461805555555556</v>
      </c>
      <c r="V141">
        <v>32</v>
      </c>
      <c r="W141" t="b">
        <v>0</v>
      </c>
    </row>
    <row r="142" spans="1:24">
      <c r="A142">
        <v>141</v>
      </c>
      <c r="B142" t="s">
        <v>286</v>
      </c>
      <c r="C142" t="s">
        <v>25</v>
      </c>
      <c r="D142" s="9">
        <v>30830</v>
      </c>
      <c r="E142" s="9" t="str">
        <f t="shared" si="16"/>
        <v>31-41</v>
      </c>
      <c r="F142">
        <v>40</v>
      </c>
      <c r="G142" t="s">
        <v>17</v>
      </c>
      <c r="H142">
        <v>3</v>
      </c>
      <c r="I142" t="s">
        <v>30</v>
      </c>
      <c r="K142">
        <f t="shared" si="23"/>
        <v>0</v>
      </c>
      <c r="L142">
        <f t="shared" si="17"/>
        <v>0</v>
      </c>
      <c r="M142">
        <f t="shared" si="18"/>
        <v>1</v>
      </c>
      <c r="N142">
        <f t="shared" si="19"/>
        <v>0</v>
      </c>
      <c r="O142">
        <f t="shared" si="20"/>
        <v>0</v>
      </c>
      <c r="P142">
        <f t="shared" si="21"/>
        <v>1</v>
      </c>
      <c r="Q142">
        <f t="shared" si="22"/>
        <v>1</v>
      </c>
      <c r="R142" t="b">
        <v>1</v>
      </c>
      <c r="S142" t="s">
        <v>287</v>
      </c>
      <c r="T142" s="10">
        <v>0.832638888888889</v>
      </c>
      <c r="U142" s="10">
        <v>0.942361111111111</v>
      </c>
      <c r="V142">
        <v>158</v>
      </c>
      <c r="W142" t="b">
        <v>1</v>
      </c>
      <c r="X142" t="s">
        <v>28</v>
      </c>
    </row>
    <row r="143" spans="1:24">
      <c r="A143">
        <v>142</v>
      </c>
      <c r="B143" t="s">
        <v>288</v>
      </c>
      <c r="C143" t="s">
        <v>16</v>
      </c>
      <c r="D143" s="9">
        <v>37322</v>
      </c>
      <c r="E143" s="9" t="str">
        <f t="shared" si="16"/>
        <v>20-30</v>
      </c>
      <c r="F143">
        <v>22</v>
      </c>
      <c r="G143" t="s">
        <v>21</v>
      </c>
      <c r="H143">
        <v>5</v>
      </c>
      <c r="I143" t="s">
        <v>289</v>
      </c>
      <c r="K143">
        <f t="shared" si="23"/>
        <v>1</v>
      </c>
      <c r="L143">
        <f t="shared" si="17"/>
        <v>1</v>
      </c>
      <c r="M143">
        <f t="shared" si="18"/>
        <v>1</v>
      </c>
      <c r="N143">
        <f t="shared" si="19"/>
        <v>1</v>
      </c>
      <c r="O143">
        <f t="shared" si="20"/>
        <v>1</v>
      </c>
      <c r="P143">
        <f t="shared" si="21"/>
        <v>0</v>
      </c>
      <c r="Q143">
        <f t="shared" si="22"/>
        <v>0</v>
      </c>
      <c r="R143" t="b">
        <v>1</v>
      </c>
      <c r="S143" t="s">
        <v>290</v>
      </c>
      <c r="T143" s="10">
        <v>0.342361111111111</v>
      </c>
      <c r="U143" s="10">
        <v>0.464583333333333</v>
      </c>
      <c r="V143">
        <v>176</v>
      </c>
      <c r="W143" t="b">
        <v>0</v>
      </c>
    </row>
    <row r="144" spans="1:24">
      <c r="A144">
        <v>143</v>
      </c>
      <c r="B144" t="s">
        <v>291</v>
      </c>
      <c r="C144" t="s">
        <v>16</v>
      </c>
      <c r="D144" s="9">
        <v>39526</v>
      </c>
      <c r="E144" s="9" t="str">
        <f t="shared" si="16"/>
        <v>below 20</v>
      </c>
      <c r="F144">
        <v>16</v>
      </c>
      <c r="G144" t="s">
        <v>17</v>
      </c>
      <c r="H144">
        <v>3</v>
      </c>
      <c r="I144" t="s">
        <v>98</v>
      </c>
      <c r="K144">
        <f t="shared" si="23"/>
        <v>0</v>
      </c>
      <c r="L144">
        <f t="shared" si="17"/>
        <v>1</v>
      </c>
      <c r="M144">
        <f t="shared" si="18"/>
        <v>0</v>
      </c>
      <c r="N144">
        <f t="shared" si="19"/>
        <v>0</v>
      </c>
      <c r="O144">
        <f t="shared" si="20"/>
        <v>1</v>
      </c>
      <c r="P144">
        <f t="shared" si="21"/>
        <v>1</v>
      </c>
      <c r="Q144">
        <f t="shared" si="22"/>
        <v>0</v>
      </c>
      <c r="R144" t="b">
        <v>0</v>
      </c>
      <c r="T144" s="10">
        <v>0.722916666666667</v>
      </c>
      <c r="U144" s="10">
        <v>0.805555555555555</v>
      </c>
      <c r="V144">
        <v>119</v>
      </c>
      <c r="W144" t="b">
        <v>1</v>
      </c>
      <c r="X144" t="s">
        <v>23</v>
      </c>
    </row>
    <row r="145" spans="1:24">
      <c r="A145">
        <v>144</v>
      </c>
      <c r="B145" t="s">
        <v>292</v>
      </c>
      <c r="C145" t="s">
        <v>25</v>
      </c>
      <c r="D145" s="9">
        <v>27464</v>
      </c>
      <c r="E145" s="9" t="str">
        <f t="shared" si="16"/>
        <v>41-50</v>
      </c>
      <c r="F145">
        <v>49</v>
      </c>
      <c r="G145" t="s">
        <v>17</v>
      </c>
      <c r="H145">
        <v>3</v>
      </c>
      <c r="I145" t="s">
        <v>164</v>
      </c>
      <c r="K145">
        <f t="shared" si="23"/>
        <v>0</v>
      </c>
      <c r="L145">
        <f t="shared" si="17"/>
        <v>0</v>
      </c>
      <c r="M145">
        <f t="shared" si="18"/>
        <v>1</v>
      </c>
      <c r="N145">
        <f t="shared" si="19"/>
        <v>0</v>
      </c>
      <c r="O145">
        <f t="shared" si="20"/>
        <v>1</v>
      </c>
      <c r="P145">
        <f t="shared" si="21"/>
        <v>1</v>
      </c>
      <c r="Q145">
        <f t="shared" si="22"/>
        <v>0</v>
      </c>
      <c r="R145" t="b">
        <v>1</v>
      </c>
      <c r="S145" t="s">
        <v>293</v>
      </c>
      <c r="T145" s="10">
        <v>0.854166666666667</v>
      </c>
      <c r="U145" s="10">
        <v>0.953472222222222</v>
      </c>
      <c r="V145">
        <v>143</v>
      </c>
      <c r="W145" t="b">
        <v>1</v>
      </c>
      <c r="X145" t="s">
        <v>47</v>
      </c>
    </row>
    <row r="146" spans="1:24">
      <c r="A146">
        <v>145</v>
      </c>
      <c r="B146" t="s">
        <v>294</v>
      </c>
      <c r="C146" t="s">
        <v>16</v>
      </c>
      <c r="D146" s="9">
        <v>40350</v>
      </c>
      <c r="E146" s="9" t="str">
        <f t="shared" si="16"/>
        <v>below 20</v>
      </c>
      <c r="F146">
        <v>14</v>
      </c>
      <c r="G146" t="s">
        <v>17</v>
      </c>
      <c r="H146">
        <v>3</v>
      </c>
      <c r="I146" t="s">
        <v>295</v>
      </c>
      <c r="K146">
        <f t="shared" si="23"/>
        <v>1</v>
      </c>
      <c r="L146">
        <f t="shared" si="17"/>
        <v>0</v>
      </c>
      <c r="M146">
        <f t="shared" si="18"/>
        <v>0</v>
      </c>
      <c r="N146">
        <f t="shared" si="19"/>
        <v>0</v>
      </c>
      <c r="O146">
        <f t="shared" si="20"/>
        <v>1</v>
      </c>
      <c r="P146">
        <f t="shared" si="21"/>
        <v>0</v>
      </c>
      <c r="Q146">
        <f t="shared" si="22"/>
        <v>1</v>
      </c>
      <c r="R146" t="b">
        <v>0</v>
      </c>
      <c r="T146" s="10">
        <v>0.424305555555556</v>
      </c>
      <c r="U146" s="10">
        <v>0.460416666666667</v>
      </c>
      <c r="V146">
        <v>52</v>
      </c>
      <c r="W146" t="b">
        <v>0</v>
      </c>
    </row>
    <row r="147" spans="1:24">
      <c r="A147">
        <v>146</v>
      </c>
      <c r="B147" t="s">
        <v>296</v>
      </c>
      <c r="C147" t="s">
        <v>16</v>
      </c>
      <c r="D147" s="9">
        <v>40410</v>
      </c>
      <c r="E147" s="9" t="str">
        <f t="shared" si="16"/>
        <v>below 20</v>
      </c>
      <c r="F147">
        <v>14</v>
      </c>
      <c r="G147" t="s">
        <v>21</v>
      </c>
      <c r="H147">
        <v>5</v>
      </c>
      <c r="I147" t="s">
        <v>283</v>
      </c>
      <c r="K147">
        <f t="shared" si="23"/>
        <v>1</v>
      </c>
      <c r="L147">
        <f t="shared" si="17"/>
        <v>1</v>
      </c>
      <c r="M147">
        <f t="shared" si="18"/>
        <v>1</v>
      </c>
      <c r="N147">
        <f t="shared" si="19"/>
        <v>0</v>
      </c>
      <c r="O147">
        <f t="shared" si="20"/>
        <v>1</v>
      </c>
      <c r="P147">
        <f t="shared" si="21"/>
        <v>1</v>
      </c>
      <c r="Q147">
        <f t="shared" si="22"/>
        <v>0</v>
      </c>
      <c r="R147" t="b">
        <v>1</v>
      </c>
      <c r="S147" t="s">
        <v>107</v>
      </c>
      <c r="T147" s="10">
        <v>0.849305555555556</v>
      </c>
      <c r="U147" s="10">
        <v>0.890972222222222</v>
      </c>
      <c r="V147">
        <v>60</v>
      </c>
      <c r="W147" t="b">
        <v>1</v>
      </c>
      <c r="X147" t="s">
        <v>28</v>
      </c>
    </row>
    <row r="148" spans="1:24">
      <c r="A148">
        <v>147</v>
      </c>
      <c r="B148" t="s">
        <v>297</v>
      </c>
      <c r="C148" t="s">
        <v>25</v>
      </c>
      <c r="D148" s="9">
        <v>32219</v>
      </c>
      <c r="E148" s="9" t="str">
        <f t="shared" si="16"/>
        <v>31-41</v>
      </c>
      <c r="F148">
        <v>36</v>
      </c>
      <c r="G148" t="s">
        <v>21</v>
      </c>
      <c r="H148">
        <v>3</v>
      </c>
      <c r="I148" t="s">
        <v>251</v>
      </c>
      <c r="K148">
        <f t="shared" si="23"/>
        <v>1</v>
      </c>
      <c r="L148">
        <f t="shared" si="17"/>
        <v>0</v>
      </c>
      <c r="M148">
        <f t="shared" si="18"/>
        <v>1</v>
      </c>
      <c r="N148">
        <f t="shared" si="19"/>
        <v>1</v>
      </c>
      <c r="O148">
        <f t="shared" si="20"/>
        <v>0</v>
      </c>
      <c r="P148">
        <f t="shared" si="21"/>
        <v>0</v>
      </c>
      <c r="Q148">
        <f t="shared" si="22"/>
        <v>0</v>
      </c>
      <c r="R148" t="b">
        <v>1</v>
      </c>
      <c r="S148" t="s">
        <v>217</v>
      </c>
      <c r="T148" s="10">
        <v>0.763194444444444</v>
      </c>
      <c r="U148" s="10">
        <v>0.825</v>
      </c>
      <c r="V148">
        <v>89</v>
      </c>
      <c r="W148" t="b">
        <v>0</v>
      </c>
    </row>
    <row r="149" spans="1:24">
      <c r="A149">
        <v>148</v>
      </c>
      <c r="B149" t="s">
        <v>298</v>
      </c>
      <c r="C149" t="s">
        <v>25</v>
      </c>
      <c r="D149" s="9">
        <v>32224</v>
      </c>
      <c r="E149" s="9" t="str">
        <f t="shared" si="16"/>
        <v>31-41</v>
      </c>
      <c r="F149">
        <v>36</v>
      </c>
      <c r="G149" t="s">
        <v>17</v>
      </c>
      <c r="H149">
        <v>2</v>
      </c>
      <c r="I149" t="s">
        <v>187</v>
      </c>
      <c r="K149">
        <f t="shared" si="23"/>
        <v>0</v>
      </c>
      <c r="L149">
        <f t="shared" si="17"/>
        <v>0</v>
      </c>
      <c r="M149">
        <f t="shared" si="18"/>
        <v>0</v>
      </c>
      <c r="N149">
        <f t="shared" si="19"/>
        <v>1</v>
      </c>
      <c r="O149">
        <f t="shared" si="20"/>
        <v>1</v>
      </c>
      <c r="P149">
        <f t="shared" si="21"/>
        <v>0</v>
      </c>
      <c r="Q149">
        <f t="shared" si="22"/>
        <v>0</v>
      </c>
      <c r="R149" t="b">
        <v>1</v>
      </c>
      <c r="S149" t="s">
        <v>299</v>
      </c>
      <c r="T149" s="10">
        <v>0.380555555555556</v>
      </c>
      <c r="U149" s="10">
        <v>0.501388888888889</v>
      </c>
      <c r="V149">
        <v>174</v>
      </c>
      <c r="W149" t="b">
        <v>1</v>
      </c>
      <c r="X149" t="s">
        <v>28</v>
      </c>
    </row>
    <row r="150" spans="1:24">
      <c r="A150">
        <v>149</v>
      </c>
      <c r="B150" t="s">
        <v>300</v>
      </c>
      <c r="C150" t="s">
        <v>25</v>
      </c>
      <c r="D150" s="9">
        <v>35975</v>
      </c>
      <c r="E150" s="9" t="str">
        <f t="shared" si="16"/>
        <v>20-30</v>
      </c>
      <c r="F150">
        <v>26</v>
      </c>
      <c r="G150" t="s">
        <v>21</v>
      </c>
      <c r="H150">
        <v>2</v>
      </c>
      <c r="I150" t="s">
        <v>187</v>
      </c>
      <c r="K150">
        <f t="shared" si="23"/>
        <v>0</v>
      </c>
      <c r="L150">
        <f t="shared" si="17"/>
        <v>0</v>
      </c>
      <c r="M150">
        <f t="shared" si="18"/>
        <v>0</v>
      </c>
      <c r="N150">
        <f t="shared" si="19"/>
        <v>1</v>
      </c>
      <c r="O150">
        <f t="shared" si="20"/>
        <v>1</v>
      </c>
      <c r="P150">
        <f t="shared" si="21"/>
        <v>0</v>
      </c>
      <c r="Q150">
        <f t="shared" si="22"/>
        <v>0</v>
      </c>
      <c r="R150" t="b">
        <v>0</v>
      </c>
      <c r="T150" s="10">
        <v>0.747916666666667</v>
      </c>
      <c r="U150" s="10">
        <v>0.825694444444444</v>
      </c>
      <c r="V150">
        <v>112</v>
      </c>
      <c r="W150" t="b">
        <v>0</v>
      </c>
    </row>
    <row r="151" spans="1:24">
      <c r="A151">
        <v>150</v>
      </c>
      <c r="B151" t="s">
        <v>301</v>
      </c>
      <c r="C151" t="s">
        <v>25</v>
      </c>
      <c r="D151" s="9">
        <v>38530</v>
      </c>
      <c r="E151" s="9" t="str">
        <f t="shared" si="16"/>
        <v>below 20</v>
      </c>
      <c r="F151">
        <v>19</v>
      </c>
      <c r="G151" t="s">
        <v>17</v>
      </c>
      <c r="H151">
        <v>1</v>
      </c>
      <c r="I151" t="s">
        <v>46</v>
      </c>
      <c r="K151">
        <f t="shared" si="23"/>
        <v>0</v>
      </c>
      <c r="L151">
        <f t="shared" si="17"/>
        <v>1</v>
      </c>
      <c r="M151">
        <f t="shared" si="18"/>
        <v>0</v>
      </c>
      <c r="N151">
        <f t="shared" si="19"/>
        <v>0</v>
      </c>
      <c r="O151">
        <f t="shared" si="20"/>
        <v>0</v>
      </c>
      <c r="P151">
        <f t="shared" si="21"/>
        <v>0</v>
      </c>
      <c r="Q151">
        <f t="shared" si="22"/>
        <v>0</v>
      </c>
      <c r="R151" t="b">
        <v>0</v>
      </c>
      <c r="T151" s="10">
        <v>0.673611111111111</v>
      </c>
      <c r="U151" s="10">
        <v>0.730555555555556</v>
      </c>
      <c r="V151">
        <v>82</v>
      </c>
      <c r="W151" t="b">
        <v>1</v>
      </c>
      <c r="X151" t="s">
        <v>28</v>
      </c>
    </row>
    <row r="152" spans="1:24">
      <c r="A152">
        <v>151</v>
      </c>
      <c r="B152" t="s">
        <v>302</v>
      </c>
      <c r="C152" t="s">
        <v>25</v>
      </c>
      <c r="D152" s="9">
        <v>34732</v>
      </c>
      <c r="E152" s="9" t="str">
        <f t="shared" si="16"/>
        <v>20-30</v>
      </c>
      <c r="F152">
        <v>29</v>
      </c>
      <c r="G152" t="s">
        <v>17</v>
      </c>
      <c r="H152">
        <v>2</v>
      </c>
      <c r="I152" t="s">
        <v>121</v>
      </c>
      <c r="K152">
        <f t="shared" si="23"/>
        <v>0</v>
      </c>
      <c r="L152">
        <f t="shared" si="17"/>
        <v>0</v>
      </c>
      <c r="M152">
        <f t="shared" si="18"/>
        <v>0</v>
      </c>
      <c r="N152">
        <f t="shared" si="19"/>
        <v>1</v>
      </c>
      <c r="O152">
        <f t="shared" si="20"/>
        <v>0</v>
      </c>
      <c r="P152">
        <f t="shared" si="21"/>
        <v>1</v>
      </c>
      <c r="Q152">
        <f t="shared" si="22"/>
        <v>0</v>
      </c>
      <c r="R152" t="b">
        <v>1</v>
      </c>
      <c r="S152" t="s">
        <v>303</v>
      </c>
      <c r="T152" s="10">
        <v>0.84375</v>
      </c>
      <c r="U152" s="10">
        <v>0.882638888888889</v>
      </c>
      <c r="V152">
        <v>56</v>
      </c>
      <c r="W152" t="b">
        <v>0</v>
      </c>
    </row>
    <row r="153" spans="1:24">
      <c r="A153">
        <v>152</v>
      </c>
      <c r="B153" t="s">
        <v>304</v>
      </c>
      <c r="C153" t="s">
        <v>25</v>
      </c>
      <c r="D153" s="9">
        <v>35698</v>
      </c>
      <c r="E153" s="9" t="str">
        <f t="shared" si="16"/>
        <v>20-30</v>
      </c>
      <c r="F153">
        <v>27</v>
      </c>
      <c r="G153" t="s">
        <v>17</v>
      </c>
      <c r="H153">
        <v>2</v>
      </c>
      <c r="I153" t="s">
        <v>189</v>
      </c>
      <c r="K153">
        <f t="shared" si="23"/>
        <v>0</v>
      </c>
      <c r="L153">
        <f t="shared" si="17"/>
        <v>1</v>
      </c>
      <c r="M153">
        <f t="shared" si="18"/>
        <v>1</v>
      </c>
      <c r="N153">
        <f t="shared" si="19"/>
        <v>0</v>
      </c>
      <c r="O153">
        <f t="shared" si="20"/>
        <v>0</v>
      </c>
      <c r="P153">
        <f t="shared" si="21"/>
        <v>0</v>
      </c>
      <c r="Q153">
        <f t="shared" si="22"/>
        <v>0</v>
      </c>
      <c r="R153" t="b">
        <v>0</v>
      </c>
      <c r="T153" s="10">
        <v>0.863888888888889</v>
      </c>
      <c r="U153" s="10">
        <v>0.897916666666667</v>
      </c>
      <c r="V153">
        <v>49</v>
      </c>
      <c r="W153" t="b">
        <v>1</v>
      </c>
      <c r="X153" t="s">
        <v>50</v>
      </c>
    </row>
    <row r="154" spans="1:24">
      <c r="A154">
        <v>153</v>
      </c>
      <c r="B154" t="s">
        <v>305</v>
      </c>
      <c r="C154" t="s">
        <v>25</v>
      </c>
      <c r="D154" s="9">
        <v>28328</v>
      </c>
      <c r="E154" s="9" t="str">
        <f t="shared" si="16"/>
        <v>41-50</v>
      </c>
      <c r="F154">
        <v>47</v>
      </c>
      <c r="G154" t="s">
        <v>17</v>
      </c>
      <c r="H154">
        <v>2</v>
      </c>
      <c r="I154" t="s">
        <v>306</v>
      </c>
      <c r="K154">
        <f t="shared" si="23"/>
        <v>1</v>
      </c>
      <c r="L154">
        <f t="shared" si="17"/>
        <v>0</v>
      </c>
      <c r="M154">
        <f t="shared" si="18"/>
        <v>0</v>
      </c>
      <c r="N154">
        <f t="shared" si="19"/>
        <v>0</v>
      </c>
      <c r="O154">
        <f t="shared" si="20"/>
        <v>1</v>
      </c>
      <c r="P154">
        <f t="shared" si="21"/>
        <v>0</v>
      </c>
      <c r="Q154">
        <f t="shared" si="22"/>
        <v>0</v>
      </c>
      <c r="R154" t="b">
        <v>1</v>
      </c>
      <c r="S154" t="s">
        <v>307</v>
      </c>
      <c r="T154" s="10">
        <v>0.695138888888889</v>
      </c>
      <c r="U154" s="10">
        <v>0.719444444444444</v>
      </c>
      <c r="V154">
        <v>35</v>
      </c>
      <c r="W154" t="b">
        <v>1</v>
      </c>
      <c r="X154" t="s">
        <v>23</v>
      </c>
    </row>
    <row r="155" spans="1:24">
      <c r="A155">
        <v>154</v>
      </c>
      <c r="B155" t="s">
        <v>308</v>
      </c>
      <c r="C155" t="s">
        <v>25</v>
      </c>
      <c r="D155" s="9">
        <v>31122</v>
      </c>
      <c r="E155" s="9" t="str">
        <f t="shared" si="16"/>
        <v>31-41</v>
      </c>
      <c r="F155">
        <v>39</v>
      </c>
      <c r="G155" t="s">
        <v>21</v>
      </c>
      <c r="H155">
        <v>2</v>
      </c>
      <c r="I155" t="s">
        <v>72</v>
      </c>
      <c r="K155">
        <f t="shared" si="23"/>
        <v>0</v>
      </c>
      <c r="L155">
        <f t="shared" si="17"/>
        <v>0</v>
      </c>
      <c r="M155">
        <f t="shared" si="18"/>
        <v>0</v>
      </c>
      <c r="N155">
        <f t="shared" si="19"/>
        <v>0</v>
      </c>
      <c r="O155">
        <f t="shared" si="20"/>
        <v>1</v>
      </c>
      <c r="P155">
        <f t="shared" si="21"/>
        <v>0</v>
      </c>
      <c r="Q155">
        <f t="shared" si="22"/>
        <v>1</v>
      </c>
      <c r="R155" t="b">
        <v>1</v>
      </c>
      <c r="S155" t="s">
        <v>19</v>
      </c>
      <c r="T155" s="10">
        <v>0.470833333333333</v>
      </c>
      <c r="U155" s="10">
        <v>0.543055555555556</v>
      </c>
      <c r="V155">
        <v>104</v>
      </c>
      <c r="W155" t="b">
        <v>1</v>
      </c>
      <c r="X155" t="s">
        <v>28</v>
      </c>
    </row>
    <row r="156" spans="1:24">
      <c r="A156">
        <v>155</v>
      </c>
      <c r="B156" t="s">
        <v>309</v>
      </c>
      <c r="C156" t="s">
        <v>25</v>
      </c>
      <c r="D156" s="9">
        <v>28364</v>
      </c>
      <c r="E156" s="9" t="str">
        <f t="shared" si="16"/>
        <v>41-50</v>
      </c>
      <c r="F156">
        <v>47</v>
      </c>
      <c r="G156" t="s">
        <v>21</v>
      </c>
      <c r="H156">
        <v>1</v>
      </c>
      <c r="I156" t="s">
        <v>46</v>
      </c>
      <c r="K156">
        <f t="shared" si="23"/>
        <v>0</v>
      </c>
      <c r="L156">
        <f t="shared" si="17"/>
        <v>1</v>
      </c>
      <c r="M156">
        <f t="shared" si="18"/>
        <v>0</v>
      </c>
      <c r="N156">
        <f t="shared" si="19"/>
        <v>0</v>
      </c>
      <c r="O156">
        <f t="shared" si="20"/>
        <v>0</v>
      </c>
      <c r="P156">
        <f t="shared" si="21"/>
        <v>0</v>
      </c>
      <c r="Q156">
        <f t="shared" si="22"/>
        <v>0</v>
      </c>
      <c r="R156" t="b">
        <v>0</v>
      </c>
      <c r="T156" s="10">
        <v>0.611805555555556</v>
      </c>
      <c r="U156" s="10">
        <v>0.634722222222222</v>
      </c>
      <c r="V156">
        <v>33</v>
      </c>
      <c r="W156" t="b">
        <v>1</v>
      </c>
      <c r="X156" t="s">
        <v>50</v>
      </c>
    </row>
    <row r="157" spans="1:24">
      <c r="A157">
        <v>156</v>
      </c>
      <c r="B157" t="s">
        <v>310</v>
      </c>
      <c r="C157" t="s">
        <v>16</v>
      </c>
      <c r="D157" s="9">
        <v>38018</v>
      </c>
      <c r="E157" s="9" t="str">
        <f t="shared" si="16"/>
        <v>20-30</v>
      </c>
      <c r="F157">
        <v>20</v>
      </c>
      <c r="G157" t="s">
        <v>17</v>
      </c>
      <c r="H157">
        <v>2</v>
      </c>
      <c r="I157" t="s">
        <v>101</v>
      </c>
      <c r="K157">
        <f t="shared" si="23"/>
        <v>0</v>
      </c>
      <c r="L157">
        <f t="shared" si="17"/>
        <v>0</v>
      </c>
      <c r="M157">
        <f t="shared" si="18"/>
        <v>0</v>
      </c>
      <c r="N157">
        <f t="shared" si="19"/>
        <v>0</v>
      </c>
      <c r="O157">
        <f t="shared" si="20"/>
        <v>0</v>
      </c>
      <c r="P157">
        <f t="shared" si="21"/>
        <v>1</v>
      </c>
      <c r="Q157">
        <f t="shared" si="22"/>
        <v>1</v>
      </c>
      <c r="R157" t="b">
        <v>0</v>
      </c>
      <c r="T157" s="10">
        <v>0.7875</v>
      </c>
      <c r="U157" s="10">
        <v>0.836111111111111</v>
      </c>
      <c r="V157">
        <v>70</v>
      </c>
      <c r="W157" t="b">
        <v>1</v>
      </c>
      <c r="X157" t="s">
        <v>23</v>
      </c>
    </row>
    <row r="158" spans="1:24">
      <c r="A158">
        <v>157</v>
      </c>
      <c r="B158" t="s">
        <v>311</v>
      </c>
      <c r="C158" t="s">
        <v>16</v>
      </c>
      <c r="D158" s="9">
        <v>38229</v>
      </c>
      <c r="E158" s="9" t="str">
        <f t="shared" si="16"/>
        <v>20-30</v>
      </c>
      <c r="F158">
        <v>20</v>
      </c>
      <c r="G158" t="s">
        <v>21</v>
      </c>
      <c r="H158">
        <v>4</v>
      </c>
      <c r="I158" t="s">
        <v>312</v>
      </c>
      <c r="K158">
        <f t="shared" si="23"/>
        <v>0</v>
      </c>
      <c r="L158">
        <f t="shared" si="17"/>
        <v>0</v>
      </c>
      <c r="M158">
        <f t="shared" si="18"/>
        <v>1</v>
      </c>
      <c r="N158">
        <f t="shared" si="19"/>
        <v>0</v>
      </c>
      <c r="O158">
        <f t="shared" si="20"/>
        <v>1</v>
      </c>
      <c r="P158">
        <f t="shared" si="21"/>
        <v>1</v>
      </c>
      <c r="Q158">
        <f t="shared" si="22"/>
        <v>1</v>
      </c>
      <c r="R158" t="b">
        <v>0</v>
      </c>
      <c r="T158" s="10">
        <v>0.49375</v>
      </c>
      <c r="U158" s="10">
        <v>0.550694444444444</v>
      </c>
      <c r="V158">
        <v>82</v>
      </c>
      <c r="W158" t="b">
        <v>1</v>
      </c>
      <c r="X158" t="s">
        <v>47</v>
      </c>
    </row>
    <row r="159" spans="1:24">
      <c r="A159">
        <v>158</v>
      </c>
      <c r="B159" t="s">
        <v>313</v>
      </c>
      <c r="C159" t="s">
        <v>25</v>
      </c>
      <c r="D159" s="9">
        <v>37289</v>
      </c>
      <c r="E159" s="9" t="str">
        <f t="shared" si="16"/>
        <v>20-30</v>
      </c>
      <c r="F159">
        <v>22</v>
      </c>
      <c r="G159" t="s">
        <v>21</v>
      </c>
      <c r="H159">
        <v>2</v>
      </c>
      <c r="I159" t="s">
        <v>189</v>
      </c>
      <c r="K159">
        <f t="shared" si="23"/>
        <v>0</v>
      </c>
      <c r="L159">
        <f t="shared" si="17"/>
        <v>1</v>
      </c>
      <c r="M159">
        <f t="shared" si="18"/>
        <v>1</v>
      </c>
      <c r="N159">
        <f t="shared" si="19"/>
        <v>0</v>
      </c>
      <c r="O159">
        <f t="shared" si="20"/>
        <v>0</v>
      </c>
      <c r="P159">
        <f t="shared" si="21"/>
        <v>0</v>
      </c>
      <c r="Q159">
        <f t="shared" si="22"/>
        <v>0</v>
      </c>
      <c r="R159" t="b">
        <v>0</v>
      </c>
      <c r="T159" s="10">
        <v>0.591666666666667</v>
      </c>
      <c r="U159" s="10">
        <v>0.650694444444444</v>
      </c>
      <c r="V159">
        <v>85</v>
      </c>
      <c r="W159" t="b">
        <v>1</v>
      </c>
      <c r="X159" t="s">
        <v>28</v>
      </c>
    </row>
    <row r="160" spans="1:24">
      <c r="A160">
        <v>159</v>
      </c>
      <c r="B160" t="s">
        <v>314</v>
      </c>
      <c r="C160" t="s">
        <v>16</v>
      </c>
      <c r="D160" s="9">
        <v>37410</v>
      </c>
      <c r="E160" s="9" t="str">
        <f t="shared" si="16"/>
        <v>20-30</v>
      </c>
      <c r="F160">
        <v>22</v>
      </c>
      <c r="G160" t="s">
        <v>21</v>
      </c>
      <c r="H160">
        <v>3</v>
      </c>
      <c r="I160" t="s">
        <v>315</v>
      </c>
      <c r="K160">
        <f t="shared" si="23"/>
        <v>0</v>
      </c>
      <c r="L160">
        <f t="shared" si="17"/>
        <v>0</v>
      </c>
      <c r="M160">
        <f t="shared" si="18"/>
        <v>1</v>
      </c>
      <c r="N160">
        <f t="shared" si="19"/>
        <v>0</v>
      </c>
      <c r="O160">
        <f t="shared" si="20"/>
        <v>1</v>
      </c>
      <c r="P160">
        <f t="shared" si="21"/>
        <v>0</v>
      </c>
      <c r="Q160">
        <f t="shared" si="22"/>
        <v>1</v>
      </c>
      <c r="R160" t="b">
        <v>1</v>
      </c>
      <c r="S160" t="s">
        <v>316</v>
      </c>
      <c r="T160" s="10">
        <v>0.747916666666667</v>
      </c>
      <c r="U160" s="10">
        <v>0.846527777777778</v>
      </c>
      <c r="V160">
        <v>142</v>
      </c>
      <c r="W160" t="b">
        <v>1</v>
      </c>
      <c r="X160" t="s">
        <v>50</v>
      </c>
    </row>
    <row r="161" spans="1:24">
      <c r="A161">
        <v>160</v>
      </c>
      <c r="B161" t="s">
        <v>317</v>
      </c>
      <c r="C161" t="s">
        <v>16</v>
      </c>
      <c r="D161" s="9">
        <v>36604</v>
      </c>
      <c r="E161" s="9" t="str">
        <f t="shared" si="16"/>
        <v>20-30</v>
      </c>
      <c r="F161">
        <v>24</v>
      </c>
      <c r="G161" t="s">
        <v>17</v>
      </c>
      <c r="H161">
        <v>3</v>
      </c>
      <c r="I161" t="s">
        <v>318</v>
      </c>
      <c r="K161">
        <f t="shared" si="23"/>
        <v>1</v>
      </c>
      <c r="L161">
        <f t="shared" si="17"/>
        <v>0</v>
      </c>
      <c r="M161">
        <f t="shared" si="18"/>
        <v>1</v>
      </c>
      <c r="N161">
        <f t="shared" si="19"/>
        <v>0</v>
      </c>
      <c r="O161">
        <f t="shared" si="20"/>
        <v>1</v>
      </c>
      <c r="P161">
        <f t="shared" si="21"/>
        <v>0</v>
      </c>
      <c r="Q161">
        <f t="shared" si="22"/>
        <v>0</v>
      </c>
      <c r="R161" t="b">
        <v>1</v>
      </c>
      <c r="S161" t="s">
        <v>319</v>
      </c>
      <c r="T161" s="10">
        <v>0.636805555555556</v>
      </c>
      <c r="U161" s="10">
        <v>0.7</v>
      </c>
      <c r="V161">
        <v>91</v>
      </c>
      <c r="W161" t="b">
        <v>1</v>
      </c>
      <c r="X161" t="s">
        <v>50</v>
      </c>
    </row>
    <row r="162" spans="1:24">
      <c r="A162">
        <v>161</v>
      </c>
      <c r="B162" t="s">
        <v>320</v>
      </c>
      <c r="C162" t="s">
        <v>16</v>
      </c>
      <c r="D162" s="9">
        <v>39073</v>
      </c>
      <c r="E162" s="9" t="str">
        <f t="shared" si="16"/>
        <v>below 20</v>
      </c>
      <c r="F162">
        <v>17</v>
      </c>
      <c r="G162" t="s">
        <v>21</v>
      </c>
      <c r="H162">
        <v>3</v>
      </c>
      <c r="I162" t="s">
        <v>321</v>
      </c>
      <c r="K162">
        <f t="shared" si="23"/>
        <v>0</v>
      </c>
      <c r="L162">
        <f t="shared" si="17"/>
        <v>0</v>
      </c>
      <c r="M162">
        <f t="shared" si="18"/>
        <v>0</v>
      </c>
      <c r="N162">
        <f t="shared" si="19"/>
        <v>1</v>
      </c>
      <c r="O162">
        <f t="shared" si="20"/>
        <v>0</v>
      </c>
      <c r="P162">
        <f t="shared" si="21"/>
        <v>1</v>
      </c>
      <c r="Q162">
        <f t="shared" si="22"/>
        <v>1</v>
      </c>
      <c r="R162" t="b">
        <v>1</v>
      </c>
      <c r="S162" t="s">
        <v>322</v>
      </c>
      <c r="T162" s="10">
        <v>0.653472222222222</v>
      </c>
      <c r="U162" s="10">
        <v>0.760416666666667</v>
      </c>
      <c r="V162">
        <v>154</v>
      </c>
      <c r="W162" t="b">
        <v>1</v>
      </c>
      <c r="X162" t="s">
        <v>23</v>
      </c>
    </row>
    <row r="163" spans="1:24">
      <c r="A163">
        <v>162</v>
      </c>
      <c r="B163" t="s">
        <v>323</v>
      </c>
      <c r="C163" t="s">
        <v>25</v>
      </c>
      <c r="D163" s="9">
        <v>34726</v>
      </c>
      <c r="E163" s="9" t="str">
        <f t="shared" si="16"/>
        <v>20-30</v>
      </c>
      <c r="F163">
        <v>29</v>
      </c>
      <c r="G163" t="s">
        <v>21</v>
      </c>
      <c r="H163">
        <v>1</v>
      </c>
      <c r="I163" t="s">
        <v>49</v>
      </c>
      <c r="K163">
        <f t="shared" si="23"/>
        <v>0</v>
      </c>
      <c r="L163">
        <f t="shared" si="17"/>
        <v>0</v>
      </c>
      <c r="M163">
        <f t="shared" si="18"/>
        <v>0</v>
      </c>
      <c r="N163">
        <f t="shared" si="19"/>
        <v>0</v>
      </c>
      <c r="O163">
        <f t="shared" si="20"/>
        <v>1</v>
      </c>
      <c r="P163">
        <f t="shared" si="21"/>
        <v>0</v>
      </c>
      <c r="Q163">
        <f t="shared" si="22"/>
        <v>0</v>
      </c>
      <c r="R163" t="b">
        <v>0</v>
      </c>
      <c r="T163" s="10">
        <v>0.708333333333333</v>
      </c>
      <c r="U163" s="10">
        <v>0.823611111111111</v>
      </c>
      <c r="V163">
        <v>166</v>
      </c>
      <c r="W163" t="b">
        <v>0</v>
      </c>
    </row>
    <row r="164" spans="1:24">
      <c r="A164">
        <v>163</v>
      </c>
      <c r="B164" t="s">
        <v>324</v>
      </c>
      <c r="C164" t="s">
        <v>25</v>
      </c>
      <c r="D164" s="9">
        <v>32105</v>
      </c>
      <c r="E164" s="9" t="str">
        <f t="shared" si="16"/>
        <v>31-41</v>
      </c>
      <c r="F164">
        <v>36</v>
      </c>
      <c r="G164" t="s">
        <v>17</v>
      </c>
      <c r="H164">
        <v>3</v>
      </c>
      <c r="I164" t="s">
        <v>325</v>
      </c>
      <c r="K164">
        <f t="shared" si="23"/>
        <v>1</v>
      </c>
      <c r="L164">
        <f t="shared" si="17"/>
        <v>0</v>
      </c>
      <c r="M164">
        <f t="shared" si="18"/>
        <v>0</v>
      </c>
      <c r="N164">
        <f t="shared" si="19"/>
        <v>1</v>
      </c>
      <c r="O164">
        <f t="shared" si="20"/>
        <v>0</v>
      </c>
      <c r="P164">
        <f t="shared" si="21"/>
        <v>0</v>
      </c>
      <c r="Q164">
        <f t="shared" si="22"/>
        <v>1</v>
      </c>
      <c r="R164" t="b">
        <v>0</v>
      </c>
      <c r="T164" s="10">
        <v>0.3625</v>
      </c>
      <c r="U164" s="10">
        <v>0.469444444444444</v>
      </c>
      <c r="V164">
        <v>154</v>
      </c>
      <c r="W164" t="b">
        <v>1</v>
      </c>
      <c r="X164" t="s">
        <v>47</v>
      </c>
    </row>
    <row r="165" spans="1:24">
      <c r="A165">
        <v>164</v>
      </c>
      <c r="B165" t="s">
        <v>326</v>
      </c>
      <c r="C165" t="s">
        <v>25</v>
      </c>
      <c r="D165" s="9">
        <v>38015</v>
      </c>
      <c r="E165" s="9" t="str">
        <f t="shared" si="16"/>
        <v>20-30</v>
      </c>
      <c r="F165">
        <v>20</v>
      </c>
      <c r="G165" t="s">
        <v>21</v>
      </c>
      <c r="H165">
        <v>5</v>
      </c>
      <c r="I165" t="s">
        <v>88</v>
      </c>
      <c r="K165">
        <f t="shared" si="23"/>
        <v>0</v>
      </c>
      <c r="L165">
        <f t="shared" si="17"/>
        <v>1</v>
      </c>
      <c r="M165">
        <f t="shared" si="18"/>
        <v>0</v>
      </c>
      <c r="N165">
        <f t="shared" si="19"/>
        <v>1</v>
      </c>
      <c r="O165">
        <f t="shared" si="20"/>
        <v>1</v>
      </c>
      <c r="P165">
        <f t="shared" si="21"/>
        <v>1</v>
      </c>
      <c r="Q165">
        <f t="shared" si="22"/>
        <v>1</v>
      </c>
      <c r="R165" t="b">
        <v>0</v>
      </c>
      <c r="T165" s="10">
        <v>0.736805555555556</v>
      </c>
      <c r="U165" s="10">
        <v>0.838888888888889</v>
      </c>
      <c r="V165">
        <v>147</v>
      </c>
      <c r="W165" t="b">
        <v>0</v>
      </c>
    </row>
    <row r="166" spans="1:24">
      <c r="A166">
        <v>165</v>
      </c>
      <c r="B166" t="s">
        <v>327</v>
      </c>
      <c r="C166" t="s">
        <v>25</v>
      </c>
      <c r="D166" s="9">
        <v>34841</v>
      </c>
      <c r="E166" s="9" t="str">
        <f t="shared" si="16"/>
        <v>20-30</v>
      </c>
      <c r="F166">
        <v>29</v>
      </c>
      <c r="G166" t="s">
        <v>21</v>
      </c>
      <c r="H166">
        <v>2</v>
      </c>
      <c r="I166" t="s">
        <v>133</v>
      </c>
      <c r="K166">
        <f t="shared" si="23"/>
        <v>1</v>
      </c>
      <c r="L166">
        <f t="shared" si="17"/>
        <v>0</v>
      </c>
      <c r="M166">
        <f t="shared" si="18"/>
        <v>1</v>
      </c>
      <c r="N166">
        <f t="shared" si="19"/>
        <v>0</v>
      </c>
      <c r="O166">
        <f t="shared" si="20"/>
        <v>0</v>
      </c>
      <c r="P166">
        <f t="shared" si="21"/>
        <v>0</v>
      </c>
      <c r="Q166">
        <f t="shared" si="22"/>
        <v>0</v>
      </c>
      <c r="R166" t="b">
        <v>1</v>
      </c>
      <c r="S166" t="s">
        <v>174</v>
      </c>
      <c r="T166" s="10">
        <v>0.614583333333333</v>
      </c>
      <c r="U166" s="10">
        <v>0.727083333333333</v>
      </c>
      <c r="V166">
        <v>162</v>
      </c>
      <c r="W166" t="b">
        <v>1</v>
      </c>
      <c r="X166" t="s">
        <v>23</v>
      </c>
    </row>
    <row r="167" spans="1:24">
      <c r="A167">
        <v>166</v>
      </c>
      <c r="B167" t="s">
        <v>328</v>
      </c>
      <c r="C167" t="s">
        <v>25</v>
      </c>
      <c r="D167" s="9">
        <v>33866</v>
      </c>
      <c r="E167" s="9" t="str">
        <f t="shared" si="16"/>
        <v>31-41</v>
      </c>
      <c r="F167">
        <v>32</v>
      </c>
      <c r="G167" t="s">
        <v>17</v>
      </c>
      <c r="H167">
        <v>3</v>
      </c>
      <c r="I167" t="s">
        <v>74</v>
      </c>
      <c r="K167">
        <f t="shared" si="23"/>
        <v>1</v>
      </c>
      <c r="L167">
        <f t="shared" si="17"/>
        <v>1</v>
      </c>
      <c r="M167">
        <f t="shared" si="18"/>
        <v>0</v>
      </c>
      <c r="N167">
        <f t="shared" si="19"/>
        <v>0</v>
      </c>
      <c r="O167">
        <f t="shared" si="20"/>
        <v>0</v>
      </c>
      <c r="P167">
        <f t="shared" si="21"/>
        <v>1</v>
      </c>
      <c r="Q167">
        <f t="shared" si="22"/>
        <v>0</v>
      </c>
      <c r="R167" t="b">
        <v>0</v>
      </c>
      <c r="T167" s="10">
        <v>0.856944444444444</v>
      </c>
      <c r="U167" s="10">
        <v>0.890972222222222</v>
      </c>
      <c r="V167">
        <v>49</v>
      </c>
      <c r="W167" t="b">
        <v>1</v>
      </c>
      <c r="X167" t="s">
        <v>23</v>
      </c>
    </row>
    <row r="168" spans="1:24">
      <c r="A168">
        <v>167</v>
      </c>
      <c r="B168" t="s">
        <v>329</v>
      </c>
      <c r="C168" t="s">
        <v>16</v>
      </c>
      <c r="D168" s="9">
        <v>29874</v>
      </c>
      <c r="E168" s="9" t="str">
        <f t="shared" si="16"/>
        <v>41-50</v>
      </c>
      <c r="F168">
        <v>42</v>
      </c>
      <c r="G168" t="s">
        <v>17</v>
      </c>
      <c r="H168">
        <v>4</v>
      </c>
      <c r="I168" t="s">
        <v>212</v>
      </c>
      <c r="K168">
        <f t="shared" si="23"/>
        <v>0</v>
      </c>
      <c r="L168">
        <f t="shared" si="17"/>
        <v>1</v>
      </c>
      <c r="M168">
        <f t="shared" si="18"/>
        <v>1</v>
      </c>
      <c r="N168">
        <f t="shared" si="19"/>
        <v>1</v>
      </c>
      <c r="O168">
        <f t="shared" si="20"/>
        <v>0</v>
      </c>
      <c r="P168">
        <f t="shared" si="21"/>
        <v>1</v>
      </c>
      <c r="Q168">
        <f t="shared" si="22"/>
        <v>0</v>
      </c>
      <c r="R168" t="b">
        <v>1</v>
      </c>
      <c r="S168" t="s">
        <v>330</v>
      </c>
      <c r="T168" s="10">
        <v>0.413194444444444</v>
      </c>
      <c r="U168" s="10">
        <v>0.530555555555556</v>
      </c>
      <c r="V168">
        <v>169</v>
      </c>
      <c r="W168" t="b">
        <v>0</v>
      </c>
    </row>
    <row r="169" spans="1:24">
      <c r="A169">
        <v>168</v>
      </c>
      <c r="B169" t="s">
        <v>331</v>
      </c>
      <c r="C169" t="s">
        <v>25</v>
      </c>
      <c r="D169" s="9">
        <v>40456</v>
      </c>
      <c r="E169" s="9" t="str">
        <f t="shared" si="16"/>
        <v>below 20</v>
      </c>
      <c r="F169">
        <v>13</v>
      </c>
      <c r="G169" t="s">
        <v>21</v>
      </c>
      <c r="H169">
        <v>3</v>
      </c>
      <c r="I169" t="s">
        <v>92</v>
      </c>
      <c r="K169">
        <f t="shared" si="23"/>
        <v>0</v>
      </c>
      <c r="L169">
        <f t="shared" si="17"/>
        <v>1</v>
      </c>
      <c r="M169">
        <f t="shared" si="18"/>
        <v>0</v>
      </c>
      <c r="N169">
        <f t="shared" si="19"/>
        <v>1</v>
      </c>
      <c r="O169">
        <f t="shared" si="20"/>
        <v>0</v>
      </c>
      <c r="P169">
        <f t="shared" si="21"/>
        <v>1</v>
      </c>
      <c r="Q169">
        <f t="shared" si="22"/>
        <v>0</v>
      </c>
      <c r="R169" t="b">
        <v>1</v>
      </c>
      <c r="S169" t="s">
        <v>217</v>
      </c>
      <c r="T169" s="10">
        <v>0.51875</v>
      </c>
      <c r="U169" s="10">
        <v>0.566666666666667</v>
      </c>
      <c r="V169">
        <v>69</v>
      </c>
      <c r="W169" t="b">
        <v>0</v>
      </c>
    </row>
    <row r="170" spans="1:24">
      <c r="A170">
        <v>169</v>
      </c>
      <c r="B170" t="s">
        <v>332</v>
      </c>
      <c r="C170" t="s">
        <v>16</v>
      </c>
      <c r="D170" s="9">
        <v>32475</v>
      </c>
      <c r="E170" s="9" t="str">
        <f t="shared" si="16"/>
        <v>31-41</v>
      </c>
      <c r="F170">
        <v>35</v>
      </c>
      <c r="G170" t="s">
        <v>17</v>
      </c>
      <c r="H170">
        <v>3</v>
      </c>
      <c r="I170" t="s">
        <v>22</v>
      </c>
      <c r="K170">
        <f t="shared" si="23"/>
        <v>1</v>
      </c>
      <c r="L170">
        <f t="shared" si="17"/>
        <v>0</v>
      </c>
      <c r="M170">
        <f t="shared" si="18"/>
        <v>0</v>
      </c>
      <c r="N170">
        <f t="shared" si="19"/>
        <v>0</v>
      </c>
      <c r="O170">
        <f t="shared" si="20"/>
        <v>0</v>
      </c>
      <c r="P170">
        <f t="shared" si="21"/>
        <v>1</v>
      </c>
      <c r="Q170">
        <f t="shared" si="22"/>
        <v>1</v>
      </c>
      <c r="R170" t="b">
        <v>1</v>
      </c>
      <c r="S170" t="s">
        <v>19</v>
      </c>
      <c r="T170" s="10">
        <v>0.563888888888889</v>
      </c>
      <c r="U170" s="10">
        <v>0.589583333333333</v>
      </c>
      <c r="V170">
        <v>37</v>
      </c>
      <c r="W170" t="b">
        <v>0</v>
      </c>
    </row>
    <row r="171" spans="1:24">
      <c r="A171">
        <v>170</v>
      </c>
      <c r="B171" t="s">
        <v>333</v>
      </c>
      <c r="C171" t="s">
        <v>25</v>
      </c>
      <c r="D171" s="9">
        <v>29796</v>
      </c>
      <c r="E171" s="9" t="str">
        <f t="shared" si="16"/>
        <v>41-50</v>
      </c>
      <c r="F171">
        <v>43</v>
      </c>
      <c r="G171" t="s">
        <v>21</v>
      </c>
      <c r="H171">
        <v>3</v>
      </c>
      <c r="I171" t="s">
        <v>116</v>
      </c>
      <c r="K171">
        <f t="shared" si="23"/>
        <v>0</v>
      </c>
      <c r="L171">
        <f t="shared" si="17"/>
        <v>0</v>
      </c>
      <c r="M171">
        <f t="shared" si="18"/>
        <v>0</v>
      </c>
      <c r="N171">
        <f t="shared" si="19"/>
        <v>1</v>
      </c>
      <c r="O171">
        <f t="shared" si="20"/>
        <v>1</v>
      </c>
      <c r="P171">
        <f t="shared" si="21"/>
        <v>0</v>
      </c>
      <c r="Q171">
        <f t="shared" si="22"/>
        <v>1</v>
      </c>
      <c r="R171" t="b">
        <v>0</v>
      </c>
      <c r="T171" s="10">
        <v>0.508333333333333</v>
      </c>
      <c r="U171" s="10">
        <v>0.545138888888889</v>
      </c>
      <c r="V171">
        <v>53</v>
      </c>
      <c r="W171" t="b">
        <v>1</v>
      </c>
      <c r="X171" t="s">
        <v>28</v>
      </c>
    </row>
    <row r="172" spans="1:24">
      <c r="A172">
        <v>171</v>
      </c>
      <c r="B172" t="s">
        <v>334</v>
      </c>
      <c r="C172" t="s">
        <v>16</v>
      </c>
      <c r="D172" s="9">
        <v>32011</v>
      </c>
      <c r="E172" s="9" t="str">
        <f t="shared" si="16"/>
        <v>31-41</v>
      </c>
      <c r="F172">
        <v>37</v>
      </c>
      <c r="G172" t="s">
        <v>21</v>
      </c>
      <c r="H172">
        <v>1</v>
      </c>
      <c r="I172" t="s">
        <v>26</v>
      </c>
      <c r="K172">
        <f t="shared" si="23"/>
        <v>1</v>
      </c>
      <c r="L172">
        <f t="shared" si="17"/>
        <v>0</v>
      </c>
      <c r="M172">
        <f t="shared" si="18"/>
        <v>0</v>
      </c>
      <c r="N172">
        <f t="shared" si="19"/>
        <v>0</v>
      </c>
      <c r="O172">
        <f t="shared" si="20"/>
        <v>0</v>
      </c>
      <c r="P172">
        <f t="shared" si="21"/>
        <v>0</v>
      </c>
      <c r="Q172">
        <f t="shared" si="22"/>
        <v>0</v>
      </c>
      <c r="R172" t="b">
        <v>0</v>
      </c>
      <c r="T172" s="10">
        <v>0.69375</v>
      </c>
      <c r="U172" s="10">
        <v>0.736111111111111</v>
      </c>
      <c r="V172">
        <v>61</v>
      </c>
      <c r="W172" t="b">
        <v>1</v>
      </c>
      <c r="X172" t="s">
        <v>50</v>
      </c>
    </row>
    <row r="173" spans="1:24">
      <c r="A173">
        <v>172</v>
      </c>
      <c r="B173" t="s">
        <v>335</v>
      </c>
      <c r="C173" t="s">
        <v>16</v>
      </c>
      <c r="D173" s="9">
        <v>27580</v>
      </c>
      <c r="E173" s="9" t="str">
        <f t="shared" si="16"/>
        <v>41-50</v>
      </c>
      <c r="F173">
        <v>49</v>
      </c>
      <c r="G173" t="s">
        <v>21</v>
      </c>
      <c r="H173">
        <v>5</v>
      </c>
      <c r="I173" t="s">
        <v>192</v>
      </c>
      <c r="K173">
        <f t="shared" si="23"/>
        <v>1</v>
      </c>
      <c r="L173">
        <f t="shared" si="17"/>
        <v>1</v>
      </c>
      <c r="M173">
        <f t="shared" si="18"/>
        <v>1</v>
      </c>
      <c r="N173">
        <f t="shared" si="19"/>
        <v>0</v>
      </c>
      <c r="O173">
        <f t="shared" si="20"/>
        <v>0</v>
      </c>
      <c r="P173">
        <f t="shared" si="21"/>
        <v>1</v>
      </c>
      <c r="Q173">
        <f t="shared" si="22"/>
        <v>1</v>
      </c>
      <c r="R173" t="b">
        <v>1</v>
      </c>
      <c r="S173" t="s">
        <v>67</v>
      </c>
      <c r="T173" s="10">
        <v>0.34375</v>
      </c>
      <c r="U173" s="10">
        <v>0.420833333333333</v>
      </c>
      <c r="V173">
        <v>111</v>
      </c>
      <c r="W173" t="b">
        <v>0</v>
      </c>
    </row>
    <row r="174" spans="1:24">
      <c r="A174">
        <v>173</v>
      </c>
      <c r="B174" t="s">
        <v>336</v>
      </c>
      <c r="C174" t="s">
        <v>25</v>
      </c>
      <c r="D174" s="9">
        <v>28333</v>
      </c>
      <c r="E174" s="9" t="str">
        <f t="shared" si="16"/>
        <v>41-50</v>
      </c>
      <c r="F174">
        <v>47</v>
      </c>
      <c r="G174" t="s">
        <v>21</v>
      </c>
      <c r="H174">
        <v>2</v>
      </c>
      <c r="I174" t="s">
        <v>259</v>
      </c>
      <c r="K174">
        <f t="shared" si="23"/>
        <v>0</v>
      </c>
      <c r="L174">
        <f t="shared" si="17"/>
        <v>1</v>
      </c>
      <c r="M174">
        <f t="shared" si="18"/>
        <v>0</v>
      </c>
      <c r="N174">
        <f t="shared" si="19"/>
        <v>0</v>
      </c>
      <c r="O174">
        <f t="shared" si="20"/>
        <v>1</v>
      </c>
      <c r="P174">
        <f t="shared" si="21"/>
        <v>0</v>
      </c>
      <c r="Q174">
        <f t="shared" si="22"/>
        <v>0</v>
      </c>
      <c r="R174" t="b">
        <v>0</v>
      </c>
      <c r="T174" s="10">
        <v>0.704861111111111</v>
      </c>
      <c r="U174" s="10">
        <v>0.815277777777778</v>
      </c>
      <c r="V174">
        <v>159</v>
      </c>
      <c r="W174" t="b">
        <v>0</v>
      </c>
    </row>
    <row r="175" spans="1:24">
      <c r="A175">
        <v>174</v>
      </c>
      <c r="B175" t="s">
        <v>337</v>
      </c>
      <c r="C175" t="s">
        <v>25</v>
      </c>
      <c r="D175" s="9">
        <v>27470</v>
      </c>
      <c r="E175" s="9" t="str">
        <f t="shared" si="16"/>
        <v>41-50</v>
      </c>
      <c r="F175">
        <v>49</v>
      </c>
      <c r="G175" t="s">
        <v>17</v>
      </c>
      <c r="H175">
        <v>1</v>
      </c>
      <c r="I175" t="s">
        <v>59</v>
      </c>
      <c r="K175">
        <f t="shared" si="23"/>
        <v>0</v>
      </c>
      <c r="L175">
        <f t="shared" si="17"/>
        <v>0</v>
      </c>
      <c r="M175">
        <f t="shared" si="18"/>
        <v>0</v>
      </c>
      <c r="N175">
        <f t="shared" si="19"/>
        <v>0</v>
      </c>
      <c r="O175">
        <f t="shared" si="20"/>
        <v>0</v>
      </c>
      <c r="P175">
        <f t="shared" si="21"/>
        <v>0</v>
      </c>
      <c r="Q175">
        <f t="shared" si="22"/>
        <v>1</v>
      </c>
      <c r="R175" t="b">
        <v>0</v>
      </c>
      <c r="T175" s="10">
        <v>0.472916666666667</v>
      </c>
      <c r="U175" s="10">
        <v>0.529166666666667</v>
      </c>
      <c r="V175">
        <v>81</v>
      </c>
      <c r="W175" t="b">
        <v>0</v>
      </c>
    </row>
    <row r="176" spans="1:24">
      <c r="A176">
        <v>175</v>
      </c>
      <c r="B176" t="s">
        <v>338</v>
      </c>
      <c r="C176" t="s">
        <v>25</v>
      </c>
      <c r="D176" s="9">
        <v>38617</v>
      </c>
      <c r="E176" s="9" t="str">
        <f t="shared" si="16"/>
        <v>below 20</v>
      </c>
      <c r="F176">
        <v>19</v>
      </c>
      <c r="G176" t="s">
        <v>21</v>
      </c>
      <c r="H176">
        <v>2</v>
      </c>
      <c r="I176" t="s">
        <v>166</v>
      </c>
      <c r="K176">
        <f t="shared" si="23"/>
        <v>0</v>
      </c>
      <c r="L176">
        <f t="shared" si="17"/>
        <v>1</v>
      </c>
      <c r="M176">
        <f t="shared" si="18"/>
        <v>0</v>
      </c>
      <c r="N176">
        <f t="shared" si="19"/>
        <v>1</v>
      </c>
      <c r="O176">
        <f t="shared" si="20"/>
        <v>0</v>
      </c>
      <c r="P176">
        <f t="shared" si="21"/>
        <v>0</v>
      </c>
      <c r="Q176">
        <f t="shared" si="22"/>
        <v>0</v>
      </c>
      <c r="R176" t="b">
        <v>1</v>
      </c>
      <c r="S176" t="s">
        <v>201</v>
      </c>
      <c r="T176" s="10">
        <v>0.584027777777778</v>
      </c>
      <c r="U176" s="10">
        <v>0.622222222222222</v>
      </c>
      <c r="V176">
        <v>55</v>
      </c>
      <c r="W176" t="b">
        <v>0</v>
      </c>
    </row>
    <row r="177" spans="1:24">
      <c r="A177">
        <v>176</v>
      </c>
      <c r="B177" t="s">
        <v>339</v>
      </c>
      <c r="C177" t="s">
        <v>25</v>
      </c>
      <c r="D177" s="9">
        <v>27814</v>
      </c>
      <c r="E177" s="9" t="str">
        <f t="shared" si="16"/>
        <v>41-50</v>
      </c>
      <c r="F177">
        <v>48</v>
      </c>
      <c r="G177" t="s">
        <v>21</v>
      </c>
      <c r="H177">
        <v>4</v>
      </c>
      <c r="I177" t="s">
        <v>212</v>
      </c>
      <c r="K177">
        <f t="shared" si="23"/>
        <v>0</v>
      </c>
      <c r="L177">
        <f t="shared" si="17"/>
        <v>1</v>
      </c>
      <c r="M177">
        <f t="shared" si="18"/>
        <v>1</v>
      </c>
      <c r="N177">
        <f t="shared" si="19"/>
        <v>1</v>
      </c>
      <c r="O177">
        <f t="shared" si="20"/>
        <v>0</v>
      </c>
      <c r="P177">
        <f t="shared" si="21"/>
        <v>1</v>
      </c>
      <c r="Q177">
        <f t="shared" si="22"/>
        <v>0</v>
      </c>
      <c r="R177" t="b">
        <v>0</v>
      </c>
      <c r="T177" s="10">
        <v>0.398611111111111</v>
      </c>
      <c r="U177" s="10">
        <v>0.522916666666667</v>
      </c>
      <c r="V177">
        <v>179</v>
      </c>
      <c r="W177" t="b">
        <v>0</v>
      </c>
    </row>
    <row r="178" spans="1:24">
      <c r="A178">
        <v>177</v>
      </c>
      <c r="B178" t="s">
        <v>340</v>
      </c>
      <c r="C178" t="s">
        <v>16</v>
      </c>
      <c r="D178" s="9">
        <v>36920</v>
      </c>
      <c r="E178" s="9" t="str">
        <f t="shared" si="16"/>
        <v>20-30</v>
      </c>
      <c r="F178">
        <v>23</v>
      </c>
      <c r="G178" t="s">
        <v>17</v>
      </c>
      <c r="H178">
        <v>3</v>
      </c>
      <c r="I178" t="s">
        <v>150</v>
      </c>
      <c r="K178">
        <f t="shared" si="23"/>
        <v>0</v>
      </c>
      <c r="L178">
        <f t="shared" si="17"/>
        <v>1</v>
      </c>
      <c r="M178">
        <f t="shared" si="18"/>
        <v>0</v>
      </c>
      <c r="N178">
        <f t="shared" si="19"/>
        <v>1</v>
      </c>
      <c r="O178">
        <f t="shared" si="20"/>
        <v>0</v>
      </c>
      <c r="P178">
        <f t="shared" si="21"/>
        <v>0</v>
      </c>
      <c r="Q178">
        <f t="shared" si="22"/>
        <v>1</v>
      </c>
      <c r="R178" t="b">
        <v>0</v>
      </c>
      <c r="T178" s="10">
        <v>0.413888888888889</v>
      </c>
      <c r="U178" s="10">
        <v>0.507638888888889</v>
      </c>
      <c r="V178">
        <v>135</v>
      </c>
      <c r="W178" t="b">
        <v>1</v>
      </c>
      <c r="X178" t="s">
        <v>23</v>
      </c>
    </row>
    <row r="179" spans="1:24">
      <c r="A179">
        <v>178</v>
      </c>
      <c r="B179" t="s">
        <v>341</v>
      </c>
      <c r="C179" t="s">
        <v>25</v>
      </c>
      <c r="D179" s="9">
        <v>36848</v>
      </c>
      <c r="E179" s="9" t="str">
        <f t="shared" si="16"/>
        <v>20-30</v>
      </c>
      <c r="F179">
        <v>23</v>
      </c>
      <c r="G179" t="s">
        <v>17</v>
      </c>
      <c r="H179">
        <v>4</v>
      </c>
      <c r="I179" t="s">
        <v>342</v>
      </c>
      <c r="K179">
        <f t="shared" si="23"/>
        <v>0</v>
      </c>
      <c r="L179">
        <f t="shared" si="17"/>
        <v>1</v>
      </c>
      <c r="M179">
        <f t="shared" si="18"/>
        <v>1</v>
      </c>
      <c r="N179">
        <f t="shared" si="19"/>
        <v>0</v>
      </c>
      <c r="O179">
        <f t="shared" si="20"/>
        <v>0</v>
      </c>
      <c r="P179">
        <f t="shared" si="21"/>
        <v>1</v>
      </c>
      <c r="Q179">
        <f t="shared" si="22"/>
        <v>1</v>
      </c>
      <c r="R179" t="b">
        <v>0</v>
      </c>
      <c r="T179" s="10">
        <v>0.459722222222222</v>
      </c>
      <c r="U179" s="10">
        <v>0.526388888888889</v>
      </c>
      <c r="V179">
        <v>96</v>
      </c>
      <c r="W179" t="b">
        <v>1</v>
      </c>
      <c r="X179" t="s">
        <v>23</v>
      </c>
    </row>
    <row r="180" spans="1:24">
      <c r="A180">
        <v>179</v>
      </c>
      <c r="B180" t="s">
        <v>343</v>
      </c>
      <c r="C180" t="s">
        <v>16</v>
      </c>
      <c r="D180" s="9">
        <v>40507</v>
      </c>
      <c r="E180" s="9" t="str">
        <f t="shared" si="16"/>
        <v>below 20</v>
      </c>
      <c r="F180">
        <v>13</v>
      </c>
      <c r="G180" t="s">
        <v>21</v>
      </c>
      <c r="H180">
        <v>2</v>
      </c>
      <c r="I180" t="s">
        <v>72</v>
      </c>
      <c r="K180">
        <f t="shared" si="23"/>
        <v>0</v>
      </c>
      <c r="L180">
        <f t="shared" si="17"/>
        <v>0</v>
      </c>
      <c r="M180">
        <f t="shared" si="18"/>
        <v>0</v>
      </c>
      <c r="N180">
        <f t="shared" si="19"/>
        <v>0</v>
      </c>
      <c r="O180">
        <f t="shared" si="20"/>
        <v>1</v>
      </c>
      <c r="P180">
        <f t="shared" si="21"/>
        <v>0</v>
      </c>
      <c r="Q180">
        <f t="shared" si="22"/>
        <v>1</v>
      </c>
      <c r="R180" t="b">
        <v>0</v>
      </c>
      <c r="T180" s="10">
        <v>0.727083333333333</v>
      </c>
      <c r="U180" s="10">
        <v>0.807638888888889</v>
      </c>
      <c r="V180">
        <v>116</v>
      </c>
      <c r="W180" t="b">
        <v>0</v>
      </c>
    </row>
    <row r="181" spans="1:24">
      <c r="A181">
        <v>180</v>
      </c>
      <c r="B181" t="s">
        <v>344</v>
      </c>
      <c r="C181" t="s">
        <v>25</v>
      </c>
      <c r="D181" s="9">
        <v>27931</v>
      </c>
      <c r="E181" s="9" t="str">
        <f t="shared" si="16"/>
        <v>41-50</v>
      </c>
      <c r="F181">
        <v>48</v>
      </c>
      <c r="G181" t="s">
        <v>17</v>
      </c>
      <c r="H181">
        <v>3</v>
      </c>
      <c r="I181" t="s">
        <v>222</v>
      </c>
      <c r="K181">
        <f t="shared" si="23"/>
        <v>0</v>
      </c>
      <c r="L181">
        <f t="shared" si="17"/>
        <v>1</v>
      </c>
      <c r="M181">
        <f t="shared" si="18"/>
        <v>1</v>
      </c>
      <c r="N181">
        <f t="shared" si="19"/>
        <v>0</v>
      </c>
      <c r="O181">
        <f t="shared" si="20"/>
        <v>0</v>
      </c>
      <c r="P181">
        <f t="shared" si="21"/>
        <v>1</v>
      </c>
      <c r="Q181">
        <f t="shared" si="22"/>
        <v>0</v>
      </c>
      <c r="R181" t="b">
        <v>1</v>
      </c>
      <c r="S181" t="s">
        <v>345</v>
      </c>
      <c r="T181" s="10">
        <v>0.35625</v>
      </c>
      <c r="U181" s="10">
        <v>0.395833333333333</v>
      </c>
      <c r="V181">
        <v>57</v>
      </c>
      <c r="W181" t="b">
        <v>1</v>
      </c>
      <c r="X181" t="s">
        <v>47</v>
      </c>
    </row>
    <row r="182" spans="1:24">
      <c r="A182">
        <v>181</v>
      </c>
      <c r="B182" t="s">
        <v>346</v>
      </c>
      <c r="C182" t="s">
        <v>25</v>
      </c>
      <c r="D182" s="9">
        <v>35419</v>
      </c>
      <c r="E182" s="9" t="str">
        <f t="shared" si="16"/>
        <v>20-30</v>
      </c>
      <c r="F182">
        <v>27</v>
      </c>
      <c r="G182" t="s">
        <v>17</v>
      </c>
      <c r="H182">
        <v>5</v>
      </c>
      <c r="I182" t="s">
        <v>347</v>
      </c>
      <c r="K182">
        <f t="shared" si="23"/>
        <v>0</v>
      </c>
      <c r="L182">
        <f t="shared" si="17"/>
        <v>1</v>
      </c>
      <c r="M182">
        <f t="shared" si="18"/>
        <v>1</v>
      </c>
      <c r="N182">
        <f t="shared" si="19"/>
        <v>0</v>
      </c>
      <c r="O182">
        <f t="shared" si="20"/>
        <v>1</v>
      </c>
      <c r="P182">
        <f t="shared" si="21"/>
        <v>1</v>
      </c>
      <c r="Q182">
        <f t="shared" si="22"/>
        <v>1</v>
      </c>
      <c r="R182" t="b">
        <v>1</v>
      </c>
      <c r="S182" t="s">
        <v>348</v>
      </c>
      <c r="T182" s="10">
        <v>0.451388888888889</v>
      </c>
      <c r="U182" s="10">
        <v>0.504166666666667</v>
      </c>
      <c r="V182">
        <v>76</v>
      </c>
      <c r="W182" t="b">
        <v>0</v>
      </c>
    </row>
    <row r="183" spans="1:24">
      <c r="A183">
        <v>182</v>
      </c>
      <c r="B183" t="s">
        <v>349</v>
      </c>
      <c r="C183" t="s">
        <v>16</v>
      </c>
      <c r="D183" s="9">
        <v>40225</v>
      </c>
      <c r="E183" s="9" t="str">
        <f t="shared" si="16"/>
        <v>below 20</v>
      </c>
      <c r="F183">
        <v>14</v>
      </c>
      <c r="G183" t="s">
        <v>21</v>
      </c>
      <c r="H183">
        <v>3</v>
      </c>
      <c r="I183" t="s">
        <v>106</v>
      </c>
      <c r="K183">
        <f t="shared" si="23"/>
        <v>1</v>
      </c>
      <c r="L183">
        <f t="shared" si="17"/>
        <v>1</v>
      </c>
      <c r="M183">
        <f t="shared" si="18"/>
        <v>0</v>
      </c>
      <c r="N183">
        <f t="shared" si="19"/>
        <v>0</v>
      </c>
      <c r="O183">
        <f t="shared" si="20"/>
        <v>1</v>
      </c>
      <c r="P183">
        <f t="shared" si="21"/>
        <v>0</v>
      </c>
      <c r="Q183">
        <f t="shared" si="22"/>
        <v>0</v>
      </c>
      <c r="R183" t="b">
        <v>1</v>
      </c>
      <c r="S183" t="s">
        <v>107</v>
      </c>
      <c r="T183" s="10">
        <v>0.375694444444444</v>
      </c>
      <c r="U183" s="10">
        <v>0.422222222222222</v>
      </c>
      <c r="V183">
        <v>67</v>
      </c>
      <c r="W183" t="b">
        <v>1</v>
      </c>
      <c r="X183" t="s">
        <v>23</v>
      </c>
    </row>
    <row r="184" spans="1:24">
      <c r="A184">
        <v>183</v>
      </c>
      <c r="B184" t="s">
        <v>350</v>
      </c>
      <c r="C184" t="s">
        <v>25</v>
      </c>
      <c r="D184" s="9">
        <v>40373</v>
      </c>
      <c r="E184" s="9" t="str">
        <f t="shared" si="16"/>
        <v>below 20</v>
      </c>
      <c r="F184">
        <v>14</v>
      </c>
      <c r="G184" t="s">
        <v>17</v>
      </c>
      <c r="H184">
        <v>1</v>
      </c>
      <c r="I184" t="s">
        <v>59</v>
      </c>
      <c r="K184">
        <f t="shared" si="23"/>
        <v>0</v>
      </c>
      <c r="L184">
        <f t="shared" si="17"/>
        <v>0</v>
      </c>
      <c r="M184">
        <f t="shared" si="18"/>
        <v>0</v>
      </c>
      <c r="N184">
        <f t="shared" si="19"/>
        <v>0</v>
      </c>
      <c r="O184">
        <f t="shared" si="20"/>
        <v>0</v>
      </c>
      <c r="P184">
        <f t="shared" si="21"/>
        <v>0</v>
      </c>
      <c r="Q184">
        <f t="shared" si="22"/>
        <v>1</v>
      </c>
      <c r="R184" t="b">
        <v>0</v>
      </c>
      <c r="T184" s="10">
        <v>0.545833333333333</v>
      </c>
      <c r="U184" s="10">
        <v>0.572916666666667</v>
      </c>
      <c r="V184">
        <v>39</v>
      </c>
      <c r="W184" t="b">
        <v>0</v>
      </c>
    </row>
    <row r="185" spans="1:24">
      <c r="A185">
        <v>184</v>
      </c>
      <c r="B185" t="s">
        <v>351</v>
      </c>
      <c r="C185" t="s">
        <v>25</v>
      </c>
      <c r="D185" s="9">
        <v>39006</v>
      </c>
      <c r="E185" s="9" t="str">
        <f t="shared" si="16"/>
        <v>below 20</v>
      </c>
      <c r="F185">
        <v>17</v>
      </c>
      <c r="G185" t="s">
        <v>21</v>
      </c>
      <c r="H185">
        <v>1</v>
      </c>
      <c r="I185" t="s">
        <v>26</v>
      </c>
      <c r="K185">
        <f t="shared" si="23"/>
        <v>1</v>
      </c>
      <c r="L185">
        <f t="shared" si="17"/>
        <v>0</v>
      </c>
      <c r="M185">
        <f t="shared" si="18"/>
        <v>0</v>
      </c>
      <c r="N185">
        <f t="shared" si="19"/>
        <v>0</v>
      </c>
      <c r="O185">
        <f t="shared" si="20"/>
        <v>0</v>
      </c>
      <c r="P185">
        <f t="shared" si="21"/>
        <v>0</v>
      </c>
      <c r="Q185">
        <f t="shared" si="22"/>
        <v>0</v>
      </c>
      <c r="R185" t="b">
        <v>0</v>
      </c>
      <c r="T185" s="10">
        <v>0.748611111111111</v>
      </c>
      <c r="U185" s="10">
        <v>0.790277777777778</v>
      </c>
      <c r="V185">
        <v>60</v>
      </c>
      <c r="W185" t="b">
        <v>1</v>
      </c>
      <c r="X185" t="s">
        <v>50</v>
      </c>
    </row>
    <row r="186" spans="1:24">
      <c r="A186">
        <v>185</v>
      </c>
      <c r="B186" t="s">
        <v>352</v>
      </c>
      <c r="C186" t="s">
        <v>25</v>
      </c>
      <c r="D186" s="9">
        <v>31308</v>
      </c>
      <c r="E186" s="9" t="str">
        <f t="shared" si="16"/>
        <v>31-41</v>
      </c>
      <c r="F186">
        <v>39</v>
      </c>
      <c r="G186" t="s">
        <v>21</v>
      </c>
      <c r="H186">
        <v>2</v>
      </c>
      <c r="I186" t="s">
        <v>195</v>
      </c>
      <c r="K186">
        <f t="shared" si="23"/>
        <v>1</v>
      </c>
      <c r="L186">
        <f t="shared" si="17"/>
        <v>1</v>
      </c>
      <c r="M186">
        <f t="shared" si="18"/>
        <v>0</v>
      </c>
      <c r="N186">
        <f t="shared" si="19"/>
        <v>0</v>
      </c>
      <c r="O186">
        <f t="shared" si="20"/>
        <v>0</v>
      </c>
      <c r="P186">
        <f t="shared" si="21"/>
        <v>0</v>
      </c>
      <c r="Q186">
        <f t="shared" si="22"/>
        <v>0</v>
      </c>
      <c r="R186" t="b">
        <v>1</v>
      </c>
      <c r="S186" t="s">
        <v>353</v>
      </c>
      <c r="T186" s="10">
        <v>0.388888888888889</v>
      </c>
      <c r="U186" s="10">
        <v>0.424305555555556</v>
      </c>
      <c r="V186">
        <v>51</v>
      </c>
      <c r="W186" t="b">
        <v>0</v>
      </c>
    </row>
    <row r="187" spans="1:24">
      <c r="A187">
        <v>186</v>
      </c>
      <c r="B187" t="s">
        <v>354</v>
      </c>
      <c r="C187" t="s">
        <v>16</v>
      </c>
      <c r="D187" s="9">
        <v>27477</v>
      </c>
      <c r="E187" s="9" t="str">
        <f t="shared" si="16"/>
        <v>41-50</v>
      </c>
      <c r="F187">
        <v>49</v>
      </c>
      <c r="G187" t="s">
        <v>21</v>
      </c>
      <c r="H187">
        <v>3</v>
      </c>
      <c r="I187" t="s">
        <v>37</v>
      </c>
      <c r="K187">
        <f t="shared" si="23"/>
        <v>1</v>
      </c>
      <c r="L187">
        <f t="shared" si="17"/>
        <v>1</v>
      </c>
      <c r="M187">
        <f t="shared" si="18"/>
        <v>0</v>
      </c>
      <c r="N187">
        <f t="shared" si="19"/>
        <v>0</v>
      </c>
      <c r="O187">
        <f t="shared" si="20"/>
        <v>0</v>
      </c>
      <c r="P187">
        <f t="shared" si="21"/>
        <v>0</v>
      </c>
      <c r="Q187">
        <f t="shared" si="22"/>
        <v>1</v>
      </c>
      <c r="R187" t="b">
        <v>0</v>
      </c>
      <c r="T187" s="10">
        <v>0.7375</v>
      </c>
      <c r="U187" s="10">
        <v>0.799305555555556</v>
      </c>
      <c r="V187">
        <v>89</v>
      </c>
      <c r="W187" t="b">
        <v>1</v>
      </c>
      <c r="X187" t="s">
        <v>28</v>
      </c>
    </row>
    <row r="188" spans="1:24">
      <c r="A188">
        <v>187</v>
      </c>
      <c r="B188" t="s">
        <v>355</v>
      </c>
      <c r="C188" t="s">
        <v>25</v>
      </c>
      <c r="D188" s="9">
        <v>41016</v>
      </c>
      <c r="E188" s="9" t="str">
        <f t="shared" si="16"/>
        <v>below 20</v>
      </c>
      <c r="F188">
        <v>12</v>
      </c>
      <c r="G188" t="s">
        <v>21</v>
      </c>
      <c r="H188">
        <v>5</v>
      </c>
      <c r="I188" t="s">
        <v>183</v>
      </c>
      <c r="K188">
        <f t="shared" si="23"/>
        <v>0</v>
      </c>
      <c r="L188">
        <f t="shared" si="17"/>
        <v>1</v>
      </c>
      <c r="M188">
        <f t="shared" si="18"/>
        <v>1</v>
      </c>
      <c r="N188">
        <f t="shared" si="19"/>
        <v>1</v>
      </c>
      <c r="O188">
        <f t="shared" si="20"/>
        <v>0</v>
      </c>
      <c r="P188">
        <f t="shared" si="21"/>
        <v>1</v>
      </c>
      <c r="Q188">
        <f t="shared" si="22"/>
        <v>1</v>
      </c>
      <c r="R188" t="b">
        <v>1</v>
      </c>
      <c r="S188" t="s">
        <v>356</v>
      </c>
      <c r="T188" s="10">
        <v>0.825694444444444</v>
      </c>
      <c r="U188" s="10">
        <v>0.86875</v>
      </c>
      <c r="V188">
        <v>62</v>
      </c>
      <c r="W188" t="b">
        <v>1</v>
      </c>
      <c r="X188" t="s">
        <v>28</v>
      </c>
    </row>
    <row r="189" spans="1:24">
      <c r="A189">
        <v>188</v>
      </c>
      <c r="B189" t="s">
        <v>357</v>
      </c>
      <c r="C189" t="s">
        <v>16</v>
      </c>
      <c r="D189" s="9">
        <v>31836</v>
      </c>
      <c r="E189" s="9" t="str">
        <f t="shared" si="16"/>
        <v>31-41</v>
      </c>
      <c r="F189">
        <v>37</v>
      </c>
      <c r="G189" t="s">
        <v>17</v>
      </c>
      <c r="H189">
        <v>1</v>
      </c>
      <c r="I189" t="s">
        <v>59</v>
      </c>
      <c r="K189">
        <f t="shared" si="23"/>
        <v>0</v>
      </c>
      <c r="L189">
        <f t="shared" si="17"/>
        <v>0</v>
      </c>
      <c r="M189">
        <f t="shared" si="18"/>
        <v>0</v>
      </c>
      <c r="N189">
        <f t="shared" si="19"/>
        <v>0</v>
      </c>
      <c r="O189">
        <f t="shared" si="20"/>
        <v>0</v>
      </c>
      <c r="P189">
        <f t="shared" si="21"/>
        <v>0</v>
      </c>
      <c r="Q189">
        <f t="shared" si="22"/>
        <v>1</v>
      </c>
      <c r="R189" t="b">
        <v>1</v>
      </c>
      <c r="S189" t="s">
        <v>358</v>
      </c>
      <c r="T189" s="10">
        <v>0.347916666666667</v>
      </c>
      <c r="U189" s="10">
        <v>0.377777777777778</v>
      </c>
      <c r="V189">
        <v>43</v>
      </c>
      <c r="W189" t="b">
        <v>0</v>
      </c>
    </row>
    <row r="190" spans="1:24">
      <c r="A190">
        <v>189</v>
      </c>
      <c r="B190" t="s">
        <v>359</v>
      </c>
      <c r="C190" t="s">
        <v>25</v>
      </c>
      <c r="D190" s="9">
        <v>32093</v>
      </c>
      <c r="E190" s="9" t="str">
        <f t="shared" si="16"/>
        <v>31-41</v>
      </c>
      <c r="F190">
        <v>36</v>
      </c>
      <c r="G190" t="s">
        <v>17</v>
      </c>
      <c r="H190">
        <v>2</v>
      </c>
      <c r="I190" t="s">
        <v>133</v>
      </c>
      <c r="K190">
        <f t="shared" si="23"/>
        <v>1</v>
      </c>
      <c r="L190">
        <f t="shared" si="17"/>
        <v>0</v>
      </c>
      <c r="M190">
        <f t="shared" si="18"/>
        <v>1</v>
      </c>
      <c r="N190">
        <f t="shared" si="19"/>
        <v>0</v>
      </c>
      <c r="O190">
        <f t="shared" si="20"/>
        <v>0</v>
      </c>
      <c r="P190">
        <f t="shared" si="21"/>
        <v>0</v>
      </c>
      <c r="Q190">
        <f t="shared" si="22"/>
        <v>0</v>
      </c>
      <c r="R190" t="b">
        <v>1</v>
      </c>
      <c r="S190" t="s">
        <v>360</v>
      </c>
      <c r="T190" s="10">
        <v>0.477777777777778</v>
      </c>
      <c r="U190" s="10">
        <v>0.529861111111111</v>
      </c>
      <c r="V190">
        <v>75</v>
      </c>
      <c r="W190" t="b">
        <v>0</v>
      </c>
    </row>
    <row r="191" spans="1:24">
      <c r="A191">
        <v>190</v>
      </c>
      <c r="B191" t="s">
        <v>361</v>
      </c>
      <c r="C191" t="s">
        <v>25</v>
      </c>
      <c r="D191" s="9">
        <v>40794</v>
      </c>
      <c r="E191" s="9" t="str">
        <f t="shared" si="16"/>
        <v>below 20</v>
      </c>
      <c r="F191">
        <v>13</v>
      </c>
      <c r="G191" t="s">
        <v>21</v>
      </c>
      <c r="H191">
        <v>4</v>
      </c>
      <c r="I191" t="s">
        <v>168</v>
      </c>
      <c r="K191">
        <f t="shared" si="23"/>
        <v>1</v>
      </c>
      <c r="L191">
        <f t="shared" si="17"/>
        <v>0</v>
      </c>
      <c r="M191">
        <f t="shared" si="18"/>
        <v>1</v>
      </c>
      <c r="N191">
        <f t="shared" si="19"/>
        <v>1</v>
      </c>
      <c r="O191">
        <f t="shared" si="20"/>
        <v>0</v>
      </c>
      <c r="P191">
        <f t="shared" si="21"/>
        <v>0</v>
      </c>
      <c r="Q191">
        <f t="shared" si="22"/>
        <v>1</v>
      </c>
      <c r="R191" t="b">
        <v>0</v>
      </c>
      <c r="T191" s="10">
        <v>0.615972222222222</v>
      </c>
      <c r="U191" s="10">
        <v>0.707638888888889</v>
      </c>
      <c r="V191">
        <v>132</v>
      </c>
      <c r="W191" t="b">
        <v>0</v>
      </c>
    </row>
    <row r="192" spans="1:24">
      <c r="A192">
        <v>191</v>
      </c>
      <c r="B192" t="s">
        <v>362</v>
      </c>
      <c r="C192" t="s">
        <v>25</v>
      </c>
      <c r="D192" s="9">
        <v>33900</v>
      </c>
      <c r="E192" s="9" t="str">
        <f t="shared" si="16"/>
        <v>31-41</v>
      </c>
      <c r="F192">
        <v>31</v>
      </c>
      <c r="G192" t="s">
        <v>17</v>
      </c>
      <c r="H192">
        <v>2</v>
      </c>
      <c r="I192" t="s">
        <v>189</v>
      </c>
      <c r="K192">
        <f t="shared" si="23"/>
        <v>0</v>
      </c>
      <c r="L192">
        <f t="shared" si="17"/>
        <v>1</v>
      </c>
      <c r="M192">
        <f t="shared" si="18"/>
        <v>1</v>
      </c>
      <c r="N192">
        <f t="shared" si="19"/>
        <v>0</v>
      </c>
      <c r="O192">
        <f t="shared" si="20"/>
        <v>0</v>
      </c>
      <c r="P192">
        <f t="shared" si="21"/>
        <v>0</v>
      </c>
      <c r="Q192">
        <f t="shared" si="22"/>
        <v>0</v>
      </c>
      <c r="R192" t="b">
        <v>0</v>
      </c>
      <c r="T192" s="10">
        <v>0.575</v>
      </c>
      <c r="U192" s="10">
        <v>0.685416666666667</v>
      </c>
      <c r="V192">
        <v>159</v>
      </c>
      <c r="W192" t="b">
        <v>0</v>
      </c>
    </row>
    <row r="193" spans="1:24">
      <c r="A193">
        <v>192</v>
      </c>
      <c r="B193" t="s">
        <v>363</v>
      </c>
      <c r="C193" t="s">
        <v>16</v>
      </c>
      <c r="D193" s="9">
        <v>31239</v>
      </c>
      <c r="E193" s="9" t="str">
        <f t="shared" si="16"/>
        <v>31-41</v>
      </c>
      <c r="F193">
        <v>39</v>
      </c>
      <c r="G193" t="s">
        <v>21</v>
      </c>
      <c r="H193">
        <v>4</v>
      </c>
      <c r="I193" t="s">
        <v>18</v>
      </c>
      <c r="K193">
        <f t="shared" si="23"/>
        <v>0</v>
      </c>
      <c r="L193">
        <f t="shared" si="17"/>
        <v>1</v>
      </c>
      <c r="M193">
        <f t="shared" si="18"/>
        <v>1</v>
      </c>
      <c r="N193">
        <f t="shared" si="19"/>
        <v>1</v>
      </c>
      <c r="O193">
        <f t="shared" si="20"/>
        <v>0</v>
      </c>
      <c r="P193">
        <f t="shared" si="21"/>
        <v>0</v>
      </c>
      <c r="Q193">
        <f t="shared" si="22"/>
        <v>1</v>
      </c>
      <c r="R193" t="b">
        <v>0</v>
      </c>
      <c r="T193" s="10">
        <v>0.713194444444444</v>
      </c>
      <c r="U193" s="10">
        <v>0.747916666666667</v>
      </c>
      <c r="V193">
        <v>50</v>
      </c>
      <c r="W193" t="b">
        <v>0</v>
      </c>
    </row>
    <row r="194" spans="1:24">
      <c r="A194">
        <v>193</v>
      </c>
      <c r="B194" t="s">
        <v>364</v>
      </c>
      <c r="C194" t="s">
        <v>16</v>
      </c>
      <c r="D194" s="9">
        <v>41069</v>
      </c>
      <c r="E194" s="9" t="str">
        <f t="shared" ref="E194:E257" si="24">IF(F194&lt;20,"below 20",IF(F194&lt;=30,"20-30",IF(F194&lt;=40,"31-41",IF(F194&lt;=50,"41-50","above 50"))))</f>
        <v>below 20</v>
      </c>
      <c r="F194">
        <v>12</v>
      </c>
      <c r="G194" t="s">
        <v>17</v>
      </c>
      <c r="H194">
        <v>3</v>
      </c>
      <c r="I194" t="s">
        <v>92</v>
      </c>
      <c r="K194">
        <f t="shared" si="23"/>
        <v>0</v>
      </c>
      <c r="L194">
        <f t="shared" si="17"/>
        <v>1</v>
      </c>
      <c r="M194">
        <f t="shared" si="18"/>
        <v>0</v>
      </c>
      <c r="N194">
        <f t="shared" si="19"/>
        <v>1</v>
      </c>
      <c r="O194">
        <f t="shared" si="20"/>
        <v>0</v>
      </c>
      <c r="P194">
        <f t="shared" si="21"/>
        <v>1</v>
      </c>
      <c r="Q194">
        <f t="shared" si="22"/>
        <v>0</v>
      </c>
      <c r="R194" t="b">
        <v>1</v>
      </c>
      <c r="S194" t="s">
        <v>174</v>
      </c>
      <c r="T194" s="10">
        <v>0.58125</v>
      </c>
      <c r="U194" s="10">
        <v>0.704166666666667</v>
      </c>
      <c r="V194">
        <v>177</v>
      </c>
      <c r="W194" t="b">
        <v>0</v>
      </c>
    </row>
    <row r="195" spans="1:24">
      <c r="A195">
        <v>194</v>
      </c>
      <c r="B195" t="s">
        <v>365</v>
      </c>
      <c r="C195" t="s">
        <v>16</v>
      </c>
      <c r="D195" s="9">
        <v>37118</v>
      </c>
      <c r="E195" s="9" t="str">
        <f t="shared" si="24"/>
        <v>20-30</v>
      </c>
      <c r="F195">
        <v>23</v>
      </c>
      <c r="G195" t="s">
        <v>17</v>
      </c>
      <c r="H195">
        <v>1</v>
      </c>
      <c r="I195" t="s">
        <v>81</v>
      </c>
      <c r="K195">
        <f t="shared" si="23"/>
        <v>0</v>
      </c>
      <c r="L195">
        <f t="shared" ref="L195:L258" si="25">--ISNUMBER(SEARCH("Mon",I195))</f>
        <v>0</v>
      </c>
      <c r="M195">
        <f t="shared" ref="M195:M258" si="26">--ISNUMBER(SEARCH("Tue",I195))</f>
        <v>0</v>
      </c>
      <c r="N195">
        <f t="shared" ref="N195:N258" si="27">--ISNUMBER(SEARCH("Wed",I195))</f>
        <v>0</v>
      </c>
      <c r="O195">
        <f t="shared" ref="O195:O258" si="28">--ISNUMBER(SEARCH("Thu",I195))</f>
        <v>0</v>
      </c>
      <c r="P195">
        <f t="shared" ref="P195:P258" si="29">--ISNUMBER(SEARCH("Fri",I195))</f>
        <v>1</v>
      </c>
      <c r="Q195">
        <f t="shared" ref="Q195:Q258" si="30">--ISNUMBER(SEARCH("Sat",I195))</f>
        <v>0</v>
      </c>
      <c r="R195" t="b">
        <v>0</v>
      </c>
      <c r="T195" s="10">
        <v>0.704166666666667</v>
      </c>
      <c r="U195" s="10">
        <v>0.820138888888889</v>
      </c>
      <c r="V195">
        <v>167</v>
      </c>
      <c r="W195" t="b">
        <v>0</v>
      </c>
    </row>
    <row r="196" spans="1:24">
      <c r="A196">
        <v>195</v>
      </c>
      <c r="B196" t="s">
        <v>366</v>
      </c>
      <c r="C196" t="s">
        <v>25</v>
      </c>
      <c r="D196" s="9">
        <v>28969</v>
      </c>
      <c r="E196" s="9" t="str">
        <f t="shared" si="24"/>
        <v>41-50</v>
      </c>
      <c r="F196">
        <v>45</v>
      </c>
      <c r="G196" t="s">
        <v>17</v>
      </c>
      <c r="H196">
        <v>2</v>
      </c>
      <c r="I196" t="s">
        <v>133</v>
      </c>
      <c r="K196">
        <f t="shared" si="23"/>
        <v>1</v>
      </c>
      <c r="L196">
        <f t="shared" si="25"/>
        <v>0</v>
      </c>
      <c r="M196">
        <f t="shared" si="26"/>
        <v>1</v>
      </c>
      <c r="N196">
        <f t="shared" si="27"/>
        <v>0</v>
      </c>
      <c r="O196">
        <f t="shared" si="28"/>
        <v>0</v>
      </c>
      <c r="P196">
        <f t="shared" si="29"/>
        <v>0</v>
      </c>
      <c r="Q196">
        <f t="shared" si="30"/>
        <v>0</v>
      </c>
      <c r="R196" t="b">
        <v>0</v>
      </c>
      <c r="T196" s="10">
        <v>0.474305555555556</v>
      </c>
      <c r="U196" s="10">
        <v>0.541666666666667</v>
      </c>
      <c r="V196">
        <v>97</v>
      </c>
      <c r="W196" t="b">
        <v>0</v>
      </c>
    </row>
    <row r="197" spans="1:24">
      <c r="A197">
        <v>196</v>
      </c>
      <c r="B197" t="s">
        <v>367</v>
      </c>
      <c r="C197" t="s">
        <v>25</v>
      </c>
      <c r="D197" s="9">
        <v>31087</v>
      </c>
      <c r="E197" s="9" t="str">
        <f t="shared" si="24"/>
        <v>31-41</v>
      </c>
      <c r="F197">
        <v>39</v>
      </c>
      <c r="G197" t="s">
        <v>17</v>
      </c>
      <c r="H197">
        <v>5</v>
      </c>
      <c r="I197" t="s">
        <v>368</v>
      </c>
      <c r="K197">
        <f t="shared" ref="K197:K260" si="31">--ISNUMBER(SEARCH("Sun",I197))</f>
        <v>0</v>
      </c>
      <c r="L197">
        <f t="shared" si="25"/>
        <v>1</v>
      </c>
      <c r="M197">
        <f t="shared" si="26"/>
        <v>1</v>
      </c>
      <c r="N197">
        <f t="shared" si="27"/>
        <v>1</v>
      </c>
      <c r="O197">
        <f t="shared" si="28"/>
        <v>1</v>
      </c>
      <c r="P197">
        <f t="shared" si="29"/>
        <v>1</v>
      </c>
      <c r="Q197">
        <f t="shared" si="30"/>
        <v>0</v>
      </c>
      <c r="R197" t="b">
        <v>0</v>
      </c>
      <c r="T197" s="10">
        <v>0.834027777777778</v>
      </c>
      <c r="U197" s="10">
        <v>0.955555555555556</v>
      </c>
      <c r="V197">
        <v>175</v>
      </c>
      <c r="W197" t="b">
        <v>1</v>
      </c>
      <c r="X197" t="s">
        <v>47</v>
      </c>
    </row>
    <row r="198" spans="1:24">
      <c r="A198">
        <v>197</v>
      </c>
      <c r="B198" t="s">
        <v>369</v>
      </c>
      <c r="C198" t="s">
        <v>25</v>
      </c>
      <c r="D198" s="9">
        <v>40263</v>
      </c>
      <c r="E198" s="9" t="str">
        <f t="shared" si="24"/>
        <v>below 20</v>
      </c>
      <c r="F198">
        <v>14</v>
      </c>
      <c r="G198" t="s">
        <v>21</v>
      </c>
      <c r="H198">
        <v>2</v>
      </c>
      <c r="I198" t="s">
        <v>272</v>
      </c>
      <c r="K198">
        <f t="shared" si="31"/>
        <v>0</v>
      </c>
      <c r="L198">
        <f t="shared" si="25"/>
        <v>0</v>
      </c>
      <c r="M198">
        <f t="shared" si="26"/>
        <v>1</v>
      </c>
      <c r="N198">
        <f t="shared" si="27"/>
        <v>1</v>
      </c>
      <c r="O198">
        <f t="shared" si="28"/>
        <v>0</v>
      </c>
      <c r="P198">
        <f t="shared" si="29"/>
        <v>0</v>
      </c>
      <c r="Q198">
        <f t="shared" si="30"/>
        <v>0</v>
      </c>
      <c r="R198" t="b">
        <v>0</v>
      </c>
      <c r="T198" s="10">
        <v>0.578472222222222</v>
      </c>
      <c r="U198" s="10">
        <v>0.611111111111111</v>
      </c>
      <c r="V198">
        <v>47</v>
      </c>
      <c r="W198" t="b">
        <v>1</v>
      </c>
      <c r="X198" t="s">
        <v>28</v>
      </c>
    </row>
    <row r="199" spans="1:24">
      <c r="A199">
        <v>198</v>
      </c>
      <c r="B199" t="s">
        <v>370</v>
      </c>
      <c r="C199" t="s">
        <v>25</v>
      </c>
      <c r="D199" s="9">
        <v>34551</v>
      </c>
      <c r="E199" s="9" t="str">
        <f t="shared" si="24"/>
        <v>20-30</v>
      </c>
      <c r="F199">
        <v>30</v>
      </c>
      <c r="G199" t="s">
        <v>17</v>
      </c>
      <c r="H199">
        <v>3</v>
      </c>
      <c r="I199" t="s">
        <v>130</v>
      </c>
      <c r="K199">
        <f t="shared" si="31"/>
        <v>0</v>
      </c>
      <c r="L199">
        <f t="shared" si="25"/>
        <v>1</v>
      </c>
      <c r="M199">
        <f t="shared" si="26"/>
        <v>0</v>
      </c>
      <c r="N199">
        <f t="shared" si="27"/>
        <v>1</v>
      </c>
      <c r="O199">
        <f t="shared" si="28"/>
        <v>1</v>
      </c>
      <c r="P199">
        <f t="shared" si="29"/>
        <v>0</v>
      </c>
      <c r="Q199">
        <f t="shared" si="30"/>
        <v>0</v>
      </c>
      <c r="R199" t="b">
        <v>1</v>
      </c>
      <c r="S199" t="s">
        <v>371</v>
      </c>
      <c r="T199" s="10">
        <v>0.541666666666667</v>
      </c>
      <c r="U199" s="10">
        <v>0.617361111111111</v>
      </c>
      <c r="V199">
        <v>109</v>
      </c>
      <c r="W199" t="b">
        <v>1</v>
      </c>
      <c r="X199" t="s">
        <v>47</v>
      </c>
    </row>
    <row r="200" spans="1:24">
      <c r="A200">
        <v>199</v>
      </c>
      <c r="B200" t="s">
        <v>372</v>
      </c>
      <c r="C200" t="s">
        <v>16</v>
      </c>
      <c r="D200" s="9">
        <v>39819</v>
      </c>
      <c r="E200" s="9" t="str">
        <f t="shared" si="24"/>
        <v>below 20</v>
      </c>
      <c r="F200">
        <v>15</v>
      </c>
      <c r="G200" t="s">
        <v>17</v>
      </c>
      <c r="H200">
        <v>3</v>
      </c>
      <c r="I200" t="s">
        <v>321</v>
      </c>
      <c r="K200">
        <f t="shared" si="31"/>
        <v>0</v>
      </c>
      <c r="L200">
        <f t="shared" si="25"/>
        <v>0</v>
      </c>
      <c r="M200">
        <f t="shared" si="26"/>
        <v>0</v>
      </c>
      <c r="N200">
        <f t="shared" si="27"/>
        <v>1</v>
      </c>
      <c r="O200">
        <f t="shared" si="28"/>
        <v>0</v>
      </c>
      <c r="P200">
        <f t="shared" si="29"/>
        <v>1</v>
      </c>
      <c r="Q200">
        <f t="shared" si="30"/>
        <v>1</v>
      </c>
      <c r="R200" t="b">
        <v>0</v>
      </c>
      <c r="T200" s="10">
        <v>0.413194444444444</v>
      </c>
      <c r="U200" s="10">
        <v>0.503472222222222</v>
      </c>
      <c r="V200">
        <v>130</v>
      </c>
      <c r="W200" t="b">
        <v>1</v>
      </c>
      <c r="X200" t="s">
        <v>47</v>
      </c>
    </row>
    <row r="201" spans="1:24">
      <c r="A201">
        <v>200</v>
      </c>
      <c r="B201" t="s">
        <v>373</v>
      </c>
      <c r="C201" t="s">
        <v>25</v>
      </c>
      <c r="D201" s="9">
        <v>41152</v>
      </c>
      <c r="E201" s="9" t="str">
        <f t="shared" si="24"/>
        <v>below 20</v>
      </c>
      <c r="F201">
        <v>12</v>
      </c>
      <c r="G201" t="s">
        <v>21</v>
      </c>
      <c r="H201">
        <v>1</v>
      </c>
      <c r="I201" t="s">
        <v>49</v>
      </c>
      <c r="K201">
        <f t="shared" si="31"/>
        <v>0</v>
      </c>
      <c r="L201">
        <f t="shared" si="25"/>
        <v>0</v>
      </c>
      <c r="M201">
        <f t="shared" si="26"/>
        <v>0</v>
      </c>
      <c r="N201">
        <f t="shared" si="27"/>
        <v>0</v>
      </c>
      <c r="O201">
        <f t="shared" si="28"/>
        <v>1</v>
      </c>
      <c r="P201">
        <f t="shared" si="29"/>
        <v>0</v>
      </c>
      <c r="Q201">
        <f t="shared" si="30"/>
        <v>0</v>
      </c>
      <c r="R201" t="b">
        <v>0</v>
      </c>
      <c r="T201" s="10">
        <v>0.657638888888889</v>
      </c>
      <c r="U201" s="10">
        <v>0.68125</v>
      </c>
      <c r="V201">
        <v>34</v>
      </c>
      <c r="W201" t="b">
        <v>1</v>
      </c>
      <c r="X201" t="s">
        <v>47</v>
      </c>
    </row>
    <row r="202" spans="1:24">
      <c r="A202">
        <v>201</v>
      </c>
      <c r="B202" t="s">
        <v>374</v>
      </c>
      <c r="C202" t="s">
        <v>25</v>
      </c>
      <c r="D202" s="9">
        <v>28762</v>
      </c>
      <c r="E202" s="9" t="str">
        <f t="shared" si="24"/>
        <v>41-50</v>
      </c>
      <c r="F202">
        <v>46</v>
      </c>
      <c r="G202" t="s">
        <v>21</v>
      </c>
      <c r="H202">
        <v>4</v>
      </c>
      <c r="I202" t="s">
        <v>375</v>
      </c>
      <c r="K202">
        <f t="shared" si="31"/>
        <v>1</v>
      </c>
      <c r="L202">
        <f t="shared" si="25"/>
        <v>0</v>
      </c>
      <c r="M202">
        <f t="shared" si="26"/>
        <v>1</v>
      </c>
      <c r="N202">
        <f t="shared" si="27"/>
        <v>1</v>
      </c>
      <c r="O202">
        <f t="shared" si="28"/>
        <v>1</v>
      </c>
      <c r="P202">
        <f t="shared" si="29"/>
        <v>0</v>
      </c>
      <c r="Q202">
        <f t="shared" si="30"/>
        <v>0</v>
      </c>
      <c r="R202" t="b">
        <v>1</v>
      </c>
      <c r="S202" t="s">
        <v>230</v>
      </c>
      <c r="T202" s="10">
        <v>0.563194444444444</v>
      </c>
      <c r="U202" s="10">
        <v>0.615972222222222</v>
      </c>
      <c r="V202">
        <v>76</v>
      </c>
      <c r="W202" t="b">
        <v>1</v>
      </c>
      <c r="X202" t="s">
        <v>28</v>
      </c>
    </row>
    <row r="203" spans="1:24">
      <c r="A203">
        <v>202</v>
      </c>
      <c r="B203" t="s">
        <v>376</v>
      </c>
      <c r="C203" t="s">
        <v>25</v>
      </c>
      <c r="D203" s="9">
        <v>27539</v>
      </c>
      <c r="E203" s="9" t="str">
        <f t="shared" si="24"/>
        <v>41-50</v>
      </c>
      <c r="F203">
        <v>49</v>
      </c>
      <c r="G203" t="s">
        <v>17</v>
      </c>
      <c r="H203">
        <v>4</v>
      </c>
      <c r="I203" t="s">
        <v>377</v>
      </c>
      <c r="K203">
        <f t="shared" si="31"/>
        <v>1</v>
      </c>
      <c r="L203">
        <f t="shared" si="25"/>
        <v>1</v>
      </c>
      <c r="M203">
        <f t="shared" si="26"/>
        <v>1</v>
      </c>
      <c r="N203">
        <f t="shared" si="27"/>
        <v>0</v>
      </c>
      <c r="O203">
        <f t="shared" si="28"/>
        <v>1</v>
      </c>
      <c r="P203">
        <f t="shared" si="29"/>
        <v>0</v>
      </c>
      <c r="Q203">
        <f t="shared" si="30"/>
        <v>0</v>
      </c>
      <c r="R203" t="b">
        <v>0</v>
      </c>
      <c r="T203" s="10">
        <v>0.347916666666667</v>
      </c>
      <c r="U203" s="10">
        <v>0.375</v>
      </c>
      <c r="V203">
        <v>39</v>
      </c>
      <c r="W203" t="b">
        <v>0</v>
      </c>
    </row>
    <row r="204" spans="1:24">
      <c r="A204">
        <v>203</v>
      </c>
      <c r="B204" t="s">
        <v>378</v>
      </c>
      <c r="C204" t="s">
        <v>16</v>
      </c>
      <c r="D204" s="9">
        <v>29575</v>
      </c>
      <c r="E204" s="9" t="str">
        <f t="shared" si="24"/>
        <v>41-50</v>
      </c>
      <c r="F204">
        <v>43</v>
      </c>
      <c r="G204" t="s">
        <v>17</v>
      </c>
      <c r="H204">
        <v>2</v>
      </c>
      <c r="I204" t="s">
        <v>72</v>
      </c>
      <c r="K204">
        <f t="shared" si="31"/>
        <v>0</v>
      </c>
      <c r="L204">
        <f t="shared" si="25"/>
        <v>0</v>
      </c>
      <c r="M204">
        <f t="shared" si="26"/>
        <v>0</v>
      </c>
      <c r="N204">
        <f t="shared" si="27"/>
        <v>0</v>
      </c>
      <c r="O204">
        <f t="shared" si="28"/>
        <v>1</v>
      </c>
      <c r="P204">
        <f t="shared" si="29"/>
        <v>0</v>
      </c>
      <c r="Q204">
        <f t="shared" si="30"/>
        <v>1</v>
      </c>
      <c r="R204" t="b">
        <v>0</v>
      </c>
      <c r="T204" s="10">
        <v>0.772222222222222</v>
      </c>
      <c r="U204" s="10">
        <v>0.846527777777778</v>
      </c>
      <c r="V204">
        <v>107</v>
      </c>
      <c r="W204" t="b">
        <v>1</v>
      </c>
      <c r="X204" t="s">
        <v>23</v>
      </c>
    </row>
    <row r="205" spans="1:24">
      <c r="A205">
        <v>204</v>
      </c>
      <c r="B205" t="s">
        <v>379</v>
      </c>
      <c r="C205" t="s">
        <v>25</v>
      </c>
      <c r="D205" s="9">
        <v>38401</v>
      </c>
      <c r="E205" s="9" t="str">
        <f t="shared" si="24"/>
        <v>below 20</v>
      </c>
      <c r="F205">
        <v>19</v>
      </c>
      <c r="G205" t="s">
        <v>17</v>
      </c>
      <c r="H205">
        <v>2</v>
      </c>
      <c r="I205" t="s">
        <v>40</v>
      </c>
      <c r="K205">
        <f t="shared" si="31"/>
        <v>1</v>
      </c>
      <c r="L205">
        <f t="shared" si="25"/>
        <v>0</v>
      </c>
      <c r="M205">
        <f t="shared" si="26"/>
        <v>0</v>
      </c>
      <c r="N205">
        <f t="shared" si="27"/>
        <v>0</v>
      </c>
      <c r="O205">
        <f t="shared" si="28"/>
        <v>0</v>
      </c>
      <c r="P205">
        <f t="shared" si="29"/>
        <v>0</v>
      </c>
      <c r="Q205">
        <f t="shared" si="30"/>
        <v>1</v>
      </c>
      <c r="R205" t="b">
        <v>1</v>
      </c>
      <c r="S205" t="s">
        <v>380</v>
      </c>
      <c r="T205" s="10">
        <v>0.717361111111111</v>
      </c>
      <c r="U205" s="10">
        <v>0.776388888888889</v>
      </c>
      <c r="V205">
        <v>85</v>
      </c>
      <c r="W205" t="b">
        <v>1</v>
      </c>
      <c r="X205" t="s">
        <v>47</v>
      </c>
    </row>
    <row r="206" spans="1:24">
      <c r="A206">
        <v>205</v>
      </c>
      <c r="B206" t="s">
        <v>381</v>
      </c>
      <c r="C206" t="s">
        <v>25</v>
      </c>
      <c r="D206" s="9">
        <v>30100</v>
      </c>
      <c r="E206" s="9" t="str">
        <f t="shared" si="24"/>
        <v>41-50</v>
      </c>
      <c r="F206">
        <v>42</v>
      </c>
      <c r="G206" t="s">
        <v>17</v>
      </c>
      <c r="H206">
        <v>3</v>
      </c>
      <c r="I206" t="s">
        <v>215</v>
      </c>
      <c r="K206">
        <f t="shared" si="31"/>
        <v>1</v>
      </c>
      <c r="L206">
        <f t="shared" si="25"/>
        <v>1</v>
      </c>
      <c r="M206">
        <f t="shared" si="26"/>
        <v>1</v>
      </c>
      <c r="N206">
        <f t="shared" si="27"/>
        <v>0</v>
      </c>
      <c r="O206">
        <f t="shared" si="28"/>
        <v>0</v>
      </c>
      <c r="P206">
        <f t="shared" si="29"/>
        <v>0</v>
      </c>
      <c r="Q206">
        <f t="shared" si="30"/>
        <v>0</v>
      </c>
      <c r="R206" t="b">
        <v>0</v>
      </c>
      <c r="T206" s="10">
        <v>0.414583333333333</v>
      </c>
      <c r="U206" s="10">
        <v>0.479861111111111</v>
      </c>
      <c r="V206">
        <v>94</v>
      </c>
      <c r="W206" t="b">
        <v>1</v>
      </c>
      <c r="X206" t="s">
        <v>23</v>
      </c>
    </row>
    <row r="207" spans="1:24">
      <c r="A207">
        <v>206</v>
      </c>
      <c r="B207" t="s">
        <v>382</v>
      </c>
      <c r="C207" t="s">
        <v>25</v>
      </c>
      <c r="D207" s="9">
        <v>28570</v>
      </c>
      <c r="E207" s="9" t="str">
        <f t="shared" si="24"/>
        <v>41-50</v>
      </c>
      <c r="F207">
        <v>46</v>
      </c>
      <c r="G207" t="s">
        <v>21</v>
      </c>
      <c r="H207">
        <v>1</v>
      </c>
      <c r="I207" t="s">
        <v>46</v>
      </c>
      <c r="K207">
        <f t="shared" si="31"/>
        <v>0</v>
      </c>
      <c r="L207">
        <f t="shared" si="25"/>
        <v>1</v>
      </c>
      <c r="M207">
        <f t="shared" si="26"/>
        <v>0</v>
      </c>
      <c r="N207">
        <f t="shared" si="27"/>
        <v>0</v>
      </c>
      <c r="O207">
        <f t="shared" si="28"/>
        <v>0</v>
      </c>
      <c r="P207">
        <f t="shared" si="29"/>
        <v>0</v>
      </c>
      <c r="Q207">
        <f t="shared" si="30"/>
        <v>0</v>
      </c>
      <c r="R207" t="b">
        <v>1</v>
      </c>
      <c r="S207" t="s">
        <v>383</v>
      </c>
      <c r="T207" s="10">
        <v>0.754166666666667</v>
      </c>
      <c r="U207" s="10">
        <v>0.834027777777778</v>
      </c>
      <c r="V207">
        <v>115</v>
      </c>
      <c r="W207" t="b">
        <v>0</v>
      </c>
    </row>
    <row r="208" spans="1:24">
      <c r="A208">
        <v>207</v>
      </c>
      <c r="B208" t="s">
        <v>384</v>
      </c>
      <c r="C208" t="s">
        <v>25</v>
      </c>
      <c r="D208" s="9">
        <v>38888</v>
      </c>
      <c r="E208" s="9" t="str">
        <f t="shared" si="24"/>
        <v>below 20</v>
      </c>
      <c r="F208">
        <v>18</v>
      </c>
      <c r="G208" t="s">
        <v>21</v>
      </c>
      <c r="H208">
        <v>3</v>
      </c>
      <c r="I208" t="s">
        <v>52</v>
      </c>
      <c r="K208">
        <f t="shared" si="31"/>
        <v>0</v>
      </c>
      <c r="L208">
        <f t="shared" si="25"/>
        <v>1</v>
      </c>
      <c r="M208">
        <f t="shared" si="26"/>
        <v>1</v>
      </c>
      <c r="N208">
        <f t="shared" si="27"/>
        <v>0</v>
      </c>
      <c r="O208">
        <f t="shared" si="28"/>
        <v>0</v>
      </c>
      <c r="P208">
        <f t="shared" si="29"/>
        <v>0</v>
      </c>
      <c r="Q208">
        <f t="shared" si="30"/>
        <v>1</v>
      </c>
      <c r="R208" t="b">
        <v>1</v>
      </c>
      <c r="S208" t="s">
        <v>385</v>
      </c>
      <c r="T208" s="10">
        <v>0.490972222222222</v>
      </c>
      <c r="U208" s="10">
        <v>0.524305555555556</v>
      </c>
      <c r="V208">
        <v>48</v>
      </c>
      <c r="W208" t="b">
        <v>1</v>
      </c>
      <c r="X208" t="s">
        <v>23</v>
      </c>
    </row>
    <row r="209" spans="1:24">
      <c r="A209">
        <v>208</v>
      </c>
      <c r="B209" t="s">
        <v>386</v>
      </c>
      <c r="C209" t="s">
        <v>25</v>
      </c>
      <c r="D209" s="9">
        <v>30318</v>
      </c>
      <c r="E209" s="9" t="str">
        <f t="shared" si="24"/>
        <v>41-50</v>
      </c>
      <c r="F209">
        <v>41</v>
      </c>
      <c r="G209" t="s">
        <v>17</v>
      </c>
      <c r="H209">
        <v>1</v>
      </c>
      <c r="I209" t="s">
        <v>185</v>
      </c>
      <c r="K209">
        <f t="shared" si="31"/>
        <v>0</v>
      </c>
      <c r="L209">
        <f t="shared" si="25"/>
        <v>0</v>
      </c>
      <c r="M209">
        <f t="shared" si="26"/>
        <v>0</v>
      </c>
      <c r="N209">
        <f t="shared" si="27"/>
        <v>1</v>
      </c>
      <c r="O209">
        <f t="shared" si="28"/>
        <v>0</v>
      </c>
      <c r="P209">
        <f t="shared" si="29"/>
        <v>0</v>
      </c>
      <c r="Q209">
        <f t="shared" si="30"/>
        <v>0</v>
      </c>
      <c r="R209" t="b">
        <v>1</v>
      </c>
      <c r="S209" t="s">
        <v>387</v>
      </c>
      <c r="T209" s="10">
        <v>0.477777777777778</v>
      </c>
      <c r="U209" s="10">
        <v>0.588888888888889</v>
      </c>
      <c r="V209">
        <v>160</v>
      </c>
      <c r="W209" t="b">
        <v>1</v>
      </c>
      <c r="X209" t="s">
        <v>47</v>
      </c>
    </row>
    <row r="210" spans="1:24">
      <c r="A210">
        <v>209</v>
      </c>
      <c r="B210" t="s">
        <v>388</v>
      </c>
      <c r="C210" t="s">
        <v>25</v>
      </c>
      <c r="D210" s="9">
        <v>38606</v>
      </c>
      <c r="E210" s="9" t="str">
        <f t="shared" si="24"/>
        <v>below 20</v>
      </c>
      <c r="F210">
        <v>19</v>
      </c>
      <c r="G210" t="s">
        <v>17</v>
      </c>
      <c r="H210">
        <v>4</v>
      </c>
      <c r="I210" t="s">
        <v>312</v>
      </c>
      <c r="K210">
        <f t="shared" si="31"/>
        <v>0</v>
      </c>
      <c r="L210">
        <f t="shared" si="25"/>
        <v>0</v>
      </c>
      <c r="M210">
        <f t="shared" si="26"/>
        <v>1</v>
      </c>
      <c r="N210">
        <f t="shared" si="27"/>
        <v>0</v>
      </c>
      <c r="O210">
        <f t="shared" si="28"/>
        <v>1</v>
      </c>
      <c r="P210">
        <f t="shared" si="29"/>
        <v>1</v>
      </c>
      <c r="Q210">
        <f t="shared" si="30"/>
        <v>1</v>
      </c>
      <c r="R210" t="b">
        <v>0</v>
      </c>
      <c r="T210" s="10">
        <v>0.796527777777778</v>
      </c>
      <c r="U210" s="10">
        <v>0.81875</v>
      </c>
      <c r="V210">
        <v>32</v>
      </c>
      <c r="W210" t="b">
        <v>1</v>
      </c>
      <c r="X210" t="s">
        <v>50</v>
      </c>
    </row>
    <row r="211" spans="1:24">
      <c r="A211">
        <v>210</v>
      </c>
      <c r="B211" t="s">
        <v>389</v>
      </c>
      <c r="C211" t="s">
        <v>25</v>
      </c>
      <c r="D211" s="9">
        <v>39315</v>
      </c>
      <c r="E211" s="9" t="str">
        <f t="shared" si="24"/>
        <v>below 20</v>
      </c>
      <c r="F211">
        <v>17</v>
      </c>
      <c r="G211" t="s">
        <v>17</v>
      </c>
      <c r="H211">
        <v>2</v>
      </c>
      <c r="I211" t="s">
        <v>133</v>
      </c>
      <c r="K211">
        <f t="shared" si="31"/>
        <v>1</v>
      </c>
      <c r="L211">
        <f t="shared" si="25"/>
        <v>0</v>
      </c>
      <c r="M211">
        <f t="shared" si="26"/>
        <v>1</v>
      </c>
      <c r="N211">
        <f t="shared" si="27"/>
        <v>0</v>
      </c>
      <c r="O211">
        <f t="shared" si="28"/>
        <v>0</v>
      </c>
      <c r="P211">
        <f t="shared" si="29"/>
        <v>0</v>
      </c>
      <c r="Q211">
        <f t="shared" si="30"/>
        <v>0</v>
      </c>
      <c r="R211" t="b">
        <v>0</v>
      </c>
      <c r="T211" s="10">
        <v>0.738888888888889</v>
      </c>
      <c r="U211" s="10">
        <v>0.795833333333333</v>
      </c>
      <c r="V211">
        <v>82</v>
      </c>
      <c r="W211" t="b">
        <v>1</v>
      </c>
      <c r="X211" t="s">
        <v>23</v>
      </c>
    </row>
    <row r="212" spans="1:24">
      <c r="A212">
        <v>211</v>
      </c>
      <c r="B212" t="s">
        <v>390</v>
      </c>
      <c r="C212" t="s">
        <v>16</v>
      </c>
      <c r="D212" s="9">
        <v>35515</v>
      </c>
      <c r="E212" s="9" t="str">
        <f t="shared" si="24"/>
        <v>20-30</v>
      </c>
      <c r="F212">
        <v>27</v>
      </c>
      <c r="G212" t="s">
        <v>21</v>
      </c>
      <c r="H212">
        <v>2</v>
      </c>
      <c r="I212" t="s">
        <v>166</v>
      </c>
      <c r="K212">
        <f t="shared" si="31"/>
        <v>0</v>
      </c>
      <c r="L212">
        <f t="shared" si="25"/>
        <v>1</v>
      </c>
      <c r="M212">
        <f t="shared" si="26"/>
        <v>0</v>
      </c>
      <c r="N212">
        <f t="shared" si="27"/>
        <v>1</v>
      </c>
      <c r="O212">
        <f t="shared" si="28"/>
        <v>0</v>
      </c>
      <c r="P212">
        <f t="shared" si="29"/>
        <v>0</v>
      </c>
      <c r="Q212">
        <f t="shared" si="30"/>
        <v>0</v>
      </c>
      <c r="R212" t="b">
        <v>1</v>
      </c>
      <c r="S212" t="s">
        <v>67</v>
      </c>
      <c r="T212" s="10">
        <v>0.381944444444444</v>
      </c>
      <c r="U212" s="10">
        <v>0.461111111111111</v>
      </c>
      <c r="V212">
        <v>114</v>
      </c>
      <c r="W212" t="b">
        <v>1</v>
      </c>
      <c r="X212" t="s">
        <v>23</v>
      </c>
    </row>
    <row r="213" spans="1:24">
      <c r="A213">
        <v>212</v>
      </c>
      <c r="B213" t="s">
        <v>391</v>
      </c>
      <c r="C213" t="s">
        <v>25</v>
      </c>
      <c r="D213" s="9">
        <v>36182</v>
      </c>
      <c r="E213" s="9" t="str">
        <f t="shared" si="24"/>
        <v>20-30</v>
      </c>
      <c r="F213">
        <v>25</v>
      </c>
      <c r="G213" t="s">
        <v>17</v>
      </c>
      <c r="H213">
        <v>3</v>
      </c>
      <c r="I213" t="s">
        <v>30</v>
      </c>
      <c r="K213">
        <f t="shared" si="31"/>
        <v>0</v>
      </c>
      <c r="L213">
        <f t="shared" si="25"/>
        <v>0</v>
      </c>
      <c r="M213">
        <f t="shared" si="26"/>
        <v>1</v>
      </c>
      <c r="N213">
        <f t="shared" si="27"/>
        <v>0</v>
      </c>
      <c r="O213">
        <f t="shared" si="28"/>
        <v>0</v>
      </c>
      <c r="P213">
        <f t="shared" si="29"/>
        <v>1</v>
      </c>
      <c r="Q213">
        <f t="shared" si="30"/>
        <v>1</v>
      </c>
      <c r="R213" t="b">
        <v>0</v>
      </c>
      <c r="T213" s="10">
        <v>0.722916666666667</v>
      </c>
      <c r="U213" s="10">
        <v>0.771527777777778</v>
      </c>
      <c r="V213">
        <v>70</v>
      </c>
      <c r="W213" t="b">
        <v>0</v>
      </c>
    </row>
    <row r="214" spans="1:24">
      <c r="A214">
        <v>213</v>
      </c>
      <c r="B214" t="s">
        <v>392</v>
      </c>
      <c r="C214" t="s">
        <v>25</v>
      </c>
      <c r="D214" s="9">
        <v>37090</v>
      </c>
      <c r="E214" s="9" t="str">
        <f t="shared" si="24"/>
        <v>20-30</v>
      </c>
      <c r="F214">
        <v>23</v>
      </c>
      <c r="G214" t="s">
        <v>17</v>
      </c>
      <c r="H214">
        <v>2</v>
      </c>
      <c r="I214" t="s">
        <v>195</v>
      </c>
      <c r="K214">
        <f t="shared" si="31"/>
        <v>1</v>
      </c>
      <c r="L214">
        <f t="shared" si="25"/>
        <v>1</v>
      </c>
      <c r="M214">
        <f t="shared" si="26"/>
        <v>0</v>
      </c>
      <c r="N214">
        <f t="shared" si="27"/>
        <v>0</v>
      </c>
      <c r="O214">
        <f t="shared" si="28"/>
        <v>0</v>
      </c>
      <c r="P214">
        <f t="shared" si="29"/>
        <v>0</v>
      </c>
      <c r="Q214">
        <f t="shared" si="30"/>
        <v>0</v>
      </c>
      <c r="R214" t="b">
        <v>1</v>
      </c>
      <c r="S214" t="s">
        <v>107</v>
      </c>
      <c r="T214" s="10">
        <v>0.540277777777778</v>
      </c>
      <c r="U214" s="10">
        <v>0.609722222222222</v>
      </c>
      <c r="V214">
        <v>100</v>
      </c>
      <c r="W214" t="b">
        <v>0</v>
      </c>
    </row>
    <row r="215" spans="1:24">
      <c r="A215">
        <v>214</v>
      </c>
      <c r="B215" t="s">
        <v>393</v>
      </c>
      <c r="C215" t="s">
        <v>16</v>
      </c>
      <c r="D215" s="9">
        <v>32509</v>
      </c>
      <c r="E215" s="9" t="str">
        <f t="shared" si="24"/>
        <v>31-41</v>
      </c>
      <c r="F215">
        <v>35</v>
      </c>
      <c r="G215" t="s">
        <v>21</v>
      </c>
      <c r="H215">
        <v>1</v>
      </c>
      <c r="I215" t="s">
        <v>185</v>
      </c>
      <c r="K215">
        <f t="shared" si="31"/>
        <v>0</v>
      </c>
      <c r="L215">
        <f t="shared" si="25"/>
        <v>0</v>
      </c>
      <c r="M215">
        <f t="shared" si="26"/>
        <v>0</v>
      </c>
      <c r="N215">
        <f t="shared" si="27"/>
        <v>1</v>
      </c>
      <c r="O215">
        <f t="shared" si="28"/>
        <v>0</v>
      </c>
      <c r="P215">
        <f t="shared" si="29"/>
        <v>0</v>
      </c>
      <c r="Q215">
        <f t="shared" si="30"/>
        <v>0</v>
      </c>
      <c r="R215" t="b">
        <v>0</v>
      </c>
      <c r="T215" s="10">
        <v>0.356944444444444</v>
      </c>
      <c r="U215" s="10">
        <v>0.388194444444444</v>
      </c>
      <c r="V215">
        <v>45</v>
      </c>
      <c r="W215" t="b">
        <v>1</v>
      </c>
      <c r="X215" t="s">
        <v>23</v>
      </c>
    </row>
    <row r="216" spans="1:24">
      <c r="A216">
        <v>215</v>
      </c>
      <c r="B216" t="s">
        <v>394</v>
      </c>
      <c r="C216" t="s">
        <v>16</v>
      </c>
      <c r="D216" s="9">
        <v>31395</v>
      </c>
      <c r="E216" s="9" t="str">
        <f t="shared" si="24"/>
        <v>31-41</v>
      </c>
      <c r="F216">
        <v>38</v>
      </c>
      <c r="G216" t="s">
        <v>21</v>
      </c>
      <c r="H216">
        <v>3</v>
      </c>
      <c r="I216" t="s">
        <v>295</v>
      </c>
      <c r="K216">
        <f t="shared" si="31"/>
        <v>1</v>
      </c>
      <c r="L216">
        <f t="shared" si="25"/>
        <v>0</v>
      </c>
      <c r="M216">
        <f t="shared" si="26"/>
        <v>0</v>
      </c>
      <c r="N216">
        <f t="shared" si="27"/>
        <v>0</v>
      </c>
      <c r="O216">
        <f t="shared" si="28"/>
        <v>1</v>
      </c>
      <c r="P216">
        <f t="shared" si="29"/>
        <v>0</v>
      </c>
      <c r="Q216">
        <f t="shared" si="30"/>
        <v>1</v>
      </c>
      <c r="R216" t="b">
        <v>1</v>
      </c>
      <c r="S216" t="s">
        <v>395</v>
      </c>
      <c r="T216" s="10">
        <v>0.345138888888889</v>
      </c>
      <c r="U216" s="10">
        <v>0.375</v>
      </c>
      <c r="V216">
        <v>43</v>
      </c>
      <c r="W216" t="b">
        <v>0</v>
      </c>
    </row>
    <row r="217" spans="1:24">
      <c r="A217">
        <v>216</v>
      </c>
      <c r="B217" t="s">
        <v>396</v>
      </c>
      <c r="C217" t="s">
        <v>25</v>
      </c>
      <c r="D217" s="9">
        <v>27495</v>
      </c>
      <c r="E217" s="9" t="str">
        <f t="shared" si="24"/>
        <v>41-50</v>
      </c>
      <c r="F217">
        <v>49</v>
      </c>
      <c r="G217" t="s">
        <v>17</v>
      </c>
      <c r="H217">
        <v>3</v>
      </c>
      <c r="I217" t="s">
        <v>74</v>
      </c>
      <c r="K217">
        <f t="shared" si="31"/>
        <v>1</v>
      </c>
      <c r="L217">
        <f t="shared" si="25"/>
        <v>1</v>
      </c>
      <c r="M217">
        <f t="shared" si="26"/>
        <v>0</v>
      </c>
      <c r="N217">
        <f t="shared" si="27"/>
        <v>0</v>
      </c>
      <c r="O217">
        <f t="shared" si="28"/>
        <v>0</v>
      </c>
      <c r="P217">
        <f t="shared" si="29"/>
        <v>1</v>
      </c>
      <c r="Q217">
        <f t="shared" si="30"/>
        <v>0</v>
      </c>
      <c r="R217" t="b">
        <v>0</v>
      </c>
      <c r="T217" s="10">
        <v>0.525694444444444</v>
      </c>
      <c r="U217" s="10">
        <v>0.598611111111111</v>
      </c>
      <c r="V217">
        <v>105</v>
      </c>
      <c r="W217" t="b">
        <v>1</v>
      </c>
      <c r="X217" t="s">
        <v>28</v>
      </c>
    </row>
    <row r="218" spans="1:24">
      <c r="A218">
        <v>217</v>
      </c>
      <c r="B218" t="s">
        <v>397</v>
      </c>
      <c r="C218" t="s">
        <v>25</v>
      </c>
      <c r="D218" s="9">
        <v>33040</v>
      </c>
      <c r="E218" s="9" t="str">
        <f t="shared" si="24"/>
        <v>31-41</v>
      </c>
      <c r="F218">
        <v>34</v>
      </c>
      <c r="G218" t="s">
        <v>21</v>
      </c>
      <c r="H218">
        <v>1</v>
      </c>
      <c r="I218" t="s">
        <v>185</v>
      </c>
      <c r="K218">
        <f t="shared" si="31"/>
        <v>0</v>
      </c>
      <c r="L218">
        <f t="shared" si="25"/>
        <v>0</v>
      </c>
      <c r="M218">
        <f t="shared" si="26"/>
        <v>0</v>
      </c>
      <c r="N218">
        <f t="shared" si="27"/>
        <v>1</v>
      </c>
      <c r="O218">
        <f t="shared" si="28"/>
        <v>0</v>
      </c>
      <c r="P218">
        <f t="shared" si="29"/>
        <v>0</v>
      </c>
      <c r="Q218">
        <f t="shared" si="30"/>
        <v>0</v>
      </c>
      <c r="R218" t="b">
        <v>0</v>
      </c>
      <c r="T218" s="10">
        <v>0.529166666666667</v>
      </c>
      <c r="U218" s="10">
        <v>0.604861111111111</v>
      </c>
      <c r="V218">
        <v>109</v>
      </c>
      <c r="W218" t="b">
        <v>1</v>
      </c>
      <c r="X218" t="s">
        <v>47</v>
      </c>
    </row>
    <row r="219" spans="1:24">
      <c r="A219">
        <v>218</v>
      </c>
      <c r="B219" t="s">
        <v>398</v>
      </c>
      <c r="C219" t="s">
        <v>16</v>
      </c>
      <c r="D219" s="9">
        <v>28502</v>
      </c>
      <c r="E219" s="9" t="str">
        <f t="shared" si="24"/>
        <v>41-50</v>
      </c>
      <c r="F219">
        <v>46</v>
      </c>
      <c r="G219" t="s">
        <v>17</v>
      </c>
      <c r="H219">
        <v>3</v>
      </c>
      <c r="I219" t="s">
        <v>251</v>
      </c>
      <c r="K219">
        <f t="shared" si="31"/>
        <v>1</v>
      </c>
      <c r="L219">
        <f t="shared" si="25"/>
        <v>0</v>
      </c>
      <c r="M219">
        <f t="shared" si="26"/>
        <v>1</v>
      </c>
      <c r="N219">
        <f t="shared" si="27"/>
        <v>1</v>
      </c>
      <c r="O219">
        <f t="shared" si="28"/>
        <v>0</v>
      </c>
      <c r="P219">
        <f t="shared" si="29"/>
        <v>0</v>
      </c>
      <c r="Q219">
        <f t="shared" si="30"/>
        <v>0</v>
      </c>
      <c r="R219" t="b">
        <v>1</v>
      </c>
      <c r="S219" t="s">
        <v>44</v>
      </c>
      <c r="T219" s="10">
        <v>0.750694444444444</v>
      </c>
      <c r="U219" s="10">
        <v>0.851388888888889</v>
      </c>
      <c r="V219">
        <v>145</v>
      </c>
      <c r="W219" t="b">
        <v>0</v>
      </c>
    </row>
    <row r="220" spans="1:24">
      <c r="A220">
        <v>219</v>
      </c>
      <c r="B220" t="s">
        <v>399</v>
      </c>
      <c r="C220" t="s">
        <v>25</v>
      </c>
      <c r="D220" s="9">
        <v>29024</v>
      </c>
      <c r="E220" s="9" t="str">
        <f t="shared" si="24"/>
        <v>41-50</v>
      </c>
      <c r="F220">
        <v>45</v>
      </c>
      <c r="G220" t="s">
        <v>21</v>
      </c>
      <c r="H220">
        <v>5</v>
      </c>
      <c r="I220" t="s">
        <v>88</v>
      </c>
      <c r="K220">
        <f t="shared" si="31"/>
        <v>0</v>
      </c>
      <c r="L220">
        <f t="shared" si="25"/>
        <v>1</v>
      </c>
      <c r="M220">
        <f t="shared" si="26"/>
        <v>0</v>
      </c>
      <c r="N220">
        <f t="shared" si="27"/>
        <v>1</v>
      </c>
      <c r="O220">
        <f t="shared" si="28"/>
        <v>1</v>
      </c>
      <c r="P220">
        <f t="shared" si="29"/>
        <v>1</v>
      </c>
      <c r="Q220">
        <f t="shared" si="30"/>
        <v>1</v>
      </c>
      <c r="R220" t="b">
        <v>1</v>
      </c>
      <c r="S220" t="s">
        <v>93</v>
      </c>
      <c r="T220" s="10">
        <v>0.624305555555556</v>
      </c>
      <c r="U220" s="10">
        <v>0.696527777777778</v>
      </c>
      <c r="V220">
        <v>104</v>
      </c>
      <c r="W220" t="b">
        <v>0</v>
      </c>
    </row>
    <row r="221" spans="1:24">
      <c r="A221">
        <v>220</v>
      </c>
      <c r="B221" t="s">
        <v>400</v>
      </c>
      <c r="C221" t="s">
        <v>25</v>
      </c>
      <c r="D221" s="9">
        <v>32093</v>
      </c>
      <c r="E221" s="9" t="str">
        <f t="shared" si="24"/>
        <v>31-41</v>
      </c>
      <c r="F221">
        <v>36</v>
      </c>
      <c r="G221" t="s">
        <v>17</v>
      </c>
      <c r="H221">
        <v>5</v>
      </c>
      <c r="I221" t="s">
        <v>177</v>
      </c>
      <c r="K221">
        <f t="shared" si="31"/>
        <v>1</v>
      </c>
      <c r="L221">
        <f t="shared" si="25"/>
        <v>1</v>
      </c>
      <c r="M221">
        <f t="shared" si="26"/>
        <v>0</v>
      </c>
      <c r="N221">
        <f t="shared" si="27"/>
        <v>0</v>
      </c>
      <c r="O221">
        <f t="shared" si="28"/>
        <v>1</v>
      </c>
      <c r="P221">
        <f t="shared" si="29"/>
        <v>1</v>
      </c>
      <c r="Q221">
        <f t="shared" si="30"/>
        <v>1</v>
      </c>
      <c r="R221" t="b">
        <v>0</v>
      </c>
      <c r="T221" s="10">
        <v>0.872916666666667</v>
      </c>
      <c r="U221" s="10">
        <v>0.945833333333333</v>
      </c>
      <c r="V221">
        <v>105</v>
      </c>
      <c r="W221" t="b">
        <v>1</v>
      </c>
      <c r="X221" t="s">
        <v>28</v>
      </c>
    </row>
    <row r="222" spans="1:24">
      <c r="A222">
        <v>221</v>
      </c>
      <c r="B222" t="s">
        <v>401</v>
      </c>
      <c r="C222" t="s">
        <v>25</v>
      </c>
      <c r="D222" s="9">
        <v>28919</v>
      </c>
      <c r="E222" s="9" t="str">
        <f t="shared" si="24"/>
        <v>41-50</v>
      </c>
      <c r="F222">
        <v>45</v>
      </c>
      <c r="G222" t="s">
        <v>17</v>
      </c>
      <c r="H222">
        <v>2</v>
      </c>
      <c r="I222" t="s">
        <v>203</v>
      </c>
      <c r="K222">
        <f t="shared" si="31"/>
        <v>1</v>
      </c>
      <c r="L222">
        <f t="shared" si="25"/>
        <v>0</v>
      </c>
      <c r="M222">
        <f t="shared" si="26"/>
        <v>0</v>
      </c>
      <c r="N222">
        <f t="shared" si="27"/>
        <v>0</v>
      </c>
      <c r="O222">
        <f t="shared" si="28"/>
        <v>0</v>
      </c>
      <c r="P222">
        <f t="shared" si="29"/>
        <v>1</v>
      </c>
      <c r="Q222">
        <f t="shared" si="30"/>
        <v>0</v>
      </c>
      <c r="R222" t="b">
        <v>0</v>
      </c>
      <c r="T222" s="10">
        <v>0.509027777777778</v>
      </c>
      <c r="U222" s="10">
        <v>0.619444444444444</v>
      </c>
      <c r="V222">
        <v>159</v>
      </c>
      <c r="W222" t="b">
        <v>1</v>
      </c>
      <c r="X222" t="s">
        <v>23</v>
      </c>
    </row>
    <row r="223" spans="1:24">
      <c r="A223">
        <v>222</v>
      </c>
      <c r="B223" t="s">
        <v>402</v>
      </c>
      <c r="C223" t="s">
        <v>25</v>
      </c>
      <c r="D223" s="9">
        <v>27492</v>
      </c>
      <c r="E223" s="9" t="str">
        <f t="shared" si="24"/>
        <v>41-50</v>
      </c>
      <c r="F223">
        <v>49</v>
      </c>
      <c r="G223" t="s">
        <v>17</v>
      </c>
      <c r="H223">
        <v>3</v>
      </c>
      <c r="I223" t="s">
        <v>92</v>
      </c>
      <c r="K223">
        <f t="shared" si="31"/>
        <v>0</v>
      </c>
      <c r="L223">
        <f t="shared" si="25"/>
        <v>1</v>
      </c>
      <c r="M223">
        <f t="shared" si="26"/>
        <v>0</v>
      </c>
      <c r="N223">
        <f t="shared" si="27"/>
        <v>1</v>
      </c>
      <c r="O223">
        <f t="shared" si="28"/>
        <v>0</v>
      </c>
      <c r="P223">
        <f t="shared" si="29"/>
        <v>1</v>
      </c>
      <c r="Q223">
        <f t="shared" si="30"/>
        <v>0</v>
      </c>
      <c r="R223" t="b">
        <v>1</v>
      </c>
      <c r="S223" t="s">
        <v>303</v>
      </c>
      <c r="T223" s="10">
        <v>0.834027777777778</v>
      </c>
      <c r="U223" s="10">
        <v>0.917361111111111</v>
      </c>
      <c r="V223">
        <v>120</v>
      </c>
      <c r="W223" t="b">
        <v>1</v>
      </c>
      <c r="X223" t="s">
        <v>28</v>
      </c>
    </row>
    <row r="224" spans="1:24">
      <c r="A224">
        <v>223</v>
      </c>
      <c r="B224" t="s">
        <v>403</v>
      </c>
      <c r="C224" t="s">
        <v>25</v>
      </c>
      <c r="D224" s="9">
        <v>38630</v>
      </c>
      <c r="E224" s="9" t="str">
        <f t="shared" si="24"/>
        <v>below 20</v>
      </c>
      <c r="F224">
        <v>18</v>
      </c>
      <c r="G224" t="s">
        <v>21</v>
      </c>
      <c r="H224">
        <v>5</v>
      </c>
      <c r="I224" t="s">
        <v>152</v>
      </c>
      <c r="K224">
        <f t="shared" si="31"/>
        <v>1</v>
      </c>
      <c r="L224">
        <f t="shared" si="25"/>
        <v>0</v>
      </c>
      <c r="M224">
        <f t="shared" si="26"/>
        <v>1</v>
      </c>
      <c r="N224">
        <f t="shared" si="27"/>
        <v>1</v>
      </c>
      <c r="O224">
        <f t="shared" si="28"/>
        <v>1</v>
      </c>
      <c r="P224">
        <f t="shared" si="29"/>
        <v>0</v>
      </c>
      <c r="Q224">
        <f t="shared" si="30"/>
        <v>1</v>
      </c>
      <c r="R224" t="b">
        <v>0</v>
      </c>
      <c r="T224" s="10">
        <v>0.849305555555556</v>
      </c>
      <c r="U224" s="10">
        <v>0.878472222222222</v>
      </c>
      <c r="V224">
        <v>42</v>
      </c>
      <c r="W224" t="b">
        <v>0</v>
      </c>
    </row>
    <row r="225" spans="1:24">
      <c r="A225">
        <v>224</v>
      </c>
      <c r="B225" t="s">
        <v>404</v>
      </c>
      <c r="C225" t="s">
        <v>16</v>
      </c>
      <c r="D225" s="9">
        <v>36737</v>
      </c>
      <c r="E225" s="9" t="str">
        <f t="shared" si="24"/>
        <v>20-30</v>
      </c>
      <c r="F225">
        <v>24</v>
      </c>
      <c r="G225" t="s">
        <v>21</v>
      </c>
      <c r="H225">
        <v>2</v>
      </c>
      <c r="I225" t="s">
        <v>187</v>
      </c>
      <c r="K225">
        <f t="shared" si="31"/>
        <v>0</v>
      </c>
      <c r="L225">
        <f t="shared" si="25"/>
        <v>0</v>
      </c>
      <c r="M225">
        <f t="shared" si="26"/>
        <v>0</v>
      </c>
      <c r="N225">
        <f t="shared" si="27"/>
        <v>1</v>
      </c>
      <c r="O225">
        <f t="shared" si="28"/>
        <v>1</v>
      </c>
      <c r="P225">
        <f t="shared" si="29"/>
        <v>0</v>
      </c>
      <c r="Q225">
        <f t="shared" si="30"/>
        <v>0</v>
      </c>
      <c r="R225" t="b">
        <v>0</v>
      </c>
      <c r="T225" s="10">
        <v>0.861805555555556</v>
      </c>
      <c r="U225" s="10">
        <v>0.963194444444444</v>
      </c>
      <c r="V225">
        <v>146</v>
      </c>
      <c r="W225" t="b">
        <v>0</v>
      </c>
    </row>
    <row r="226" spans="1:24">
      <c r="A226">
        <v>225</v>
      </c>
      <c r="B226" t="s">
        <v>405</v>
      </c>
      <c r="C226" t="s">
        <v>25</v>
      </c>
      <c r="D226" s="9">
        <v>36799</v>
      </c>
      <c r="E226" s="9" t="str">
        <f t="shared" si="24"/>
        <v>20-30</v>
      </c>
      <c r="F226">
        <v>24</v>
      </c>
      <c r="G226" t="s">
        <v>21</v>
      </c>
      <c r="H226">
        <v>3</v>
      </c>
      <c r="I226" t="s">
        <v>106</v>
      </c>
      <c r="K226">
        <f t="shared" si="31"/>
        <v>1</v>
      </c>
      <c r="L226">
        <f t="shared" si="25"/>
        <v>1</v>
      </c>
      <c r="M226">
        <f t="shared" si="26"/>
        <v>0</v>
      </c>
      <c r="N226">
        <f t="shared" si="27"/>
        <v>0</v>
      </c>
      <c r="O226">
        <f t="shared" si="28"/>
        <v>1</v>
      </c>
      <c r="P226">
        <f t="shared" si="29"/>
        <v>0</v>
      </c>
      <c r="Q226">
        <f t="shared" si="30"/>
        <v>0</v>
      </c>
      <c r="R226" t="b">
        <v>0</v>
      </c>
      <c r="T226" s="10">
        <v>0.838888888888889</v>
      </c>
      <c r="U226" s="10">
        <v>0.940972222222222</v>
      </c>
      <c r="V226">
        <v>147</v>
      </c>
      <c r="W226" t="b">
        <v>0</v>
      </c>
    </row>
    <row r="227" spans="1:24">
      <c r="A227">
        <v>226</v>
      </c>
      <c r="B227" t="s">
        <v>406</v>
      </c>
      <c r="C227" t="s">
        <v>25</v>
      </c>
      <c r="D227" s="9">
        <v>34180</v>
      </c>
      <c r="E227" s="9" t="str">
        <f t="shared" si="24"/>
        <v>31-41</v>
      </c>
      <c r="F227">
        <v>31</v>
      </c>
      <c r="G227" t="s">
        <v>21</v>
      </c>
      <c r="H227">
        <v>1</v>
      </c>
      <c r="I227" t="s">
        <v>26</v>
      </c>
      <c r="K227">
        <f t="shared" si="31"/>
        <v>1</v>
      </c>
      <c r="L227">
        <f t="shared" si="25"/>
        <v>0</v>
      </c>
      <c r="M227">
        <f t="shared" si="26"/>
        <v>0</v>
      </c>
      <c r="N227">
        <f t="shared" si="27"/>
        <v>0</v>
      </c>
      <c r="O227">
        <f t="shared" si="28"/>
        <v>0</v>
      </c>
      <c r="P227">
        <f t="shared" si="29"/>
        <v>0</v>
      </c>
      <c r="Q227">
        <f t="shared" si="30"/>
        <v>0</v>
      </c>
      <c r="R227" t="b">
        <v>0</v>
      </c>
      <c r="T227" s="10">
        <v>0.625694444444444</v>
      </c>
      <c r="U227" s="10">
        <v>0.746527777777778</v>
      </c>
      <c r="V227">
        <v>174</v>
      </c>
      <c r="W227" t="b">
        <v>0</v>
      </c>
    </row>
    <row r="228" spans="1:24">
      <c r="A228">
        <v>227</v>
      </c>
      <c r="B228" t="s">
        <v>407</v>
      </c>
      <c r="C228" t="s">
        <v>16</v>
      </c>
      <c r="D228" s="9">
        <v>28034</v>
      </c>
      <c r="E228" s="9" t="str">
        <f t="shared" si="24"/>
        <v>41-50</v>
      </c>
      <c r="F228">
        <v>48</v>
      </c>
      <c r="G228" t="s">
        <v>17</v>
      </c>
      <c r="H228">
        <v>3</v>
      </c>
      <c r="I228" t="s">
        <v>245</v>
      </c>
      <c r="K228">
        <f t="shared" si="31"/>
        <v>1</v>
      </c>
      <c r="L228">
        <f t="shared" si="25"/>
        <v>0</v>
      </c>
      <c r="M228">
        <f t="shared" si="26"/>
        <v>1</v>
      </c>
      <c r="N228">
        <f t="shared" si="27"/>
        <v>0</v>
      </c>
      <c r="O228">
        <f t="shared" si="28"/>
        <v>0</v>
      </c>
      <c r="P228">
        <f t="shared" si="29"/>
        <v>1</v>
      </c>
      <c r="Q228">
        <f t="shared" si="30"/>
        <v>0</v>
      </c>
      <c r="R228" t="b">
        <v>1</v>
      </c>
      <c r="S228" t="s">
        <v>408</v>
      </c>
      <c r="T228" s="10">
        <v>0.859027777777778</v>
      </c>
      <c r="U228" s="10">
        <v>0.890972222222222</v>
      </c>
      <c r="V228">
        <v>46</v>
      </c>
      <c r="W228" t="b">
        <v>1</v>
      </c>
      <c r="X228" t="s">
        <v>47</v>
      </c>
    </row>
    <row r="229" spans="1:24">
      <c r="A229">
        <v>228</v>
      </c>
      <c r="B229" t="s">
        <v>409</v>
      </c>
      <c r="C229" t="s">
        <v>25</v>
      </c>
      <c r="D229" s="9">
        <v>39146</v>
      </c>
      <c r="E229" s="9" t="str">
        <f t="shared" si="24"/>
        <v>below 20</v>
      </c>
      <c r="F229">
        <v>17</v>
      </c>
      <c r="G229" t="s">
        <v>17</v>
      </c>
      <c r="H229">
        <v>1</v>
      </c>
      <c r="I229" t="s">
        <v>46</v>
      </c>
      <c r="K229">
        <f t="shared" si="31"/>
        <v>0</v>
      </c>
      <c r="L229">
        <f t="shared" si="25"/>
        <v>1</v>
      </c>
      <c r="M229">
        <f t="shared" si="26"/>
        <v>0</v>
      </c>
      <c r="N229">
        <f t="shared" si="27"/>
        <v>0</v>
      </c>
      <c r="O229">
        <f t="shared" si="28"/>
        <v>0</v>
      </c>
      <c r="P229">
        <f t="shared" si="29"/>
        <v>0</v>
      </c>
      <c r="Q229">
        <f t="shared" si="30"/>
        <v>0</v>
      </c>
      <c r="R229" t="b">
        <v>1</v>
      </c>
      <c r="S229" t="s">
        <v>410</v>
      </c>
      <c r="T229" s="10">
        <v>0.795138888888889</v>
      </c>
      <c r="U229" s="10">
        <v>0.909027777777778</v>
      </c>
      <c r="V229">
        <v>164</v>
      </c>
      <c r="W229" t="b">
        <v>1</v>
      </c>
      <c r="X229" t="s">
        <v>23</v>
      </c>
    </row>
    <row r="230" spans="1:24">
      <c r="A230">
        <v>229</v>
      </c>
      <c r="B230" t="s">
        <v>411</v>
      </c>
      <c r="C230" t="s">
        <v>25</v>
      </c>
      <c r="D230" s="9">
        <v>34054</v>
      </c>
      <c r="E230" s="9" t="str">
        <f t="shared" si="24"/>
        <v>31-41</v>
      </c>
      <c r="F230">
        <v>31</v>
      </c>
      <c r="G230" t="s">
        <v>17</v>
      </c>
      <c r="H230">
        <v>5</v>
      </c>
      <c r="I230" t="s">
        <v>412</v>
      </c>
      <c r="K230">
        <f t="shared" si="31"/>
        <v>1</v>
      </c>
      <c r="L230">
        <f t="shared" si="25"/>
        <v>0</v>
      </c>
      <c r="M230">
        <f t="shared" si="26"/>
        <v>1</v>
      </c>
      <c r="N230">
        <f t="shared" si="27"/>
        <v>0</v>
      </c>
      <c r="O230">
        <f t="shared" si="28"/>
        <v>1</v>
      </c>
      <c r="P230">
        <f t="shared" si="29"/>
        <v>1</v>
      </c>
      <c r="Q230">
        <f t="shared" si="30"/>
        <v>1</v>
      </c>
      <c r="R230" t="b">
        <v>0</v>
      </c>
      <c r="T230" s="10">
        <v>0.860416666666667</v>
      </c>
      <c r="U230" s="10">
        <v>0.957638888888889</v>
      </c>
      <c r="V230">
        <v>140</v>
      </c>
      <c r="W230" t="b">
        <v>0</v>
      </c>
    </row>
    <row r="231" spans="1:24">
      <c r="A231">
        <v>230</v>
      </c>
      <c r="B231" t="s">
        <v>413</v>
      </c>
      <c r="C231" t="s">
        <v>25</v>
      </c>
      <c r="D231" s="9">
        <v>37186</v>
      </c>
      <c r="E231" s="9" t="str">
        <f t="shared" si="24"/>
        <v>20-30</v>
      </c>
      <c r="F231">
        <v>22</v>
      </c>
      <c r="G231" t="s">
        <v>21</v>
      </c>
      <c r="H231">
        <v>3</v>
      </c>
      <c r="I231" t="s">
        <v>22</v>
      </c>
      <c r="K231">
        <f t="shared" si="31"/>
        <v>1</v>
      </c>
      <c r="L231">
        <f t="shared" si="25"/>
        <v>0</v>
      </c>
      <c r="M231">
        <f t="shared" si="26"/>
        <v>0</v>
      </c>
      <c r="N231">
        <f t="shared" si="27"/>
        <v>0</v>
      </c>
      <c r="O231">
        <f t="shared" si="28"/>
        <v>0</v>
      </c>
      <c r="P231">
        <f t="shared" si="29"/>
        <v>1</v>
      </c>
      <c r="Q231">
        <f t="shared" si="30"/>
        <v>1</v>
      </c>
      <c r="R231" t="b">
        <v>1</v>
      </c>
      <c r="S231" t="s">
        <v>414</v>
      </c>
      <c r="T231" s="10">
        <v>0.688194444444444</v>
      </c>
      <c r="U231" s="10">
        <v>0.725</v>
      </c>
      <c r="V231">
        <v>53</v>
      </c>
      <c r="W231" t="b">
        <v>0</v>
      </c>
    </row>
    <row r="232" spans="1:24">
      <c r="A232">
        <v>231</v>
      </c>
      <c r="B232" t="s">
        <v>415</v>
      </c>
      <c r="C232" t="s">
        <v>25</v>
      </c>
      <c r="D232" s="9">
        <v>31739</v>
      </c>
      <c r="E232" s="9" t="str">
        <f t="shared" si="24"/>
        <v>31-41</v>
      </c>
      <c r="F232">
        <v>37</v>
      </c>
      <c r="G232" t="s">
        <v>17</v>
      </c>
      <c r="H232">
        <v>3</v>
      </c>
      <c r="I232" t="s">
        <v>222</v>
      </c>
      <c r="K232">
        <f t="shared" si="31"/>
        <v>0</v>
      </c>
      <c r="L232">
        <f t="shared" si="25"/>
        <v>1</v>
      </c>
      <c r="M232">
        <f t="shared" si="26"/>
        <v>1</v>
      </c>
      <c r="N232">
        <f t="shared" si="27"/>
        <v>0</v>
      </c>
      <c r="O232">
        <f t="shared" si="28"/>
        <v>0</v>
      </c>
      <c r="P232">
        <f t="shared" si="29"/>
        <v>1</v>
      </c>
      <c r="Q232">
        <f t="shared" si="30"/>
        <v>0</v>
      </c>
      <c r="R232" t="b">
        <v>0</v>
      </c>
      <c r="T232" s="10">
        <v>0.745138888888889</v>
      </c>
      <c r="U232" s="10">
        <v>0.858333333333333</v>
      </c>
      <c r="V232">
        <v>163</v>
      </c>
      <c r="W232" t="b">
        <v>0</v>
      </c>
    </row>
    <row r="233" spans="1:24">
      <c r="A233">
        <v>232</v>
      </c>
      <c r="B233" t="s">
        <v>416</v>
      </c>
      <c r="C233" t="s">
        <v>25</v>
      </c>
      <c r="D233" s="9">
        <v>31283</v>
      </c>
      <c r="E233" s="9" t="str">
        <f t="shared" si="24"/>
        <v>31-41</v>
      </c>
      <c r="F233">
        <v>39</v>
      </c>
      <c r="G233" t="s">
        <v>21</v>
      </c>
      <c r="H233">
        <v>5</v>
      </c>
      <c r="I233" t="s">
        <v>417</v>
      </c>
      <c r="K233">
        <f t="shared" si="31"/>
        <v>1</v>
      </c>
      <c r="L233">
        <f t="shared" si="25"/>
        <v>1</v>
      </c>
      <c r="M233">
        <f t="shared" si="26"/>
        <v>0</v>
      </c>
      <c r="N233">
        <f t="shared" si="27"/>
        <v>1</v>
      </c>
      <c r="O233">
        <f t="shared" si="28"/>
        <v>1</v>
      </c>
      <c r="P233">
        <f t="shared" si="29"/>
        <v>1</v>
      </c>
      <c r="Q233">
        <f t="shared" si="30"/>
        <v>0</v>
      </c>
      <c r="R233" t="b">
        <v>1</v>
      </c>
      <c r="S233" t="s">
        <v>418</v>
      </c>
      <c r="T233" s="10">
        <v>0.636111111111111</v>
      </c>
      <c r="U233" s="10">
        <v>0.702777777777778</v>
      </c>
      <c r="V233">
        <v>96</v>
      </c>
      <c r="W233" t="b">
        <v>1</v>
      </c>
      <c r="X233" t="s">
        <v>28</v>
      </c>
    </row>
    <row r="234" spans="1:24">
      <c r="A234">
        <v>233</v>
      </c>
      <c r="B234" t="s">
        <v>419</v>
      </c>
      <c r="C234" t="s">
        <v>16</v>
      </c>
      <c r="D234" s="9">
        <v>40450</v>
      </c>
      <c r="E234" s="9" t="str">
        <f t="shared" si="24"/>
        <v>below 20</v>
      </c>
      <c r="F234">
        <v>14</v>
      </c>
      <c r="G234" t="s">
        <v>21</v>
      </c>
      <c r="H234">
        <v>3</v>
      </c>
      <c r="I234" t="s">
        <v>247</v>
      </c>
      <c r="K234">
        <f t="shared" si="31"/>
        <v>0</v>
      </c>
      <c r="L234">
        <f t="shared" si="25"/>
        <v>0</v>
      </c>
      <c r="M234">
        <f t="shared" si="26"/>
        <v>1</v>
      </c>
      <c r="N234">
        <f t="shared" si="27"/>
        <v>1</v>
      </c>
      <c r="O234">
        <f t="shared" si="28"/>
        <v>0</v>
      </c>
      <c r="P234">
        <f t="shared" si="29"/>
        <v>1</v>
      </c>
      <c r="Q234">
        <f t="shared" si="30"/>
        <v>0</v>
      </c>
      <c r="R234" t="b">
        <v>0</v>
      </c>
      <c r="T234" s="10">
        <v>0.356944444444444</v>
      </c>
      <c r="U234" s="10">
        <v>0.402083333333333</v>
      </c>
      <c r="V234">
        <v>65</v>
      </c>
      <c r="W234" t="b">
        <v>0</v>
      </c>
    </row>
    <row r="235" spans="1:24">
      <c r="A235">
        <v>234</v>
      </c>
      <c r="B235" t="s">
        <v>160</v>
      </c>
      <c r="C235" t="s">
        <v>16</v>
      </c>
      <c r="D235" s="9">
        <v>38605</v>
      </c>
      <c r="E235" s="9" t="str">
        <f t="shared" si="24"/>
        <v>below 20</v>
      </c>
      <c r="F235">
        <v>19</v>
      </c>
      <c r="G235" t="s">
        <v>21</v>
      </c>
      <c r="H235">
        <v>1</v>
      </c>
      <c r="I235" t="s">
        <v>46</v>
      </c>
      <c r="K235">
        <f t="shared" si="31"/>
        <v>0</v>
      </c>
      <c r="L235">
        <f t="shared" si="25"/>
        <v>1</v>
      </c>
      <c r="M235">
        <f t="shared" si="26"/>
        <v>0</v>
      </c>
      <c r="N235">
        <f t="shared" si="27"/>
        <v>0</v>
      </c>
      <c r="O235">
        <f t="shared" si="28"/>
        <v>0</v>
      </c>
      <c r="P235">
        <f t="shared" si="29"/>
        <v>0</v>
      </c>
      <c r="Q235">
        <f t="shared" si="30"/>
        <v>0</v>
      </c>
      <c r="R235" t="b">
        <v>0</v>
      </c>
      <c r="T235" s="10">
        <v>0.851388888888889</v>
      </c>
      <c r="U235" s="10">
        <v>0.897222222222222</v>
      </c>
      <c r="V235">
        <v>66</v>
      </c>
      <c r="W235" t="b">
        <v>0</v>
      </c>
    </row>
    <row r="236" spans="1:24">
      <c r="A236">
        <v>235</v>
      </c>
      <c r="B236" t="s">
        <v>420</v>
      </c>
      <c r="C236" t="s">
        <v>16</v>
      </c>
      <c r="D236" s="9">
        <v>35632</v>
      </c>
      <c r="E236" s="9" t="str">
        <f t="shared" si="24"/>
        <v>20-30</v>
      </c>
      <c r="F236">
        <v>27</v>
      </c>
      <c r="G236" t="s">
        <v>21</v>
      </c>
      <c r="H236">
        <v>4</v>
      </c>
      <c r="I236" t="s">
        <v>421</v>
      </c>
      <c r="K236">
        <f t="shared" si="31"/>
        <v>1</v>
      </c>
      <c r="L236">
        <f t="shared" si="25"/>
        <v>1</v>
      </c>
      <c r="M236">
        <f t="shared" si="26"/>
        <v>0</v>
      </c>
      <c r="N236">
        <f t="shared" si="27"/>
        <v>0</v>
      </c>
      <c r="O236">
        <f t="shared" si="28"/>
        <v>0</v>
      </c>
      <c r="P236">
        <f t="shared" si="29"/>
        <v>1</v>
      </c>
      <c r="Q236">
        <f t="shared" si="30"/>
        <v>1</v>
      </c>
      <c r="R236" t="b">
        <v>0</v>
      </c>
      <c r="T236" s="10">
        <v>0.492361111111111</v>
      </c>
      <c r="U236" s="10">
        <v>0.597916666666667</v>
      </c>
      <c r="V236">
        <v>152</v>
      </c>
      <c r="W236" t="b">
        <v>1</v>
      </c>
      <c r="X236" t="s">
        <v>50</v>
      </c>
    </row>
    <row r="237" spans="1:24">
      <c r="A237">
        <v>236</v>
      </c>
      <c r="B237" t="s">
        <v>422</v>
      </c>
      <c r="C237" t="s">
        <v>16</v>
      </c>
      <c r="D237" s="9">
        <v>32606</v>
      </c>
      <c r="E237" s="9" t="str">
        <f t="shared" si="24"/>
        <v>31-41</v>
      </c>
      <c r="F237">
        <v>35</v>
      </c>
      <c r="G237" t="s">
        <v>21</v>
      </c>
      <c r="H237">
        <v>5</v>
      </c>
      <c r="I237" t="s">
        <v>88</v>
      </c>
      <c r="K237">
        <f t="shared" si="31"/>
        <v>0</v>
      </c>
      <c r="L237">
        <f t="shared" si="25"/>
        <v>1</v>
      </c>
      <c r="M237">
        <f t="shared" si="26"/>
        <v>0</v>
      </c>
      <c r="N237">
        <f t="shared" si="27"/>
        <v>1</v>
      </c>
      <c r="O237">
        <f t="shared" si="28"/>
        <v>1</v>
      </c>
      <c r="P237">
        <f t="shared" si="29"/>
        <v>1</v>
      </c>
      <c r="Q237">
        <f t="shared" si="30"/>
        <v>1</v>
      </c>
      <c r="R237" t="b">
        <v>1</v>
      </c>
      <c r="S237" t="s">
        <v>423</v>
      </c>
      <c r="T237" s="10">
        <v>0.65625</v>
      </c>
      <c r="U237" s="10">
        <v>0.684027777777778</v>
      </c>
      <c r="V237">
        <v>40</v>
      </c>
      <c r="W237" t="b">
        <v>0</v>
      </c>
    </row>
    <row r="238" spans="1:24">
      <c r="A238">
        <v>237</v>
      </c>
      <c r="B238" t="s">
        <v>424</v>
      </c>
      <c r="C238" t="s">
        <v>16</v>
      </c>
      <c r="D238" s="9">
        <v>38361</v>
      </c>
      <c r="E238" s="9" t="str">
        <f t="shared" si="24"/>
        <v>below 20</v>
      </c>
      <c r="F238">
        <v>19</v>
      </c>
      <c r="G238" t="s">
        <v>17</v>
      </c>
      <c r="H238">
        <v>2</v>
      </c>
      <c r="I238" t="s">
        <v>101</v>
      </c>
      <c r="K238">
        <f t="shared" si="31"/>
        <v>0</v>
      </c>
      <c r="L238">
        <f t="shared" si="25"/>
        <v>0</v>
      </c>
      <c r="M238">
        <f t="shared" si="26"/>
        <v>0</v>
      </c>
      <c r="N238">
        <f t="shared" si="27"/>
        <v>0</v>
      </c>
      <c r="O238">
        <f t="shared" si="28"/>
        <v>0</v>
      </c>
      <c r="P238">
        <f t="shared" si="29"/>
        <v>1</v>
      </c>
      <c r="Q238">
        <f t="shared" si="30"/>
        <v>1</v>
      </c>
      <c r="R238" t="b">
        <v>1</v>
      </c>
      <c r="S238" t="s">
        <v>93</v>
      </c>
      <c r="T238" s="10">
        <v>0.438888888888889</v>
      </c>
      <c r="U238" s="10">
        <v>0.473611111111111</v>
      </c>
      <c r="V238">
        <v>50</v>
      </c>
      <c r="W238" t="b">
        <v>1</v>
      </c>
      <c r="X238" t="s">
        <v>47</v>
      </c>
    </row>
    <row r="239" spans="1:24">
      <c r="A239">
        <v>238</v>
      </c>
      <c r="B239" t="s">
        <v>425</v>
      </c>
      <c r="C239" t="s">
        <v>16</v>
      </c>
      <c r="D239" s="9">
        <v>37797</v>
      </c>
      <c r="E239" s="9" t="str">
        <f t="shared" si="24"/>
        <v>20-30</v>
      </c>
      <c r="F239">
        <v>21</v>
      </c>
      <c r="G239" t="s">
        <v>17</v>
      </c>
      <c r="H239">
        <v>5</v>
      </c>
      <c r="I239" t="s">
        <v>412</v>
      </c>
      <c r="K239">
        <f t="shared" si="31"/>
        <v>1</v>
      </c>
      <c r="L239">
        <f t="shared" si="25"/>
        <v>0</v>
      </c>
      <c r="M239">
        <f t="shared" si="26"/>
        <v>1</v>
      </c>
      <c r="N239">
        <f t="shared" si="27"/>
        <v>0</v>
      </c>
      <c r="O239">
        <f t="shared" si="28"/>
        <v>1</v>
      </c>
      <c r="P239">
        <f t="shared" si="29"/>
        <v>1</v>
      </c>
      <c r="Q239">
        <f t="shared" si="30"/>
        <v>1</v>
      </c>
      <c r="R239" t="b">
        <v>1</v>
      </c>
      <c r="S239" t="s">
        <v>426</v>
      </c>
      <c r="T239" s="10">
        <v>0.84375</v>
      </c>
      <c r="U239" s="10">
        <v>0.885416666666667</v>
      </c>
      <c r="V239">
        <v>60</v>
      </c>
      <c r="W239" t="b">
        <v>0</v>
      </c>
    </row>
    <row r="240" spans="1:24">
      <c r="A240">
        <v>239</v>
      </c>
      <c r="B240" t="s">
        <v>427</v>
      </c>
      <c r="C240" t="s">
        <v>25</v>
      </c>
      <c r="D240" s="9">
        <v>37921</v>
      </c>
      <c r="E240" s="9" t="str">
        <f t="shared" si="24"/>
        <v>20-30</v>
      </c>
      <c r="F240">
        <v>20</v>
      </c>
      <c r="G240" t="s">
        <v>21</v>
      </c>
      <c r="H240">
        <v>3</v>
      </c>
      <c r="I240" t="s">
        <v>130</v>
      </c>
      <c r="K240">
        <f t="shared" si="31"/>
        <v>0</v>
      </c>
      <c r="L240">
        <f t="shared" si="25"/>
        <v>1</v>
      </c>
      <c r="M240">
        <f t="shared" si="26"/>
        <v>0</v>
      </c>
      <c r="N240">
        <f t="shared" si="27"/>
        <v>1</v>
      </c>
      <c r="O240">
        <f t="shared" si="28"/>
        <v>1</v>
      </c>
      <c r="P240">
        <f t="shared" si="29"/>
        <v>0</v>
      </c>
      <c r="Q240">
        <f t="shared" si="30"/>
        <v>0</v>
      </c>
      <c r="R240" t="b">
        <v>1</v>
      </c>
      <c r="S240" t="s">
        <v>428</v>
      </c>
      <c r="T240" s="10">
        <v>0.729166666666667</v>
      </c>
      <c r="U240" s="10">
        <v>0.799305555555556</v>
      </c>
      <c r="V240">
        <v>101</v>
      </c>
      <c r="W240" t="b">
        <v>1</v>
      </c>
      <c r="X240" t="s">
        <v>47</v>
      </c>
    </row>
    <row r="241" spans="1:24">
      <c r="A241">
        <v>240</v>
      </c>
      <c r="B241" t="s">
        <v>429</v>
      </c>
      <c r="C241" t="s">
        <v>25</v>
      </c>
      <c r="D241" s="9">
        <v>38355</v>
      </c>
      <c r="E241" s="9" t="str">
        <f t="shared" si="24"/>
        <v>below 20</v>
      </c>
      <c r="F241">
        <v>19</v>
      </c>
      <c r="G241" t="s">
        <v>17</v>
      </c>
      <c r="H241">
        <v>4</v>
      </c>
      <c r="I241" t="s">
        <v>430</v>
      </c>
      <c r="K241">
        <f t="shared" si="31"/>
        <v>1</v>
      </c>
      <c r="L241">
        <f t="shared" si="25"/>
        <v>1</v>
      </c>
      <c r="M241">
        <f t="shared" si="26"/>
        <v>0</v>
      </c>
      <c r="N241">
        <f t="shared" si="27"/>
        <v>0</v>
      </c>
      <c r="O241">
        <f t="shared" si="28"/>
        <v>1</v>
      </c>
      <c r="P241">
        <f t="shared" si="29"/>
        <v>1</v>
      </c>
      <c r="Q241">
        <f t="shared" si="30"/>
        <v>0</v>
      </c>
      <c r="R241" t="b">
        <v>1</v>
      </c>
      <c r="S241" t="s">
        <v>431</v>
      </c>
      <c r="T241" s="10">
        <v>0.659027777777778</v>
      </c>
      <c r="U241" s="10">
        <v>0.686805555555556</v>
      </c>
      <c r="V241">
        <v>40</v>
      </c>
      <c r="W241" t="b">
        <v>0</v>
      </c>
    </row>
    <row r="242" spans="1:24">
      <c r="A242">
        <v>241</v>
      </c>
      <c r="B242" t="s">
        <v>432</v>
      </c>
      <c r="C242" t="s">
        <v>16</v>
      </c>
      <c r="D242" s="9">
        <v>29890</v>
      </c>
      <c r="E242" s="9" t="str">
        <f t="shared" si="24"/>
        <v>41-50</v>
      </c>
      <c r="F242">
        <v>42</v>
      </c>
      <c r="G242" t="s">
        <v>17</v>
      </c>
      <c r="H242">
        <v>2</v>
      </c>
      <c r="I242" t="s">
        <v>121</v>
      </c>
      <c r="K242">
        <f t="shared" si="31"/>
        <v>0</v>
      </c>
      <c r="L242">
        <f t="shared" si="25"/>
        <v>0</v>
      </c>
      <c r="M242">
        <f t="shared" si="26"/>
        <v>0</v>
      </c>
      <c r="N242">
        <f t="shared" si="27"/>
        <v>1</v>
      </c>
      <c r="O242">
        <f t="shared" si="28"/>
        <v>0</v>
      </c>
      <c r="P242">
        <f t="shared" si="29"/>
        <v>1</v>
      </c>
      <c r="Q242">
        <f t="shared" si="30"/>
        <v>0</v>
      </c>
      <c r="R242" t="b">
        <v>0</v>
      </c>
      <c r="T242" s="10">
        <v>0.460416666666667</v>
      </c>
      <c r="U242" s="10">
        <v>0.545138888888889</v>
      </c>
      <c r="V242">
        <v>122</v>
      </c>
      <c r="W242" t="b">
        <v>1</v>
      </c>
      <c r="X242" t="s">
        <v>50</v>
      </c>
    </row>
    <row r="243" spans="1:24">
      <c r="A243">
        <v>242</v>
      </c>
      <c r="B243" t="s">
        <v>433</v>
      </c>
      <c r="C243" t="s">
        <v>25</v>
      </c>
      <c r="D243" s="9">
        <v>38931</v>
      </c>
      <c r="E243" s="9" t="str">
        <f t="shared" si="24"/>
        <v>below 20</v>
      </c>
      <c r="F243">
        <v>18</v>
      </c>
      <c r="G243" t="s">
        <v>17</v>
      </c>
      <c r="H243">
        <v>1</v>
      </c>
      <c r="I243" t="s">
        <v>49</v>
      </c>
      <c r="K243">
        <f t="shared" si="31"/>
        <v>0</v>
      </c>
      <c r="L243">
        <f t="shared" si="25"/>
        <v>0</v>
      </c>
      <c r="M243">
        <f t="shared" si="26"/>
        <v>0</v>
      </c>
      <c r="N243">
        <f t="shared" si="27"/>
        <v>0</v>
      </c>
      <c r="O243">
        <f t="shared" si="28"/>
        <v>1</v>
      </c>
      <c r="P243">
        <f t="shared" si="29"/>
        <v>0</v>
      </c>
      <c r="Q243">
        <f t="shared" si="30"/>
        <v>0</v>
      </c>
      <c r="R243" t="b">
        <v>0</v>
      </c>
      <c r="T243" s="10">
        <v>0.734722222222222</v>
      </c>
      <c r="U243" s="10">
        <v>0.759722222222222</v>
      </c>
      <c r="V243">
        <v>36</v>
      </c>
      <c r="W243" t="b">
        <v>1</v>
      </c>
      <c r="X243" t="s">
        <v>28</v>
      </c>
    </row>
    <row r="244" spans="1:24">
      <c r="A244">
        <v>243</v>
      </c>
      <c r="B244" t="s">
        <v>434</v>
      </c>
      <c r="C244" t="s">
        <v>16</v>
      </c>
      <c r="D244" s="9">
        <v>27622</v>
      </c>
      <c r="E244" s="9" t="str">
        <f t="shared" si="24"/>
        <v>41-50</v>
      </c>
      <c r="F244">
        <v>49</v>
      </c>
      <c r="G244" t="s">
        <v>17</v>
      </c>
      <c r="H244">
        <v>1</v>
      </c>
      <c r="I244" t="s">
        <v>81</v>
      </c>
      <c r="K244">
        <f t="shared" si="31"/>
        <v>0</v>
      </c>
      <c r="L244">
        <f t="shared" si="25"/>
        <v>0</v>
      </c>
      <c r="M244">
        <f t="shared" si="26"/>
        <v>0</v>
      </c>
      <c r="N244">
        <f t="shared" si="27"/>
        <v>0</v>
      </c>
      <c r="O244">
        <f t="shared" si="28"/>
        <v>0</v>
      </c>
      <c r="P244">
        <f t="shared" si="29"/>
        <v>1</v>
      </c>
      <c r="Q244">
        <f t="shared" si="30"/>
        <v>0</v>
      </c>
      <c r="R244" t="b">
        <v>0</v>
      </c>
      <c r="T244" s="10">
        <v>0.581944444444444</v>
      </c>
      <c r="U244" s="10">
        <v>0.647222222222222</v>
      </c>
      <c r="V244">
        <v>94</v>
      </c>
      <c r="W244" t="b">
        <v>1</v>
      </c>
      <c r="X244" t="s">
        <v>28</v>
      </c>
    </row>
    <row r="245" spans="1:24">
      <c r="A245">
        <v>244</v>
      </c>
      <c r="B245" t="s">
        <v>435</v>
      </c>
      <c r="C245" t="s">
        <v>16</v>
      </c>
      <c r="D245" s="9">
        <v>39366</v>
      </c>
      <c r="E245" s="9" t="str">
        <f t="shared" si="24"/>
        <v>below 20</v>
      </c>
      <c r="F245">
        <v>16</v>
      </c>
      <c r="G245" t="s">
        <v>17</v>
      </c>
      <c r="H245">
        <v>5</v>
      </c>
      <c r="I245" t="s">
        <v>109</v>
      </c>
      <c r="K245">
        <f t="shared" si="31"/>
        <v>1</v>
      </c>
      <c r="L245">
        <f t="shared" si="25"/>
        <v>1</v>
      </c>
      <c r="M245">
        <f t="shared" si="26"/>
        <v>1</v>
      </c>
      <c r="N245">
        <f t="shared" si="27"/>
        <v>1</v>
      </c>
      <c r="O245">
        <f t="shared" si="28"/>
        <v>0</v>
      </c>
      <c r="P245">
        <f t="shared" si="29"/>
        <v>1</v>
      </c>
      <c r="Q245">
        <f t="shared" si="30"/>
        <v>0</v>
      </c>
      <c r="R245" t="b">
        <v>1</v>
      </c>
      <c r="S245" t="s">
        <v>41</v>
      </c>
      <c r="T245" s="10">
        <v>0.576388888888889</v>
      </c>
      <c r="U245" s="10">
        <v>0.64375</v>
      </c>
      <c r="V245">
        <v>97</v>
      </c>
      <c r="W245" t="b">
        <v>1</v>
      </c>
      <c r="X245" t="s">
        <v>50</v>
      </c>
    </row>
    <row r="246" spans="1:24">
      <c r="A246">
        <v>245</v>
      </c>
      <c r="B246" t="s">
        <v>436</v>
      </c>
      <c r="C246" t="s">
        <v>25</v>
      </c>
      <c r="D246" s="9">
        <v>35648</v>
      </c>
      <c r="E246" s="9" t="str">
        <f t="shared" si="24"/>
        <v>20-30</v>
      </c>
      <c r="F246">
        <v>27</v>
      </c>
      <c r="G246" t="s">
        <v>21</v>
      </c>
      <c r="H246">
        <v>1</v>
      </c>
      <c r="I246" t="s">
        <v>46</v>
      </c>
      <c r="K246">
        <f t="shared" si="31"/>
        <v>0</v>
      </c>
      <c r="L246">
        <f t="shared" si="25"/>
        <v>1</v>
      </c>
      <c r="M246">
        <f t="shared" si="26"/>
        <v>0</v>
      </c>
      <c r="N246">
        <f t="shared" si="27"/>
        <v>0</v>
      </c>
      <c r="O246">
        <f t="shared" si="28"/>
        <v>0</v>
      </c>
      <c r="P246">
        <f t="shared" si="29"/>
        <v>0</v>
      </c>
      <c r="Q246">
        <f t="shared" si="30"/>
        <v>0</v>
      </c>
      <c r="R246" t="b">
        <v>1</v>
      </c>
      <c r="S246" t="s">
        <v>437</v>
      </c>
      <c r="T246" s="10">
        <v>0.507638888888889</v>
      </c>
      <c r="U246" s="10">
        <v>0.552777777777778</v>
      </c>
      <c r="V246">
        <v>65</v>
      </c>
      <c r="W246" t="b">
        <v>1</v>
      </c>
      <c r="X246" t="s">
        <v>47</v>
      </c>
    </row>
    <row r="247" spans="1:24">
      <c r="A247">
        <v>246</v>
      </c>
      <c r="B247" t="s">
        <v>438</v>
      </c>
      <c r="C247" t="s">
        <v>16</v>
      </c>
      <c r="D247" s="9">
        <v>36786</v>
      </c>
      <c r="E247" s="9" t="str">
        <f t="shared" si="24"/>
        <v>20-30</v>
      </c>
      <c r="F247">
        <v>24</v>
      </c>
      <c r="G247" t="s">
        <v>17</v>
      </c>
      <c r="H247">
        <v>4</v>
      </c>
      <c r="I247" t="s">
        <v>439</v>
      </c>
      <c r="K247">
        <f t="shared" si="31"/>
        <v>0</v>
      </c>
      <c r="L247">
        <f t="shared" si="25"/>
        <v>1</v>
      </c>
      <c r="M247">
        <f t="shared" si="26"/>
        <v>1</v>
      </c>
      <c r="N247">
        <f t="shared" si="27"/>
        <v>1</v>
      </c>
      <c r="O247">
        <f t="shared" si="28"/>
        <v>1</v>
      </c>
      <c r="P247">
        <f t="shared" si="29"/>
        <v>0</v>
      </c>
      <c r="Q247">
        <f t="shared" si="30"/>
        <v>0</v>
      </c>
      <c r="R247" t="b">
        <v>0</v>
      </c>
      <c r="T247" s="10">
        <v>0.383333333333333</v>
      </c>
      <c r="U247" s="10">
        <v>0.481944444444444</v>
      </c>
      <c r="V247">
        <v>142</v>
      </c>
      <c r="W247" t="b">
        <v>0</v>
      </c>
    </row>
    <row r="248" spans="1:24">
      <c r="A248">
        <v>247</v>
      </c>
      <c r="B248" t="s">
        <v>216</v>
      </c>
      <c r="C248" t="s">
        <v>25</v>
      </c>
      <c r="D248" s="9">
        <v>31886</v>
      </c>
      <c r="E248" s="9" t="str">
        <f t="shared" si="24"/>
        <v>31-41</v>
      </c>
      <c r="F248">
        <v>37</v>
      </c>
      <c r="G248" t="s">
        <v>21</v>
      </c>
      <c r="H248">
        <v>4</v>
      </c>
      <c r="I248" t="s">
        <v>430</v>
      </c>
      <c r="K248">
        <f t="shared" si="31"/>
        <v>1</v>
      </c>
      <c r="L248">
        <f t="shared" si="25"/>
        <v>1</v>
      </c>
      <c r="M248">
        <f t="shared" si="26"/>
        <v>0</v>
      </c>
      <c r="N248">
        <f t="shared" si="27"/>
        <v>0</v>
      </c>
      <c r="O248">
        <f t="shared" si="28"/>
        <v>1</v>
      </c>
      <c r="P248">
        <f t="shared" si="29"/>
        <v>1</v>
      </c>
      <c r="Q248">
        <f t="shared" si="30"/>
        <v>0</v>
      </c>
      <c r="R248" t="b">
        <v>1</v>
      </c>
      <c r="S248" t="s">
        <v>440</v>
      </c>
      <c r="T248" s="10">
        <v>0.780555555555556</v>
      </c>
      <c r="U248" s="10">
        <v>0.876388888888889</v>
      </c>
      <c r="V248">
        <v>138</v>
      </c>
      <c r="W248" t="b">
        <v>0</v>
      </c>
    </row>
    <row r="249" spans="1:24">
      <c r="A249">
        <v>248</v>
      </c>
      <c r="B249" t="s">
        <v>441</v>
      </c>
      <c r="C249" t="s">
        <v>16</v>
      </c>
      <c r="D249" s="9">
        <v>36755</v>
      </c>
      <c r="E249" s="9" t="str">
        <f t="shared" si="24"/>
        <v>20-30</v>
      </c>
      <c r="F249">
        <v>24</v>
      </c>
      <c r="G249" t="s">
        <v>17</v>
      </c>
      <c r="H249">
        <v>1</v>
      </c>
      <c r="I249" t="s">
        <v>81</v>
      </c>
      <c r="K249">
        <f t="shared" si="31"/>
        <v>0</v>
      </c>
      <c r="L249">
        <f t="shared" si="25"/>
        <v>0</v>
      </c>
      <c r="M249">
        <f t="shared" si="26"/>
        <v>0</v>
      </c>
      <c r="N249">
        <f t="shared" si="27"/>
        <v>0</v>
      </c>
      <c r="O249">
        <f t="shared" si="28"/>
        <v>0</v>
      </c>
      <c r="P249">
        <f t="shared" si="29"/>
        <v>1</v>
      </c>
      <c r="Q249">
        <f t="shared" si="30"/>
        <v>0</v>
      </c>
      <c r="R249" t="b">
        <v>0</v>
      </c>
      <c r="T249" s="10">
        <v>0.624305555555556</v>
      </c>
      <c r="U249" s="10">
        <v>0.745833333333333</v>
      </c>
      <c r="V249">
        <v>175</v>
      </c>
      <c r="W249" t="b">
        <v>1</v>
      </c>
      <c r="X249" t="s">
        <v>28</v>
      </c>
    </row>
    <row r="250" spans="1:24">
      <c r="A250">
        <v>249</v>
      </c>
      <c r="B250" t="s">
        <v>442</v>
      </c>
      <c r="C250" t="s">
        <v>16</v>
      </c>
      <c r="D250" s="9">
        <v>35017</v>
      </c>
      <c r="E250" s="9" t="str">
        <f t="shared" si="24"/>
        <v>20-30</v>
      </c>
      <c r="F250">
        <v>28</v>
      </c>
      <c r="G250" t="s">
        <v>17</v>
      </c>
      <c r="H250">
        <v>5</v>
      </c>
      <c r="I250" t="s">
        <v>347</v>
      </c>
      <c r="K250">
        <f t="shared" si="31"/>
        <v>0</v>
      </c>
      <c r="L250">
        <f t="shared" si="25"/>
        <v>1</v>
      </c>
      <c r="M250">
        <f t="shared" si="26"/>
        <v>1</v>
      </c>
      <c r="N250">
        <f t="shared" si="27"/>
        <v>0</v>
      </c>
      <c r="O250">
        <f t="shared" si="28"/>
        <v>1</v>
      </c>
      <c r="P250">
        <f t="shared" si="29"/>
        <v>1</v>
      </c>
      <c r="Q250">
        <f t="shared" si="30"/>
        <v>1</v>
      </c>
      <c r="R250" t="b">
        <v>1</v>
      </c>
      <c r="S250" t="s">
        <v>443</v>
      </c>
      <c r="T250" s="10">
        <v>0.75</v>
      </c>
      <c r="U250" s="10">
        <v>0.797222222222222</v>
      </c>
      <c r="V250">
        <v>68</v>
      </c>
      <c r="W250" t="b">
        <v>0</v>
      </c>
    </row>
    <row r="251" spans="1:24">
      <c r="A251">
        <v>250</v>
      </c>
      <c r="B251" t="s">
        <v>444</v>
      </c>
      <c r="C251" t="s">
        <v>25</v>
      </c>
      <c r="D251" s="9">
        <v>38956</v>
      </c>
      <c r="E251" s="9" t="str">
        <f t="shared" si="24"/>
        <v>below 20</v>
      </c>
      <c r="F251">
        <v>18</v>
      </c>
      <c r="G251" t="s">
        <v>21</v>
      </c>
      <c r="H251">
        <v>3</v>
      </c>
      <c r="I251" t="s">
        <v>318</v>
      </c>
      <c r="K251">
        <f t="shared" si="31"/>
        <v>1</v>
      </c>
      <c r="L251">
        <f t="shared" si="25"/>
        <v>0</v>
      </c>
      <c r="M251">
        <f t="shared" si="26"/>
        <v>1</v>
      </c>
      <c r="N251">
        <f t="shared" si="27"/>
        <v>0</v>
      </c>
      <c r="O251">
        <f t="shared" si="28"/>
        <v>1</v>
      </c>
      <c r="P251">
        <f t="shared" si="29"/>
        <v>0</v>
      </c>
      <c r="Q251">
        <f t="shared" si="30"/>
        <v>0</v>
      </c>
      <c r="R251" t="b">
        <v>0</v>
      </c>
      <c r="T251" s="10">
        <v>0.559722222222222</v>
      </c>
      <c r="U251" s="10">
        <v>0.683333333333333</v>
      </c>
      <c r="V251">
        <v>178</v>
      </c>
      <c r="W251" t="b">
        <v>0</v>
      </c>
    </row>
    <row r="252" spans="1:24">
      <c r="A252">
        <v>251</v>
      </c>
      <c r="B252" t="s">
        <v>338</v>
      </c>
      <c r="C252" t="s">
        <v>25</v>
      </c>
      <c r="D252" s="9">
        <v>38889</v>
      </c>
      <c r="E252" s="9" t="str">
        <f t="shared" si="24"/>
        <v>below 20</v>
      </c>
      <c r="F252">
        <v>18</v>
      </c>
      <c r="G252" t="s">
        <v>21</v>
      </c>
      <c r="H252">
        <v>2</v>
      </c>
      <c r="I252" t="s">
        <v>195</v>
      </c>
      <c r="K252">
        <f t="shared" si="31"/>
        <v>1</v>
      </c>
      <c r="L252">
        <f t="shared" si="25"/>
        <v>1</v>
      </c>
      <c r="M252">
        <f t="shared" si="26"/>
        <v>0</v>
      </c>
      <c r="N252">
        <f t="shared" si="27"/>
        <v>0</v>
      </c>
      <c r="O252">
        <f t="shared" si="28"/>
        <v>0</v>
      </c>
      <c r="P252">
        <f t="shared" si="29"/>
        <v>0</v>
      </c>
      <c r="Q252">
        <f t="shared" si="30"/>
        <v>0</v>
      </c>
      <c r="R252" t="b">
        <v>1</v>
      </c>
      <c r="S252" t="s">
        <v>445</v>
      </c>
      <c r="T252" s="10">
        <v>0.336805555555556</v>
      </c>
      <c r="U252" s="10">
        <v>0.388888888888889</v>
      </c>
      <c r="V252">
        <v>75</v>
      </c>
      <c r="W252" t="b">
        <v>0</v>
      </c>
    </row>
    <row r="253" spans="1:24">
      <c r="A253">
        <v>252</v>
      </c>
      <c r="B253" t="s">
        <v>446</v>
      </c>
      <c r="C253" t="s">
        <v>16</v>
      </c>
      <c r="D253" s="9">
        <v>33752</v>
      </c>
      <c r="E253" s="9" t="str">
        <f t="shared" si="24"/>
        <v>31-41</v>
      </c>
      <c r="F253">
        <v>32</v>
      </c>
      <c r="G253" t="s">
        <v>17</v>
      </c>
      <c r="H253">
        <v>5</v>
      </c>
      <c r="I253" t="s">
        <v>368</v>
      </c>
      <c r="K253">
        <f t="shared" si="31"/>
        <v>0</v>
      </c>
      <c r="L253">
        <f t="shared" si="25"/>
        <v>1</v>
      </c>
      <c r="M253">
        <f t="shared" si="26"/>
        <v>1</v>
      </c>
      <c r="N253">
        <f t="shared" si="27"/>
        <v>1</v>
      </c>
      <c r="O253">
        <f t="shared" si="28"/>
        <v>1</v>
      </c>
      <c r="P253">
        <f t="shared" si="29"/>
        <v>1</v>
      </c>
      <c r="Q253">
        <f t="shared" si="30"/>
        <v>0</v>
      </c>
      <c r="R253" t="b">
        <v>1</v>
      </c>
      <c r="S253" t="s">
        <v>319</v>
      </c>
      <c r="T253" s="10">
        <v>0.428472222222222</v>
      </c>
      <c r="U253" s="10">
        <v>0.461111111111111</v>
      </c>
      <c r="V253">
        <v>47</v>
      </c>
      <c r="W253" t="b">
        <v>0</v>
      </c>
    </row>
    <row r="254" spans="1:24">
      <c r="A254">
        <v>253</v>
      </c>
      <c r="B254" t="s">
        <v>447</v>
      </c>
      <c r="C254" t="s">
        <v>25</v>
      </c>
      <c r="D254" s="9">
        <v>30616</v>
      </c>
      <c r="E254" s="9" t="str">
        <f t="shared" si="24"/>
        <v>31-41</v>
      </c>
      <c r="F254">
        <v>40</v>
      </c>
      <c r="G254" t="s">
        <v>17</v>
      </c>
      <c r="H254">
        <v>2</v>
      </c>
      <c r="I254" t="s">
        <v>259</v>
      </c>
      <c r="K254">
        <f t="shared" si="31"/>
        <v>0</v>
      </c>
      <c r="L254">
        <f t="shared" si="25"/>
        <v>1</v>
      </c>
      <c r="M254">
        <f t="shared" si="26"/>
        <v>0</v>
      </c>
      <c r="N254">
        <f t="shared" si="27"/>
        <v>0</v>
      </c>
      <c r="O254">
        <f t="shared" si="28"/>
        <v>1</v>
      </c>
      <c r="P254">
        <f t="shared" si="29"/>
        <v>0</v>
      </c>
      <c r="Q254">
        <f t="shared" si="30"/>
        <v>0</v>
      </c>
      <c r="R254" t="b">
        <v>1</v>
      </c>
      <c r="S254" t="s">
        <v>448</v>
      </c>
      <c r="T254" s="10">
        <v>0.60625</v>
      </c>
      <c r="U254" s="10">
        <v>0.676388888888889</v>
      </c>
      <c r="V254">
        <v>101</v>
      </c>
      <c r="W254" t="b">
        <v>1</v>
      </c>
      <c r="X254" t="s">
        <v>47</v>
      </c>
    </row>
    <row r="255" spans="1:24">
      <c r="A255">
        <v>254</v>
      </c>
      <c r="B255" t="s">
        <v>449</v>
      </c>
      <c r="C255" t="s">
        <v>25</v>
      </c>
      <c r="D255" s="9">
        <v>37921</v>
      </c>
      <c r="E255" s="9" t="str">
        <f t="shared" si="24"/>
        <v>20-30</v>
      </c>
      <c r="F255">
        <v>20</v>
      </c>
      <c r="G255" t="s">
        <v>21</v>
      </c>
      <c r="H255">
        <v>4</v>
      </c>
      <c r="I255" t="s">
        <v>168</v>
      </c>
      <c r="K255">
        <f t="shared" si="31"/>
        <v>1</v>
      </c>
      <c r="L255">
        <f t="shared" si="25"/>
        <v>0</v>
      </c>
      <c r="M255">
        <f t="shared" si="26"/>
        <v>1</v>
      </c>
      <c r="N255">
        <f t="shared" si="27"/>
        <v>1</v>
      </c>
      <c r="O255">
        <f t="shared" si="28"/>
        <v>0</v>
      </c>
      <c r="P255">
        <f t="shared" si="29"/>
        <v>0</v>
      </c>
      <c r="Q255">
        <f t="shared" si="30"/>
        <v>1</v>
      </c>
      <c r="R255" t="b">
        <v>0</v>
      </c>
      <c r="T255" s="10">
        <v>0.716666666666667</v>
      </c>
      <c r="U255" s="10">
        <v>0.78125</v>
      </c>
      <c r="V255">
        <v>93</v>
      </c>
      <c r="W255" t="b">
        <v>0</v>
      </c>
    </row>
    <row r="256" spans="1:24">
      <c r="A256">
        <v>255</v>
      </c>
      <c r="B256" t="s">
        <v>450</v>
      </c>
      <c r="C256" t="s">
        <v>25</v>
      </c>
      <c r="D256" s="9">
        <v>37725</v>
      </c>
      <c r="E256" s="9" t="str">
        <f t="shared" si="24"/>
        <v>20-30</v>
      </c>
      <c r="F256">
        <v>21</v>
      </c>
      <c r="G256" t="s">
        <v>17</v>
      </c>
      <c r="H256">
        <v>1</v>
      </c>
      <c r="I256" t="s">
        <v>185</v>
      </c>
      <c r="K256">
        <f t="shared" si="31"/>
        <v>0</v>
      </c>
      <c r="L256">
        <f t="shared" si="25"/>
        <v>0</v>
      </c>
      <c r="M256">
        <f t="shared" si="26"/>
        <v>0</v>
      </c>
      <c r="N256">
        <f t="shared" si="27"/>
        <v>1</v>
      </c>
      <c r="O256">
        <f t="shared" si="28"/>
        <v>0</v>
      </c>
      <c r="P256">
        <f t="shared" si="29"/>
        <v>0</v>
      </c>
      <c r="Q256">
        <f t="shared" si="30"/>
        <v>0</v>
      </c>
      <c r="R256" t="b">
        <v>1</v>
      </c>
      <c r="S256" t="s">
        <v>348</v>
      </c>
      <c r="T256" s="10">
        <v>0.606944444444444</v>
      </c>
      <c r="U256" s="10">
        <v>0.690277777777778</v>
      </c>
      <c r="V256">
        <v>120</v>
      </c>
      <c r="W256" t="b">
        <v>1</v>
      </c>
      <c r="X256" t="s">
        <v>28</v>
      </c>
    </row>
    <row r="257" spans="1:24">
      <c r="A257">
        <v>256</v>
      </c>
      <c r="B257" t="s">
        <v>451</v>
      </c>
      <c r="C257" t="s">
        <v>16</v>
      </c>
      <c r="D257" s="9">
        <v>31399</v>
      </c>
      <c r="E257" s="9" t="str">
        <f t="shared" si="24"/>
        <v>31-41</v>
      </c>
      <c r="F257">
        <v>38</v>
      </c>
      <c r="G257" t="s">
        <v>17</v>
      </c>
      <c r="H257">
        <v>1</v>
      </c>
      <c r="I257" t="s">
        <v>185</v>
      </c>
      <c r="K257">
        <f t="shared" si="31"/>
        <v>0</v>
      </c>
      <c r="L257">
        <f t="shared" si="25"/>
        <v>0</v>
      </c>
      <c r="M257">
        <f t="shared" si="26"/>
        <v>0</v>
      </c>
      <c r="N257">
        <f t="shared" si="27"/>
        <v>1</v>
      </c>
      <c r="O257">
        <f t="shared" si="28"/>
        <v>0</v>
      </c>
      <c r="P257">
        <f t="shared" si="29"/>
        <v>0</v>
      </c>
      <c r="Q257">
        <f t="shared" si="30"/>
        <v>0</v>
      </c>
      <c r="R257" t="b">
        <v>1</v>
      </c>
      <c r="S257" t="s">
        <v>67</v>
      </c>
      <c r="T257" s="10">
        <v>0.734027777777778</v>
      </c>
      <c r="U257" s="10">
        <v>0.769444444444444</v>
      </c>
      <c r="V257">
        <v>51</v>
      </c>
      <c r="W257" t="b">
        <v>1</v>
      </c>
      <c r="X257" t="s">
        <v>28</v>
      </c>
    </row>
    <row r="258" spans="1:24">
      <c r="A258">
        <v>257</v>
      </c>
      <c r="B258" t="s">
        <v>452</v>
      </c>
      <c r="C258" t="s">
        <v>25</v>
      </c>
      <c r="D258" s="9">
        <v>28942</v>
      </c>
      <c r="E258" s="9" t="str">
        <f t="shared" ref="E258:E321" si="32">IF(F258&lt;20,"below 20",IF(F258&lt;=30,"20-30",IF(F258&lt;=40,"31-41",IF(F258&lt;=50,"41-50","above 50"))))</f>
        <v>41-50</v>
      </c>
      <c r="F258">
        <v>45</v>
      </c>
      <c r="G258" t="s">
        <v>21</v>
      </c>
      <c r="H258">
        <v>2</v>
      </c>
      <c r="I258" t="s">
        <v>272</v>
      </c>
      <c r="K258">
        <f t="shared" si="31"/>
        <v>0</v>
      </c>
      <c r="L258">
        <f t="shared" si="25"/>
        <v>0</v>
      </c>
      <c r="M258">
        <f t="shared" si="26"/>
        <v>1</v>
      </c>
      <c r="N258">
        <f t="shared" si="27"/>
        <v>1</v>
      </c>
      <c r="O258">
        <f t="shared" si="28"/>
        <v>0</v>
      </c>
      <c r="P258">
        <f t="shared" si="29"/>
        <v>0</v>
      </c>
      <c r="Q258">
        <f t="shared" si="30"/>
        <v>0</v>
      </c>
      <c r="R258" t="b">
        <v>1</v>
      </c>
      <c r="S258" t="s">
        <v>453</v>
      </c>
      <c r="T258" s="10">
        <v>0.341666666666667</v>
      </c>
      <c r="U258" s="10">
        <v>0.413194444444444</v>
      </c>
      <c r="V258">
        <v>103</v>
      </c>
      <c r="W258" t="b">
        <v>0</v>
      </c>
    </row>
    <row r="259" spans="1:24">
      <c r="A259">
        <v>258</v>
      </c>
      <c r="B259" t="s">
        <v>454</v>
      </c>
      <c r="C259" t="s">
        <v>25</v>
      </c>
      <c r="D259" s="9">
        <v>37246</v>
      </c>
      <c r="E259" s="9" t="str">
        <f t="shared" si="32"/>
        <v>20-30</v>
      </c>
      <c r="F259">
        <v>22</v>
      </c>
      <c r="G259" t="s">
        <v>21</v>
      </c>
      <c r="H259">
        <v>2</v>
      </c>
      <c r="I259" t="s">
        <v>203</v>
      </c>
      <c r="K259">
        <f t="shared" si="31"/>
        <v>1</v>
      </c>
      <c r="L259">
        <f t="shared" ref="L259:L322" si="33">--ISNUMBER(SEARCH("Mon",I259))</f>
        <v>0</v>
      </c>
      <c r="M259">
        <f t="shared" ref="M259:M322" si="34">--ISNUMBER(SEARCH("Tue",I259))</f>
        <v>0</v>
      </c>
      <c r="N259">
        <f t="shared" ref="N259:N322" si="35">--ISNUMBER(SEARCH("Wed",I259))</f>
        <v>0</v>
      </c>
      <c r="O259">
        <f t="shared" ref="O259:O322" si="36">--ISNUMBER(SEARCH("Thu",I259))</f>
        <v>0</v>
      </c>
      <c r="P259">
        <f t="shared" ref="P259:P322" si="37">--ISNUMBER(SEARCH("Fri",I259))</f>
        <v>1</v>
      </c>
      <c r="Q259">
        <f t="shared" ref="Q259:Q322" si="38">--ISNUMBER(SEARCH("Sat",I259))</f>
        <v>0</v>
      </c>
      <c r="R259" t="b">
        <v>0</v>
      </c>
      <c r="T259" s="10">
        <v>0.825694444444444</v>
      </c>
      <c r="U259" s="10">
        <v>0.892361111111111</v>
      </c>
      <c r="V259">
        <v>96</v>
      </c>
      <c r="W259" t="b">
        <v>0</v>
      </c>
    </row>
    <row r="260" spans="1:24">
      <c r="A260">
        <v>259</v>
      </c>
      <c r="B260" t="s">
        <v>455</v>
      </c>
      <c r="C260" t="s">
        <v>16</v>
      </c>
      <c r="D260" s="9">
        <v>39210</v>
      </c>
      <c r="E260" s="9" t="str">
        <f t="shared" si="32"/>
        <v>below 20</v>
      </c>
      <c r="F260">
        <v>17</v>
      </c>
      <c r="G260" t="s">
        <v>17</v>
      </c>
      <c r="H260">
        <v>5</v>
      </c>
      <c r="I260" t="s">
        <v>456</v>
      </c>
      <c r="K260">
        <f t="shared" si="31"/>
        <v>0</v>
      </c>
      <c r="L260">
        <f t="shared" si="33"/>
        <v>1</v>
      </c>
      <c r="M260">
        <f t="shared" si="34"/>
        <v>1</v>
      </c>
      <c r="N260">
        <f t="shared" si="35"/>
        <v>1</v>
      </c>
      <c r="O260">
        <f t="shared" si="36"/>
        <v>1</v>
      </c>
      <c r="P260">
        <f t="shared" si="37"/>
        <v>0</v>
      </c>
      <c r="Q260">
        <f t="shared" si="38"/>
        <v>1</v>
      </c>
      <c r="R260" t="b">
        <v>0</v>
      </c>
      <c r="T260" s="10">
        <v>0.418055555555556</v>
      </c>
      <c r="U260" s="10">
        <v>0.479861111111111</v>
      </c>
      <c r="V260">
        <v>89</v>
      </c>
      <c r="W260" t="b">
        <v>1</v>
      </c>
      <c r="X260" t="s">
        <v>23</v>
      </c>
    </row>
    <row r="261" spans="1:24">
      <c r="A261">
        <v>260</v>
      </c>
      <c r="B261" t="s">
        <v>457</v>
      </c>
      <c r="C261" t="s">
        <v>16</v>
      </c>
      <c r="D261" s="9">
        <v>33748</v>
      </c>
      <c r="E261" s="9" t="str">
        <f t="shared" si="32"/>
        <v>31-41</v>
      </c>
      <c r="F261">
        <v>32</v>
      </c>
      <c r="G261" t="s">
        <v>21</v>
      </c>
      <c r="H261">
        <v>5</v>
      </c>
      <c r="I261" t="s">
        <v>458</v>
      </c>
      <c r="K261">
        <f t="shared" ref="K261:K324" si="39">--ISNUMBER(SEARCH("Sun",I261))</f>
        <v>1</v>
      </c>
      <c r="L261">
        <f t="shared" si="33"/>
        <v>1</v>
      </c>
      <c r="M261">
        <f t="shared" si="34"/>
        <v>1</v>
      </c>
      <c r="N261">
        <f t="shared" si="35"/>
        <v>1</v>
      </c>
      <c r="O261">
        <f t="shared" si="36"/>
        <v>0</v>
      </c>
      <c r="P261">
        <f t="shared" si="37"/>
        <v>0</v>
      </c>
      <c r="Q261">
        <f t="shared" si="38"/>
        <v>1</v>
      </c>
      <c r="R261" t="b">
        <v>0</v>
      </c>
      <c r="T261" s="10">
        <v>0.347222222222222</v>
      </c>
      <c r="U261" s="10">
        <v>0.452777777777778</v>
      </c>
      <c r="V261">
        <v>152</v>
      </c>
      <c r="W261" t="b">
        <v>0</v>
      </c>
    </row>
    <row r="262" spans="1:24">
      <c r="A262">
        <v>261</v>
      </c>
      <c r="B262" t="s">
        <v>459</v>
      </c>
      <c r="C262" t="s">
        <v>25</v>
      </c>
      <c r="D262" s="9">
        <v>29496</v>
      </c>
      <c r="E262" s="9" t="str">
        <f t="shared" si="32"/>
        <v>41-50</v>
      </c>
      <c r="F262">
        <v>44</v>
      </c>
      <c r="G262" t="s">
        <v>21</v>
      </c>
      <c r="H262">
        <v>2</v>
      </c>
      <c r="I262" t="s">
        <v>111</v>
      </c>
      <c r="K262">
        <f t="shared" si="39"/>
        <v>0</v>
      </c>
      <c r="L262">
        <f t="shared" si="33"/>
        <v>1</v>
      </c>
      <c r="M262">
        <f t="shared" si="34"/>
        <v>0</v>
      </c>
      <c r="N262">
        <f t="shared" si="35"/>
        <v>0</v>
      </c>
      <c r="O262">
        <f t="shared" si="36"/>
        <v>0</v>
      </c>
      <c r="P262">
        <f t="shared" si="37"/>
        <v>0</v>
      </c>
      <c r="Q262">
        <f t="shared" si="38"/>
        <v>1</v>
      </c>
      <c r="R262" t="b">
        <v>0</v>
      </c>
      <c r="T262" s="10">
        <v>0.500694444444444</v>
      </c>
      <c r="U262" s="10">
        <v>0.575</v>
      </c>
      <c r="V262">
        <v>107</v>
      </c>
      <c r="W262" t="b">
        <v>0</v>
      </c>
    </row>
    <row r="263" spans="1:24">
      <c r="A263">
        <v>262</v>
      </c>
      <c r="B263" t="s">
        <v>460</v>
      </c>
      <c r="C263" t="s">
        <v>16</v>
      </c>
      <c r="D263" s="9">
        <v>28272</v>
      </c>
      <c r="E263" s="9" t="str">
        <f t="shared" si="32"/>
        <v>41-50</v>
      </c>
      <c r="F263">
        <v>47</v>
      </c>
      <c r="G263" t="s">
        <v>17</v>
      </c>
      <c r="H263">
        <v>2</v>
      </c>
      <c r="I263" t="s">
        <v>461</v>
      </c>
      <c r="K263">
        <f t="shared" si="39"/>
        <v>0</v>
      </c>
      <c r="L263">
        <f t="shared" si="33"/>
        <v>0</v>
      </c>
      <c r="M263">
        <f t="shared" si="34"/>
        <v>0</v>
      </c>
      <c r="N263">
        <f t="shared" si="35"/>
        <v>0</v>
      </c>
      <c r="O263">
        <f t="shared" si="36"/>
        <v>1</v>
      </c>
      <c r="P263">
        <f t="shared" si="37"/>
        <v>1</v>
      </c>
      <c r="Q263">
        <f t="shared" si="38"/>
        <v>0</v>
      </c>
      <c r="R263" t="b">
        <v>1</v>
      </c>
      <c r="S263" t="s">
        <v>462</v>
      </c>
      <c r="T263" s="10">
        <v>0.360416666666667</v>
      </c>
      <c r="U263" s="10">
        <v>0.392361111111111</v>
      </c>
      <c r="V263">
        <v>46</v>
      </c>
      <c r="W263" t="b">
        <v>1</v>
      </c>
      <c r="X263" t="s">
        <v>23</v>
      </c>
    </row>
    <row r="264" spans="1:24">
      <c r="A264">
        <v>263</v>
      </c>
      <c r="B264" t="s">
        <v>463</v>
      </c>
      <c r="C264" t="s">
        <v>16</v>
      </c>
      <c r="D264" s="9">
        <v>29664</v>
      </c>
      <c r="E264" s="9" t="str">
        <f t="shared" si="32"/>
        <v>41-50</v>
      </c>
      <c r="F264">
        <v>43</v>
      </c>
      <c r="G264" t="s">
        <v>21</v>
      </c>
      <c r="H264">
        <v>1</v>
      </c>
      <c r="I264" t="s">
        <v>35</v>
      </c>
      <c r="K264">
        <f t="shared" si="39"/>
        <v>0</v>
      </c>
      <c r="L264">
        <f t="shared" si="33"/>
        <v>0</v>
      </c>
      <c r="M264">
        <f t="shared" si="34"/>
        <v>1</v>
      </c>
      <c r="N264">
        <f t="shared" si="35"/>
        <v>0</v>
      </c>
      <c r="O264">
        <f t="shared" si="36"/>
        <v>0</v>
      </c>
      <c r="P264">
        <f t="shared" si="37"/>
        <v>0</v>
      </c>
      <c r="Q264">
        <f t="shared" si="38"/>
        <v>0</v>
      </c>
      <c r="R264" t="b">
        <v>0</v>
      </c>
      <c r="T264" s="10">
        <v>0.345138888888889</v>
      </c>
      <c r="U264" s="10">
        <v>0.417361111111111</v>
      </c>
      <c r="V264">
        <v>104</v>
      </c>
      <c r="W264" t="b">
        <v>1</v>
      </c>
      <c r="X264" t="s">
        <v>47</v>
      </c>
    </row>
    <row r="265" spans="1:24">
      <c r="A265">
        <v>264</v>
      </c>
      <c r="B265" t="s">
        <v>464</v>
      </c>
      <c r="C265" t="s">
        <v>25</v>
      </c>
      <c r="D265" s="9">
        <v>27946</v>
      </c>
      <c r="E265" s="9" t="str">
        <f t="shared" si="32"/>
        <v>41-50</v>
      </c>
      <c r="F265">
        <v>48</v>
      </c>
      <c r="G265" t="s">
        <v>21</v>
      </c>
      <c r="H265">
        <v>5</v>
      </c>
      <c r="I265" t="s">
        <v>289</v>
      </c>
      <c r="K265">
        <f t="shared" si="39"/>
        <v>1</v>
      </c>
      <c r="L265">
        <f t="shared" si="33"/>
        <v>1</v>
      </c>
      <c r="M265">
        <f t="shared" si="34"/>
        <v>1</v>
      </c>
      <c r="N265">
        <f t="shared" si="35"/>
        <v>1</v>
      </c>
      <c r="O265">
        <f t="shared" si="36"/>
        <v>1</v>
      </c>
      <c r="P265">
        <f t="shared" si="37"/>
        <v>0</v>
      </c>
      <c r="Q265">
        <f t="shared" si="38"/>
        <v>0</v>
      </c>
      <c r="R265" t="b">
        <v>0</v>
      </c>
      <c r="T265" s="10">
        <v>0.654166666666667</v>
      </c>
      <c r="U265" s="10">
        <v>0.693055555555556</v>
      </c>
      <c r="V265">
        <v>56</v>
      </c>
      <c r="W265" t="b">
        <v>1</v>
      </c>
      <c r="X265" t="s">
        <v>50</v>
      </c>
    </row>
    <row r="266" spans="1:24">
      <c r="A266">
        <v>265</v>
      </c>
      <c r="B266" t="s">
        <v>465</v>
      </c>
      <c r="C266" t="s">
        <v>16</v>
      </c>
      <c r="D266" s="9">
        <v>33815</v>
      </c>
      <c r="E266" s="9" t="str">
        <f t="shared" si="32"/>
        <v>31-41</v>
      </c>
      <c r="F266">
        <v>32</v>
      </c>
      <c r="G266" t="s">
        <v>21</v>
      </c>
      <c r="H266">
        <v>5</v>
      </c>
      <c r="I266" t="s">
        <v>183</v>
      </c>
      <c r="K266">
        <f t="shared" si="39"/>
        <v>0</v>
      </c>
      <c r="L266">
        <f t="shared" si="33"/>
        <v>1</v>
      </c>
      <c r="M266">
        <f t="shared" si="34"/>
        <v>1</v>
      </c>
      <c r="N266">
        <f t="shared" si="35"/>
        <v>1</v>
      </c>
      <c r="O266">
        <f t="shared" si="36"/>
        <v>0</v>
      </c>
      <c r="P266">
        <f t="shared" si="37"/>
        <v>1</v>
      </c>
      <c r="Q266">
        <f t="shared" si="38"/>
        <v>1</v>
      </c>
      <c r="R266" t="b">
        <v>0</v>
      </c>
      <c r="T266" s="10">
        <v>0.827777777777778</v>
      </c>
      <c r="U266" s="10">
        <v>0.947222222222222</v>
      </c>
      <c r="V266">
        <v>172</v>
      </c>
      <c r="W266" t="b">
        <v>1</v>
      </c>
      <c r="X266" t="s">
        <v>28</v>
      </c>
    </row>
    <row r="267" spans="1:24">
      <c r="A267">
        <v>266</v>
      </c>
      <c r="B267" t="s">
        <v>466</v>
      </c>
      <c r="C267" t="s">
        <v>16</v>
      </c>
      <c r="D267" s="9">
        <v>31814</v>
      </c>
      <c r="E267" s="9" t="str">
        <f t="shared" si="32"/>
        <v>31-41</v>
      </c>
      <c r="F267">
        <v>37</v>
      </c>
      <c r="G267" t="s">
        <v>21</v>
      </c>
      <c r="H267">
        <v>3</v>
      </c>
      <c r="I267" t="s">
        <v>52</v>
      </c>
      <c r="K267">
        <f t="shared" si="39"/>
        <v>0</v>
      </c>
      <c r="L267">
        <f t="shared" si="33"/>
        <v>1</v>
      </c>
      <c r="M267">
        <f t="shared" si="34"/>
        <v>1</v>
      </c>
      <c r="N267">
        <f t="shared" si="35"/>
        <v>0</v>
      </c>
      <c r="O267">
        <f t="shared" si="36"/>
        <v>0</v>
      </c>
      <c r="P267">
        <f t="shared" si="37"/>
        <v>0</v>
      </c>
      <c r="Q267">
        <f t="shared" si="38"/>
        <v>1</v>
      </c>
      <c r="R267" t="b">
        <v>1</v>
      </c>
      <c r="S267" t="s">
        <v>467</v>
      </c>
      <c r="T267" s="10">
        <v>0.754861111111111</v>
      </c>
      <c r="U267" s="10">
        <v>0.848611111111111</v>
      </c>
      <c r="V267">
        <v>135</v>
      </c>
      <c r="W267" t="b">
        <v>0</v>
      </c>
    </row>
    <row r="268" spans="1:24">
      <c r="A268">
        <v>267</v>
      </c>
      <c r="B268" t="s">
        <v>468</v>
      </c>
      <c r="C268" t="s">
        <v>16</v>
      </c>
      <c r="D268" s="9">
        <v>32275</v>
      </c>
      <c r="E268" s="9" t="str">
        <f t="shared" si="32"/>
        <v>31-41</v>
      </c>
      <c r="F268">
        <v>36</v>
      </c>
      <c r="G268" t="s">
        <v>21</v>
      </c>
      <c r="H268">
        <v>5</v>
      </c>
      <c r="I268" t="s">
        <v>96</v>
      </c>
      <c r="K268">
        <f t="shared" si="39"/>
        <v>1</v>
      </c>
      <c r="L268">
        <f t="shared" si="33"/>
        <v>1</v>
      </c>
      <c r="M268">
        <f t="shared" si="34"/>
        <v>0</v>
      </c>
      <c r="N268">
        <f t="shared" si="35"/>
        <v>1</v>
      </c>
      <c r="O268">
        <f t="shared" si="36"/>
        <v>0</v>
      </c>
      <c r="P268">
        <f t="shared" si="37"/>
        <v>1</v>
      </c>
      <c r="Q268">
        <f t="shared" si="38"/>
        <v>1</v>
      </c>
      <c r="R268" t="b">
        <v>0</v>
      </c>
      <c r="T268" s="10">
        <v>0.48125</v>
      </c>
      <c r="U268" s="10">
        <v>0.583333333333333</v>
      </c>
      <c r="V268">
        <v>147</v>
      </c>
      <c r="W268" t="b">
        <v>0</v>
      </c>
    </row>
    <row r="269" spans="1:24">
      <c r="A269">
        <v>268</v>
      </c>
      <c r="B269" t="s">
        <v>469</v>
      </c>
      <c r="C269" t="s">
        <v>25</v>
      </c>
      <c r="D269" s="9">
        <v>37228</v>
      </c>
      <c r="E269" s="9" t="str">
        <f t="shared" si="32"/>
        <v>20-30</v>
      </c>
      <c r="F269">
        <v>22</v>
      </c>
      <c r="G269" t="s">
        <v>17</v>
      </c>
      <c r="H269">
        <v>4</v>
      </c>
      <c r="I269" t="s">
        <v>470</v>
      </c>
      <c r="K269">
        <f t="shared" si="39"/>
        <v>1</v>
      </c>
      <c r="L269">
        <f t="shared" si="33"/>
        <v>0</v>
      </c>
      <c r="M269">
        <f t="shared" si="34"/>
        <v>0</v>
      </c>
      <c r="N269">
        <f t="shared" si="35"/>
        <v>1</v>
      </c>
      <c r="O269">
        <f t="shared" si="36"/>
        <v>1</v>
      </c>
      <c r="P269">
        <f t="shared" si="37"/>
        <v>1</v>
      </c>
      <c r="Q269">
        <f t="shared" si="38"/>
        <v>0</v>
      </c>
      <c r="R269" t="b">
        <v>0</v>
      </c>
      <c r="T269" s="10">
        <v>0.755555555555556</v>
      </c>
      <c r="U269" s="10">
        <v>0.816666666666667</v>
      </c>
      <c r="V269">
        <v>88</v>
      </c>
      <c r="W269" t="b">
        <v>1</v>
      </c>
      <c r="X269" t="s">
        <v>28</v>
      </c>
    </row>
    <row r="270" spans="1:24">
      <c r="A270">
        <v>269</v>
      </c>
      <c r="B270" t="s">
        <v>471</v>
      </c>
      <c r="C270" t="s">
        <v>25</v>
      </c>
      <c r="D270" s="9">
        <v>32057</v>
      </c>
      <c r="E270" s="9" t="str">
        <f t="shared" si="32"/>
        <v>31-41</v>
      </c>
      <c r="F270">
        <v>36</v>
      </c>
      <c r="G270" t="s">
        <v>17</v>
      </c>
      <c r="H270">
        <v>2</v>
      </c>
      <c r="I270" t="s">
        <v>32</v>
      </c>
      <c r="K270">
        <f t="shared" si="39"/>
        <v>0</v>
      </c>
      <c r="L270">
        <f t="shared" si="33"/>
        <v>0</v>
      </c>
      <c r="M270">
        <f t="shared" si="34"/>
        <v>1</v>
      </c>
      <c r="N270">
        <f t="shared" si="35"/>
        <v>0</v>
      </c>
      <c r="O270">
        <f t="shared" si="36"/>
        <v>1</v>
      </c>
      <c r="P270">
        <f t="shared" si="37"/>
        <v>0</v>
      </c>
      <c r="Q270">
        <f t="shared" si="38"/>
        <v>0</v>
      </c>
      <c r="R270" t="b">
        <v>0</v>
      </c>
      <c r="T270" s="10">
        <v>0.415972222222222</v>
      </c>
      <c r="U270" s="10">
        <v>0.495138888888889</v>
      </c>
      <c r="V270">
        <v>114</v>
      </c>
      <c r="W270" t="b">
        <v>0</v>
      </c>
    </row>
    <row r="271" spans="1:24">
      <c r="A271">
        <v>270</v>
      </c>
      <c r="B271" t="s">
        <v>472</v>
      </c>
      <c r="C271" t="s">
        <v>25</v>
      </c>
      <c r="D271" s="9">
        <v>31107</v>
      </c>
      <c r="E271" s="9" t="str">
        <f t="shared" si="32"/>
        <v>31-41</v>
      </c>
      <c r="F271">
        <v>39</v>
      </c>
      <c r="G271" t="s">
        <v>21</v>
      </c>
      <c r="H271">
        <v>3</v>
      </c>
      <c r="I271" t="s">
        <v>315</v>
      </c>
      <c r="K271">
        <f t="shared" si="39"/>
        <v>0</v>
      </c>
      <c r="L271">
        <f t="shared" si="33"/>
        <v>0</v>
      </c>
      <c r="M271">
        <f t="shared" si="34"/>
        <v>1</v>
      </c>
      <c r="N271">
        <f t="shared" si="35"/>
        <v>0</v>
      </c>
      <c r="O271">
        <f t="shared" si="36"/>
        <v>1</v>
      </c>
      <c r="P271">
        <f t="shared" si="37"/>
        <v>0</v>
      </c>
      <c r="Q271">
        <f t="shared" si="38"/>
        <v>1</v>
      </c>
      <c r="R271" t="b">
        <v>1</v>
      </c>
      <c r="S271" t="s">
        <v>44</v>
      </c>
      <c r="T271" s="10">
        <v>0.638194444444444</v>
      </c>
      <c r="U271" s="10">
        <v>0.66875</v>
      </c>
      <c r="V271">
        <v>44</v>
      </c>
      <c r="W271" t="b">
        <v>1</v>
      </c>
      <c r="X271" t="s">
        <v>28</v>
      </c>
    </row>
    <row r="272" spans="1:24">
      <c r="A272">
        <v>271</v>
      </c>
      <c r="B272" t="s">
        <v>473</v>
      </c>
      <c r="C272" t="s">
        <v>25</v>
      </c>
      <c r="D272" s="9">
        <v>28122</v>
      </c>
      <c r="E272" s="9" t="str">
        <f t="shared" si="32"/>
        <v>41-50</v>
      </c>
      <c r="F272">
        <v>47</v>
      </c>
      <c r="G272" t="s">
        <v>21</v>
      </c>
      <c r="H272">
        <v>3</v>
      </c>
      <c r="I272" t="s">
        <v>150</v>
      </c>
      <c r="K272">
        <f t="shared" si="39"/>
        <v>0</v>
      </c>
      <c r="L272">
        <f t="shared" si="33"/>
        <v>1</v>
      </c>
      <c r="M272">
        <f t="shared" si="34"/>
        <v>0</v>
      </c>
      <c r="N272">
        <f t="shared" si="35"/>
        <v>1</v>
      </c>
      <c r="O272">
        <f t="shared" si="36"/>
        <v>0</v>
      </c>
      <c r="P272">
        <f t="shared" si="37"/>
        <v>0</v>
      </c>
      <c r="Q272">
        <f t="shared" si="38"/>
        <v>1</v>
      </c>
      <c r="R272" t="b">
        <v>0</v>
      </c>
      <c r="T272" s="10">
        <v>0.422222222222222</v>
      </c>
      <c r="U272" s="10">
        <v>0.445138888888889</v>
      </c>
      <c r="V272">
        <v>33</v>
      </c>
      <c r="W272" t="b">
        <v>1</v>
      </c>
      <c r="X272" t="s">
        <v>50</v>
      </c>
    </row>
    <row r="273" spans="1:24">
      <c r="A273">
        <v>272</v>
      </c>
      <c r="B273" t="s">
        <v>474</v>
      </c>
      <c r="C273" t="s">
        <v>25</v>
      </c>
      <c r="D273" s="9">
        <v>27406</v>
      </c>
      <c r="E273" s="9" t="str">
        <f t="shared" si="32"/>
        <v>41-50</v>
      </c>
      <c r="F273">
        <v>49</v>
      </c>
      <c r="G273" t="s">
        <v>17</v>
      </c>
      <c r="H273">
        <v>2</v>
      </c>
      <c r="I273" t="s">
        <v>138</v>
      </c>
      <c r="K273">
        <f t="shared" si="39"/>
        <v>0</v>
      </c>
      <c r="L273">
        <f t="shared" si="33"/>
        <v>0</v>
      </c>
      <c r="M273">
        <f t="shared" si="34"/>
        <v>1</v>
      </c>
      <c r="N273">
        <f t="shared" si="35"/>
        <v>0</v>
      </c>
      <c r="O273">
        <f t="shared" si="36"/>
        <v>0</v>
      </c>
      <c r="P273">
        <f t="shared" si="37"/>
        <v>1</v>
      </c>
      <c r="Q273">
        <f t="shared" si="38"/>
        <v>0</v>
      </c>
      <c r="R273" t="b">
        <v>1</v>
      </c>
      <c r="S273" t="s">
        <v>201</v>
      </c>
      <c r="T273" s="10">
        <v>0.555555555555556</v>
      </c>
      <c r="U273" s="10">
        <v>0.677777777777778</v>
      </c>
      <c r="V273">
        <v>176</v>
      </c>
      <c r="W273" t="b">
        <v>1</v>
      </c>
      <c r="X273" t="s">
        <v>23</v>
      </c>
    </row>
    <row r="274" spans="1:24">
      <c r="A274">
        <v>273</v>
      </c>
      <c r="B274" t="s">
        <v>326</v>
      </c>
      <c r="C274" t="s">
        <v>25</v>
      </c>
      <c r="D274" s="9">
        <v>35426</v>
      </c>
      <c r="E274" s="9" t="str">
        <f t="shared" si="32"/>
        <v>20-30</v>
      </c>
      <c r="F274">
        <v>27</v>
      </c>
      <c r="G274" t="s">
        <v>21</v>
      </c>
      <c r="H274">
        <v>2</v>
      </c>
      <c r="I274" t="s">
        <v>195</v>
      </c>
      <c r="K274">
        <f t="shared" si="39"/>
        <v>1</v>
      </c>
      <c r="L274">
        <f t="shared" si="33"/>
        <v>1</v>
      </c>
      <c r="M274">
        <f t="shared" si="34"/>
        <v>0</v>
      </c>
      <c r="N274">
        <f t="shared" si="35"/>
        <v>0</v>
      </c>
      <c r="O274">
        <f t="shared" si="36"/>
        <v>0</v>
      </c>
      <c r="P274">
        <f t="shared" si="37"/>
        <v>0</v>
      </c>
      <c r="Q274">
        <f t="shared" si="38"/>
        <v>0</v>
      </c>
      <c r="R274" t="b">
        <v>0</v>
      </c>
      <c r="T274" s="10">
        <v>0.474305555555556</v>
      </c>
      <c r="U274" s="10">
        <v>0.559027777777778</v>
      </c>
      <c r="V274">
        <v>122</v>
      </c>
      <c r="W274" t="b">
        <v>1</v>
      </c>
      <c r="X274" t="s">
        <v>23</v>
      </c>
    </row>
    <row r="275" spans="1:24">
      <c r="A275">
        <v>274</v>
      </c>
      <c r="B275" t="s">
        <v>475</v>
      </c>
      <c r="C275" t="s">
        <v>16</v>
      </c>
      <c r="D275" s="9">
        <v>29314</v>
      </c>
      <c r="E275" s="9" t="str">
        <f t="shared" si="32"/>
        <v>41-50</v>
      </c>
      <c r="F275">
        <v>44</v>
      </c>
      <c r="G275" t="s">
        <v>21</v>
      </c>
      <c r="H275">
        <v>2</v>
      </c>
      <c r="I275" t="s">
        <v>101</v>
      </c>
      <c r="K275">
        <f t="shared" si="39"/>
        <v>0</v>
      </c>
      <c r="L275">
        <f t="shared" si="33"/>
        <v>0</v>
      </c>
      <c r="M275">
        <f t="shared" si="34"/>
        <v>0</v>
      </c>
      <c r="N275">
        <f t="shared" si="35"/>
        <v>0</v>
      </c>
      <c r="O275">
        <f t="shared" si="36"/>
        <v>0</v>
      </c>
      <c r="P275">
        <f t="shared" si="37"/>
        <v>1</v>
      </c>
      <c r="Q275">
        <f t="shared" si="38"/>
        <v>1</v>
      </c>
      <c r="R275" t="b">
        <v>1</v>
      </c>
      <c r="S275" t="s">
        <v>356</v>
      </c>
      <c r="T275" s="10">
        <v>0.8125</v>
      </c>
      <c r="U275" s="10">
        <v>0.894444444444444</v>
      </c>
      <c r="V275">
        <v>118</v>
      </c>
      <c r="W275" t="b">
        <v>0</v>
      </c>
    </row>
    <row r="276" spans="1:24">
      <c r="A276">
        <v>275</v>
      </c>
      <c r="B276" t="s">
        <v>476</v>
      </c>
      <c r="C276" t="s">
        <v>25</v>
      </c>
      <c r="D276" s="9">
        <v>40703</v>
      </c>
      <c r="E276" s="9" t="str">
        <f t="shared" si="32"/>
        <v>below 20</v>
      </c>
      <c r="F276">
        <v>13</v>
      </c>
      <c r="G276" t="s">
        <v>21</v>
      </c>
      <c r="H276">
        <v>2</v>
      </c>
      <c r="I276" t="s">
        <v>259</v>
      </c>
      <c r="K276">
        <f t="shared" si="39"/>
        <v>0</v>
      </c>
      <c r="L276">
        <f t="shared" si="33"/>
        <v>1</v>
      </c>
      <c r="M276">
        <f t="shared" si="34"/>
        <v>0</v>
      </c>
      <c r="N276">
        <f t="shared" si="35"/>
        <v>0</v>
      </c>
      <c r="O276">
        <f t="shared" si="36"/>
        <v>1</v>
      </c>
      <c r="P276">
        <f t="shared" si="37"/>
        <v>0</v>
      </c>
      <c r="Q276">
        <f t="shared" si="38"/>
        <v>0</v>
      </c>
      <c r="R276" t="b">
        <v>0</v>
      </c>
      <c r="T276" s="10">
        <v>0.401388888888889</v>
      </c>
      <c r="U276" s="10">
        <v>0.497222222222222</v>
      </c>
      <c r="V276">
        <v>138</v>
      </c>
      <c r="W276" t="b">
        <v>0</v>
      </c>
    </row>
    <row r="277" spans="1:24">
      <c r="A277">
        <v>276</v>
      </c>
      <c r="B277" t="s">
        <v>477</v>
      </c>
      <c r="C277" t="s">
        <v>25</v>
      </c>
      <c r="D277" s="9">
        <v>40270</v>
      </c>
      <c r="E277" s="9" t="str">
        <f t="shared" si="32"/>
        <v>below 20</v>
      </c>
      <c r="F277">
        <v>14</v>
      </c>
      <c r="G277" t="s">
        <v>21</v>
      </c>
      <c r="H277">
        <v>2</v>
      </c>
      <c r="I277" t="s">
        <v>306</v>
      </c>
      <c r="K277">
        <f t="shared" si="39"/>
        <v>1</v>
      </c>
      <c r="L277">
        <f t="shared" si="33"/>
        <v>0</v>
      </c>
      <c r="M277">
        <f t="shared" si="34"/>
        <v>0</v>
      </c>
      <c r="N277">
        <f t="shared" si="35"/>
        <v>0</v>
      </c>
      <c r="O277">
        <f t="shared" si="36"/>
        <v>1</v>
      </c>
      <c r="P277">
        <f t="shared" si="37"/>
        <v>0</v>
      </c>
      <c r="Q277">
        <f t="shared" si="38"/>
        <v>0</v>
      </c>
      <c r="R277" t="b">
        <v>1</v>
      </c>
      <c r="S277" t="s">
        <v>114</v>
      </c>
      <c r="T277" s="10">
        <v>0.472916666666667</v>
      </c>
      <c r="U277" s="10">
        <v>0.520138888888889</v>
      </c>
      <c r="V277">
        <v>68</v>
      </c>
      <c r="W277" t="b">
        <v>0</v>
      </c>
    </row>
    <row r="278" spans="1:24">
      <c r="A278">
        <v>277</v>
      </c>
      <c r="B278" t="s">
        <v>478</v>
      </c>
      <c r="C278" t="s">
        <v>16</v>
      </c>
      <c r="D278" s="9">
        <v>36275</v>
      </c>
      <c r="E278" s="9" t="str">
        <f t="shared" si="32"/>
        <v>20-30</v>
      </c>
      <c r="F278">
        <v>25</v>
      </c>
      <c r="G278" t="s">
        <v>21</v>
      </c>
      <c r="H278">
        <v>2</v>
      </c>
      <c r="I278" t="s">
        <v>210</v>
      </c>
      <c r="K278">
        <f t="shared" si="39"/>
        <v>0</v>
      </c>
      <c r="L278">
        <f t="shared" si="33"/>
        <v>1</v>
      </c>
      <c r="M278">
        <f t="shared" si="34"/>
        <v>0</v>
      </c>
      <c r="N278">
        <f t="shared" si="35"/>
        <v>0</v>
      </c>
      <c r="O278">
        <f t="shared" si="36"/>
        <v>0</v>
      </c>
      <c r="P278">
        <f t="shared" si="37"/>
        <v>1</v>
      </c>
      <c r="Q278">
        <f t="shared" si="38"/>
        <v>0</v>
      </c>
      <c r="R278" t="b">
        <v>0</v>
      </c>
      <c r="T278" s="10">
        <v>0.443055555555556</v>
      </c>
      <c r="U278" s="10">
        <v>0.565972222222222</v>
      </c>
      <c r="V278">
        <v>177</v>
      </c>
      <c r="W278" t="b">
        <v>1</v>
      </c>
      <c r="X278" t="s">
        <v>50</v>
      </c>
    </row>
    <row r="279" spans="1:24">
      <c r="A279">
        <v>278</v>
      </c>
      <c r="B279" t="s">
        <v>479</v>
      </c>
      <c r="C279" t="s">
        <v>25</v>
      </c>
      <c r="D279" s="9">
        <v>33637</v>
      </c>
      <c r="E279" s="9" t="str">
        <f t="shared" si="32"/>
        <v>31-41</v>
      </c>
      <c r="F279">
        <v>32</v>
      </c>
      <c r="G279" t="s">
        <v>17</v>
      </c>
      <c r="H279">
        <v>2</v>
      </c>
      <c r="I279" t="s">
        <v>111</v>
      </c>
      <c r="K279">
        <f t="shared" si="39"/>
        <v>0</v>
      </c>
      <c r="L279">
        <f t="shared" si="33"/>
        <v>1</v>
      </c>
      <c r="M279">
        <f t="shared" si="34"/>
        <v>0</v>
      </c>
      <c r="N279">
        <f t="shared" si="35"/>
        <v>0</v>
      </c>
      <c r="O279">
        <f t="shared" si="36"/>
        <v>0</v>
      </c>
      <c r="P279">
        <f t="shared" si="37"/>
        <v>0</v>
      </c>
      <c r="Q279">
        <f t="shared" si="38"/>
        <v>1</v>
      </c>
      <c r="R279" t="b">
        <v>1</v>
      </c>
      <c r="S279" t="s">
        <v>480</v>
      </c>
      <c r="T279" s="10">
        <v>0.554861111111111</v>
      </c>
      <c r="U279" s="10">
        <v>0.592361111111111</v>
      </c>
      <c r="V279">
        <v>54</v>
      </c>
      <c r="W279" t="b">
        <v>1</v>
      </c>
      <c r="X279" t="s">
        <v>28</v>
      </c>
    </row>
    <row r="280" spans="1:24">
      <c r="A280">
        <v>279</v>
      </c>
      <c r="B280" t="s">
        <v>481</v>
      </c>
      <c r="C280" t="s">
        <v>16</v>
      </c>
      <c r="D280" s="9">
        <v>34622</v>
      </c>
      <c r="E280" s="9" t="str">
        <f t="shared" si="32"/>
        <v>20-30</v>
      </c>
      <c r="F280">
        <v>29</v>
      </c>
      <c r="G280" t="s">
        <v>21</v>
      </c>
      <c r="H280">
        <v>4</v>
      </c>
      <c r="I280" t="s">
        <v>482</v>
      </c>
      <c r="K280">
        <f t="shared" si="39"/>
        <v>1</v>
      </c>
      <c r="L280">
        <f t="shared" si="33"/>
        <v>1</v>
      </c>
      <c r="M280">
        <f t="shared" si="34"/>
        <v>1</v>
      </c>
      <c r="N280">
        <f t="shared" si="35"/>
        <v>1</v>
      </c>
      <c r="O280">
        <f t="shared" si="36"/>
        <v>0</v>
      </c>
      <c r="P280">
        <f t="shared" si="37"/>
        <v>0</v>
      </c>
      <c r="Q280">
        <f t="shared" si="38"/>
        <v>0</v>
      </c>
      <c r="R280" t="b">
        <v>0</v>
      </c>
      <c r="T280" s="10">
        <v>0.446527777777778</v>
      </c>
      <c r="U280" s="10">
        <v>0.520833333333333</v>
      </c>
      <c r="V280">
        <v>107</v>
      </c>
      <c r="W280" t="b">
        <v>1</v>
      </c>
      <c r="X280" t="s">
        <v>50</v>
      </c>
    </row>
    <row r="281" spans="1:24">
      <c r="A281">
        <v>280</v>
      </c>
      <c r="B281" t="s">
        <v>483</v>
      </c>
      <c r="C281" t="s">
        <v>25</v>
      </c>
      <c r="D281" s="9">
        <v>30340</v>
      </c>
      <c r="E281" s="9" t="str">
        <f t="shared" si="32"/>
        <v>41-50</v>
      </c>
      <c r="F281">
        <v>41</v>
      </c>
      <c r="G281" t="s">
        <v>21</v>
      </c>
      <c r="H281">
        <v>2</v>
      </c>
      <c r="I281" t="s">
        <v>69</v>
      </c>
      <c r="K281">
        <f t="shared" si="39"/>
        <v>0</v>
      </c>
      <c r="L281">
        <f t="shared" si="33"/>
        <v>0</v>
      </c>
      <c r="M281">
        <f t="shared" si="34"/>
        <v>0</v>
      </c>
      <c r="N281">
        <f t="shared" si="35"/>
        <v>1</v>
      </c>
      <c r="O281">
        <f t="shared" si="36"/>
        <v>0</v>
      </c>
      <c r="P281">
        <f t="shared" si="37"/>
        <v>0</v>
      </c>
      <c r="Q281">
        <f t="shared" si="38"/>
        <v>1</v>
      </c>
      <c r="R281" t="b">
        <v>1</v>
      </c>
      <c r="S281" t="s">
        <v>303</v>
      </c>
      <c r="T281" s="10">
        <v>0.436805555555556</v>
      </c>
      <c r="U281" s="10">
        <v>0.464583333333333</v>
      </c>
      <c r="V281">
        <v>40</v>
      </c>
      <c r="W281" t="b">
        <v>1</v>
      </c>
      <c r="X281" t="s">
        <v>23</v>
      </c>
    </row>
    <row r="282" spans="1:24">
      <c r="A282">
        <v>281</v>
      </c>
      <c r="B282" t="s">
        <v>484</v>
      </c>
      <c r="C282" t="s">
        <v>25</v>
      </c>
      <c r="D282" s="9">
        <v>37773</v>
      </c>
      <c r="E282" s="9" t="str">
        <f t="shared" si="32"/>
        <v>20-30</v>
      </c>
      <c r="F282">
        <v>21</v>
      </c>
      <c r="G282" t="s">
        <v>17</v>
      </c>
      <c r="H282">
        <v>2</v>
      </c>
      <c r="I282" t="s">
        <v>133</v>
      </c>
      <c r="K282">
        <f t="shared" si="39"/>
        <v>1</v>
      </c>
      <c r="L282">
        <f t="shared" si="33"/>
        <v>0</v>
      </c>
      <c r="M282">
        <f t="shared" si="34"/>
        <v>1</v>
      </c>
      <c r="N282">
        <f t="shared" si="35"/>
        <v>0</v>
      </c>
      <c r="O282">
        <f t="shared" si="36"/>
        <v>0</v>
      </c>
      <c r="P282">
        <f t="shared" si="37"/>
        <v>0</v>
      </c>
      <c r="Q282">
        <f t="shared" si="38"/>
        <v>0</v>
      </c>
      <c r="R282" t="b">
        <v>1</v>
      </c>
      <c r="S282" t="s">
        <v>485</v>
      </c>
      <c r="T282" s="10">
        <v>0.652777777777778</v>
      </c>
      <c r="U282" s="10">
        <v>0.699305555555556</v>
      </c>
      <c r="V282">
        <v>67</v>
      </c>
      <c r="W282" t="b">
        <v>1</v>
      </c>
      <c r="X282" t="s">
        <v>23</v>
      </c>
    </row>
    <row r="283" spans="1:24">
      <c r="A283">
        <v>282</v>
      </c>
      <c r="B283" t="s">
        <v>486</v>
      </c>
      <c r="C283" t="s">
        <v>25</v>
      </c>
      <c r="D283" s="9">
        <v>36347</v>
      </c>
      <c r="E283" s="9" t="str">
        <f t="shared" si="32"/>
        <v>20-30</v>
      </c>
      <c r="F283">
        <v>25</v>
      </c>
      <c r="G283" t="s">
        <v>21</v>
      </c>
      <c r="H283">
        <v>5</v>
      </c>
      <c r="I283" t="s">
        <v>88</v>
      </c>
      <c r="K283">
        <f t="shared" si="39"/>
        <v>0</v>
      </c>
      <c r="L283">
        <f t="shared" si="33"/>
        <v>1</v>
      </c>
      <c r="M283">
        <f t="shared" si="34"/>
        <v>0</v>
      </c>
      <c r="N283">
        <f t="shared" si="35"/>
        <v>1</v>
      </c>
      <c r="O283">
        <f t="shared" si="36"/>
        <v>1</v>
      </c>
      <c r="P283">
        <f t="shared" si="37"/>
        <v>1</v>
      </c>
      <c r="Q283">
        <f t="shared" si="38"/>
        <v>1</v>
      </c>
      <c r="R283" t="b">
        <v>1</v>
      </c>
      <c r="S283" t="s">
        <v>487</v>
      </c>
      <c r="T283" s="10">
        <v>0.517361111111111</v>
      </c>
      <c r="U283" s="10">
        <v>0.559722222222222</v>
      </c>
      <c r="V283">
        <v>61</v>
      </c>
      <c r="W283" t="b">
        <v>0</v>
      </c>
    </row>
    <row r="284" spans="1:24">
      <c r="A284">
        <v>283</v>
      </c>
      <c r="B284" t="s">
        <v>488</v>
      </c>
      <c r="C284" t="s">
        <v>16</v>
      </c>
      <c r="D284" s="9">
        <v>37606</v>
      </c>
      <c r="E284" s="9" t="str">
        <f t="shared" si="32"/>
        <v>20-30</v>
      </c>
      <c r="F284">
        <v>21</v>
      </c>
      <c r="G284" t="s">
        <v>17</v>
      </c>
      <c r="H284">
        <v>2</v>
      </c>
      <c r="I284" t="s">
        <v>55</v>
      </c>
      <c r="K284">
        <f t="shared" si="39"/>
        <v>1</v>
      </c>
      <c r="L284">
        <f t="shared" si="33"/>
        <v>0</v>
      </c>
      <c r="M284">
        <f t="shared" si="34"/>
        <v>0</v>
      </c>
      <c r="N284">
        <f t="shared" si="35"/>
        <v>1</v>
      </c>
      <c r="O284">
        <f t="shared" si="36"/>
        <v>0</v>
      </c>
      <c r="P284">
        <f t="shared" si="37"/>
        <v>0</v>
      </c>
      <c r="Q284">
        <f t="shared" si="38"/>
        <v>0</v>
      </c>
      <c r="R284" t="b">
        <v>1</v>
      </c>
      <c r="S284" t="s">
        <v>489</v>
      </c>
      <c r="T284" s="10">
        <v>0.621527777777778</v>
      </c>
      <c r="U284" s="10">
        <v>0.736111111111111</v>
      </c>
      <c r="V284">
        <v>165</v>
      </c>
      <c r="W284" t="b">
        <v>1</v>
      </c>
      <c r="X284" t="s">
        <v>28</v>
      </c>
    </row>
    <row r="285" spans="1:24">
      <c r="A285">
        <v>284</v>
      </c>
      <c r="B285" t="s">
        <v>490</v>
      </c>
      <c r="C285" t="s">
        <v>16</v>
      </c>
      <c r="D285" s="9">
        <v>40533</v>
      </c>
      <c r="E285" s="9" t="str">
        <f t="shared" si="32"/>
        <v>below 20</v>
      </c>
      <c r="F285">
        <v>13</v>
      </c>
      <c r="G285" t="s">
        <v>21</v>
      </c>
      <c r="H285">
        <v>2</v>
      </c>
      <c r="I285" t="s">
        <v>133</v>
      </c>
      <c r="K285">
        <f t="shared" si="39"/>
        <v>1</v>
      </c>
      <c r="L285">
        <f t="shared" si="33"/>
        <v>0</v>
      </c>
      <c r="M285">
        <f t="shared" si="34"/>
        <v>1</v>
      </c>
      <c r="N285">
        <f t="shared" si="35"/>
        <v>0</v>
      </c>
      <c r="O285">
        <f t="shared" si="36"/>
        <v>0</v>
      </c>
      <c r="P285">
        <f t="shared" si="37"/>
        <v>0</v>
      </c>
      <c r="Q285">
        <f t="shared" si="38"/>
        <v>0</v>
      </c>
      <c r="R285" t="b">
        <v>0</v>
      </c>
      <c r="T285" s="10">
        <v>0.536111111111111</v>
      </c>
      <c r="U285" s="10">
        <v>0.647222222222222</v>
      </c>
      <c r="V285">
        <v>160</v>
      </c>
      <c r="W285" t="b">
        <v>0</v>
      </c>
    </row>
    <row r="286" spans="1:24">
      <c r="A286">
        <v>285</v>
      </c>
      <c r="B286" t="s">
        <v>388</v>
      </c>
      <c r="C286" t="s">
        <v>25</v>
      </c>
      <c r="D286" s="9">
        <v>27919</v>
      </c>
      <c r="E286" s="9" t="str">
        <f t="shared" si="32"/>
        <v>41-50</v>
      </c>
      <c r="F286">
        <v>48</v>
      </c>
      <c r="G286" t="s">
        <v>17</v>
      </c>
      <c r="H286">
        <v>4</v>
      </c>
      <c r="I286" t="s">
        <v>123</v>
      </c>
      <c r="K286">
        <f t="shared" si="39"/>
        <v>0</v>
      </c>
      <c r="L286">
        <f t="shared" si="33"/>
        <v>1</v>
      </c>
      <c r="M286">
        <f t="shared" si="34"/>
        <v>1</v>
      </c>
      <c r="N286">
        <f t="shared" si="35"/>
        <v>0</v>
      </c>
      <c r="O286">
        <f t="shared" si="36"/>
        <v>1</v>
      </c>
      <c r="P286">
        <f t="shared" si="37"/>
        <v>1</v>
      </c>
      <c r="Q286">
        <f t="shared" si="38"/>
        <v>0</v>
      </c>
      <c r="R286" t="b">
        <v>0</v>
      </c>
      <c r="T286" s="10">
        <v>0.564583333333333</v>
      </c>
      <c r="U286" s="10">
        <v>0.588194444444444</v>
      </c>
      <c r="V286">
        <v>34</v>
      </c>
      <c r="W286" t="b">
        <v>0</v>
      </c>
    </row>
    <row r="287" spans="1:24">
      <c r="A287">
        <v>286</v>
      </c>
      <c r="B287" t="s">
        <v>491</v>
      </c>
      <c r="C287" t="s">
        <v>25</v>
      </c>
      <c r="D287" s="9">
        <v>38009</v>
      </c>
      <c r="E287" s="9" t="str">
        <f t="shared" si="32"/>
        <v>20-30</v>
      </c>
      <c r="F287">
        <v>20</v>
      </c>
      <c r="G287" t="s">
        <v>17</v>
      </c>
      <c r="H287">
        <v>5</v>
      </c>
      <c r="I287" t="s">
        <v>127</v>
      </c>
      <c r="K287">
        <f t="shared" si="39"/>
        <v>1</v>
      </c>
      <c r="L287">
        <f t="shared" si="33"/>
        <v>0</v>
      </c>
      <c r="M287">
        <f t="shared" si="34"/>
        <v>1</v>
      </c>
      <c r="N287">
        <f t="shared" si="35"/>
        <v>1</v>
      </c>
      <c r="O287">
        <f t="shared" si="36"/>
        <v>1</v>
      </c>
      <c r="P287">
        <f t="shared" si="37"/>
        <v>1</v>
      </c>
      <c r="Q287">
        <f t="shared" si="38"/>
        <v>0</v>
      </c>
      <c r="R287" t="b">
        <v>0</v>
      </c>
      <c r="T287" s="10">
        <v>0.844444444444444</v>
      </c>
      <c r="U287" s="10">
        <v>0.909027777777778</v>
      </c>
      <c r="V287">
        <v>93</v>
      </c>
      <c r="W287" t="b">
        <v>1</v>
      </c>
      <c r="X287" t="s">
        <v>28</v>
      </c>
    </row>
    <row r="288" spans="1:24">
      <c r="A288">
        <v>287</v>
      </c>
      <c r="B288" t="s">
        <v>492</v>
      </c>
      <c r="C288" t="s">
        <v>25</v>
      </c>
      <c r="D288" s="9">
        <v>32057</v>
      </c>
      <c r="E288" s="9" t="str">
        <f t="shared" si="32"/>
        <v>31-41</v>
      </c>
      <c r="F288">
        <v>36</v>
      </c>
      <c r="G288" t="s">
        <v>17</v>
      </c>
      <c r="H288">
        <v>2</v>
      </c>
      <c r="I288" t="s">
        <v>187</v>
      </c>
      <c r="K288">
        <f t="shared" si="39"/>
        <v>0</v>
      </c>
      <c r="L288">
        <f t="shared" si="33"/>
        <v>0</v>
      </c>
      <c r="M288">
        <f t="shared" si="34"/>
        <v>0</v>
      </c>
      <c r="N288">
        <f t="shared" si="35"/>
        <v>1</v>
      </c>
      <c r="O288">
        <f t="shared" si="36"/>
        <v>1</v>
      </c>
      <c r="P288">
        <f t="shared" si="37"/>
        <v>0</v>
      </c>
      <c r="Q288">
        <f t="shared" si="38"/>
        <v>0</v>
      </c>
      <c r="R288" t="b">
        <v>1</v>
      </c>
      <c r="S288" t="s">
        <v>493</v>
      </c>
      <c r="T288" s="10">
        <v>0.81875</v>
      </c>
      <c r="U288" s="10">
        <v>0.91875</v>
      </c>
      <c r="V288">
        <v>144</v>
      </c>
      <c r="W288" t="b">
        <v>0</v>
      </c>
    </row>
    <row r="289" spans="1:24">
      <c r="A289">
        <v>288</v>
      </c>
      <c r="B289" t="s">
        <v>494</v>
      </c>
      <c r="C289" t="s">
        <v>25</v>
      </c>
      <c r="D289" s="9">
        <v>30114</v>
      </c>
      <c r="E289" s="9" t="str">
        <f t="shared" si="32"/>
        <v>41-50</v>
      </c>
      <c r="F289">
        <v>42</v>
      </c>
      <c r="G289" t="s">
        <v>17</v>
      </c>
      <c r="H289">
        <v>5</v>
      </c>
      <c r="I289" t="s">
        <v>417</v>
      </c>
      <c r="K289">
        <f t="shared" si="39"/>
        <v>1</v>
      </c>
      <c r="L289">
        <f t="shared" si="33"/>
        <v>1</v>
      </c>
      <c r="M289">
        <f t="shared" si="34"/>
        <v>0</v>
      </c>
      <c r="N289">
        <f t="shared" si="35"/>
        <v>1</v>
      </c>
      <c r="O289">
        <f t="shared" si="36"/>
        <v>1</v>
      </c>
      <c r="P289">
        <f t="shared" si="37"/>
        <v>1</v>
      </c>
      <c r="Q289">
        <f t="shared" si="38"/>
        <v>0</v>
      </c>
      <c r="R289" t="b">
        <v>0</v>
      </c>
      <c r="T289" s="10">
        <v>0.729166666666667</v>
      </c>
      <c r="U289" s="10">
        <v>0.839583333333333</v>
      </c>
      <c r="V289">
        <v>159</v>
      </c>
      <c r="W289" t="b">
        <v>0</v>
      </c>
    </row>
    <row r="290" spans="1:24">
      <c r="A290">
        <v>289</v>
      </c>
      <c r="B290" t="s">
        <v>495</v>
      </c>
      <c r="C290" t="s">
        <v>16</v>
      </c>
      <c r="D290" s="9">
        <v>38096</v>
      </c>
      <c r="E290" s="9" t="str">
        <f t="shared" si="32"/>
        <v>20-30</v>
      </c>
      <c r="F290">
        <v>20</v>
      </c>
      <c r="G290" t="s">
        <v>17</v>
      </c>
      <c r="H290">
        <v>3</v>
      </c>
      <c r="I290" t="s">
        <v>325</v>
      </c>
      <c r="K290">
        <f t="shared" si="39"/>
        <v>1</v>
      </c>
      <c r="L290">
        <f t="shared" si="33"/>
        <v>0</v>
      </c>
      <c r="M290">
        <f t="shared" si="34"/>
        <v>0</v>
      </c>
      <c r="N290">
        <f t="shared" si="35"/>
        <v>1</v>
      </c>
      <c r="O290">
        <f t="shared" si="36"/>
        <v>0</v>
      </c>
      <c r="P290">
        <f t="shared" si="37"/>
        <v>0</v>
      </c>
      <c r="Q290">
        <f t="shared" si="38"/>
        <v>1</v>
      </c>
      <c r="R290" t="b">
        <v>1</v>
      </c>
      <c r="S290" t="s">
        <v>174</v>
      </c>
      <c r="T290" s="10">
        <v>0.370138888888889</v>
      </c>
      <c r="U290" s="10">
        <v>0.478472222222222</v>
      </c>
      <c r="V290">
        <v>156</v>
      </c>
      <c r="W290" t="b">
        <v>1</v>
      </c>
      <c r="X290" t="s">
        <v>28</v>
      </c>
    </row>
    <row r="291" spans="1:24">
      <c r="A291">
        <v>290</v>
      </c>
      <c r="B291" t="s">
        <v>496</v>
      </c>
      <c r="C291" t="s">
        <v>16</v>
      </c>
      <c r="D291" s="9">
        <v>35920</v>
      </c>
      <c r="E291" s="9" t="str">
        <f t="shared" si="32"/>
        <v>20-30</v>
      </c>
      <c r="F291">
        <v>26</v>
      </c>
      <c r="G291" t="s">
        <v>21</v>
      </c>
      <c r="H291">
        <v>2</v>
      </c>
      <c r="I291" t="s">
        <v>461</v>
      </c>
      <c r="K291">
        <f t="shared" si="39"/>
        <v>0</v>
      </c>
      <c r="L291">
        <f t="shared" si="33"/>
        <v>0</v>
      </c>
      <c r="M291">
        <f t="shared" si="34"/>
        <v>0</v>
      </c>
      <c r="N291">
        <f t="shared" si="35"/>
        <v>0</v>
      </c>
      <c r="O291">
        <f t="shared" si="36"/>
        <v>1</v>
      </c>
      <c r="P291">
        <f t="shared" si="37"/>
        <v>1</v>
      </c>
      <c r="Q291">
        <f t="shared" si="38"/>
        <v>0</v>
      </c>
      <c r="R291" t="b">
        <v>1</v>
      </c>
      <c r="S291" t="s">
        <v>193</v>
      </c>
      <c r="T291" s="10">
        <v>0.661111111111111</v>
      </c>
      <c r="U291" s="10">
        <v>0.753472222222222</v>
      </c>
      <c r="V291">
        <v>133</v>
      </c>
      <c r="W291" t="b">
        <v>0</v>
      </c>
    </row>
    <row r="292" spans="1:24">
      <c r="A292">
        <v>291</v>
      </c>
      <c r="B292" t="s">
        <v>497</v>
      </c>
      <c r="C292" t="s">
        <v>16</v>
      </c>
      <c r="D292" s="9">
        <v>30065</v>
      </c>
      <c r="E292" s="9" t="str">
        <f t="shared" si="32"/>
        <v>41-50</v>
      </c>
      <c r="F292">
        <v>42</v>
      </c>
      <c r="G292" t="s">
        <v>17</v>
      </c>
      <c r="H292">
        <v>5</v>
      </c>
      <c r="I292" t="s">
        <v>456</v>
      </c>
      <c r="K292">
        <f t="shared" si="39"/>
        <v>0</v>
      </c>
      <c r="L292">
        <f t="shared" si="33"/>
        <v>1</v>
      </c>
      <c r="M292">
        <f t="shared" si="34"/>
        <v>1</v>
      </c>
      <c r="N292">
        <f t="shared" si="35"/>
        <v>1</v>
      </c>
      <c r="O292">
        <f t="shared" si="36"/>
        <v>1</v>
      </c>
      <c r="P292">
        <f t="shared" si="37"/>
        <v>0</v>
      </c>
      <c r="Q292">
        <f t="shared" si="38"/>
        <v>1</v>
      </c>
      <c r="R292" t="b">
        <v>0</v>
      </c>
      <c r="T292" s="10">
        <v>0.409027777777778</v>
      </c>
      <c r="U292" s="10">
        <v>0.479861111111111</v>
      </c>
      <c r="V292">
        <v>102</v>
      </c>
      <c r="W292" t="b">
        <v>0</v>
      </c>
    </row>
    <row r="293" spans="1:24">
      <c r="A293">
        <v>292</v>
      </c>
      <c r="B293" t="s">
        <v>498</v>
      </c>
      <c r="C293" t="s">
        <v>25</v>
      </c>
      <c r="D293" s="9">
        <v>39289</v>
      </c>
      <c r="E293" s="9" t="str">
        <f t="shared" si="32"/>
        <v>below 20</v>
      </c>
      <c r="F293">
        <v>17</v>
      </c>
      <c r="G293" t="s">
        <v>21</v>
      </c>
      <c r="H293">
        <v>1</v>
      </c>
      <c r="I293" t="s">
        <v>59</v>
      </c>
      <c r="K293">
        <f t="shared" si="39"/>
        <v>0</v>
      </c>
      <c r="L293">
        <f t="shared" si="33"/>
        <v>0</v>
      </c>
      <c r="M293">
        <f t="shared" si="34"/>
        <v>0</v>
      </c>
      <c r="N293">
        <f t="shared" si="35"/>
        <v>0</v>
      </c>
      <c r="O293">
        <f t="shared" si="36"/>
        <v>0</v>
      </c>
      <c r="P293">
        <f t="shared" si="37"/>
        <v>0</v>
      </c>
      <c r="Q293">
        <f t="shared" si="38"/>
        <v>1</v>
      </c>
      <c r="R293" t="b">
        <v>0</v>
      </c>
      <c r="T293" s="10">
        <v>0.707638888888889</v>
      </c>
      <c r="U293" s="10">
        <v>0.790277777777778</v>
      </c>
      <c r="V293">
        <v>119</v>
      </c>
      <c r="W293" t="b">
        <v>0</v>
      </c>
    </row>
    <row r="294" spans="1:24">
      <c r="A294">
        <v>293</v>
      </c>
      <c r="B294" t="s">
        <v>499</v>
      </c>
      <c r="C294" t="s">
        <v>16</v>
      </c>
      <c r="D294" s="9">
        <v>35919</v>
      </c>
      <c r="E294" s="9" t="str">
        <f t="shared" si="32"/>
        <v>20-30</v>
      </c>
      <c r="F294">
        <v>26</v>
      </c>
      <c r="G294" t="s">
        <v>17</v>
      </c>
      <c r="H294">
        <v>1</v>
      </c>
      <c r="I294" t="s">
        <v>26</v>
      </c>
      <c r="K294">
        <f t="shared" si="39"/>
        <v>1</v>
      </c>
      <c r="L294">
        <f t="shared" si="33"/>
        <v>0</v>
      </c>
      <c r="M294">
        <f t="shared" si="34"/>
        <v>0</v>
      </c>
      <c r="N294">
        <f t="shared" si="35"/>
        <v>0</v>
      </c>
      <c r="O294">
        <f t="shared" si="36"/>
        <v>0</v>
      </c>
      <c r="P294">
        <f t="shared" si="37"/>
        <v>0</v>
      </c>
      <c r="Q294">
        <f t="shared" si="38"/>
        <v>0</v>
      </c>
      <c r="R294" t="b">
        <v>1</v>
      </c>
      <c r="S294" t="s">
        <v>500</v>
      </c>
      <c r="T294" s="10">
        <v>0.688194444444444</v>
      </c>
      <c r="U294" s="10">
        <v>0.786805555555556</v>
      </c>
      <c r="V294">
        <v>142</v>
      </c>
      <c r="W294" t="b">
        <v>1</v>
      </c>
      <c r="X294" t="s">
        <v>50</v>
      </c>
    </row>
    <row r="295" spans="1:24">
      <c r="A295">
        <v>294</v>
      </c>
      <c r="B295" t="s">
        <v>501</v>
      </c>
      <c r="C295" t="s">
        <v>16</v>
      </c>
      <c r="D295" s="9">
        <v>30561</v>
      </c>
      <c r="E295" s="9" t="str">
        <f t="shared" si="32"/>
        <v>41-50</v>
      </c>
      <c r="F295">
        <v>41</v>
      </c>
      <c r="G295" t="s">
        <v>17</v>
      </c>
      <c r="H295">
        <v>1</v>
      </c>
      <c r="I295" t="s">
        <v>49</v>
      </c>
      <c r="K295">
        <f t="shared" si="39"/>
        <v>0</v>
      </c>
      <c r="L295">
        <f t="shared" si="33"/>
        <v>0</v>
      </c>
      <c r="M295">
        <f t="shared" si="34"/>
        <v>0</v>
      </c>
      <c r="N295">
        <f t="shared" si="35"/>
        <v>0</v>
      </c>
      <c r="O295">
        <f t="shared" si="36"/>
        <v>1</v>
      </c>
      <c r="P295">
        <f t="shared" si="37"/>
        <v>0</v>
      </c>
      <c r="Q295">
        <f t="shared" si="38"/>
        <v>0</v>
      </c>
      <c r="R295" t="b">
        <v>1</v>
      </c>
      <c r="S295" t="s">
        <v>502</v>
      </c>
      <c r="T295" s="10">
        <v>0.551388888888889</v>
      </c>
      <c r="U295" s="10">
        <v>0.622916666666667</v>
      </c>
      <c r="V295">
        <v>103</v>
      </c>
      <c r="W295" t="b">
        <v>0</v>
      </c>
    </row>
    <row r="296" spans="1:24">
      <c r="A296">
        <v>295</v>
      </c>
      <c r="B296" t="s">
        <v>503</v>
      </c>
      <c r="C296" t="s">
        <v>25</v>
      </c>
      <c r="D296" s="9">
        <v>32425</v>
      </c>
      <c r="E296" s="9" t="str">
        <f t="shared" si="32"/>
        <v>31-41</v>
      </c>
      <c r="F296">
        <v>35</v>
      </c>
      <c r="G296" t="s">
        <v>21</v>
      </c>
      <c r="H296">
        <v>3</v>
      </c>
      <c r="I296" t="s">
        <v>504</v>
      </c>
      <c r="K296">
        <f t="shared" si="39"/>
        <v>0</v>
      </c>
      <c r="L296">
        <f t="shared" si="33"/>
        <v>0</v>
      </c>
      <c r="M296">
        <f t="shared" si="34"/>
        <v>1</v>
      </c>
      <c r="N296">
        <f t="shared" si="35"/>
        <v>1</v>
      </c>
      <c r="O296">
        <f t="shared" si="36"/>
        <v>0</v>
      </c>
      <c r="P296">
        <f t="shared" si="37"/>
        <v>0</v>
      </c>
      <c r="Q296">
        <f t="shared" si="38"/>
        <v>1</v>
      </c>
      <c r="R296" t="b">
        <v>0</v>
      </c>
      <c r="T296" s="10">
        <v>0.644444444444444</v>
      </c>
      <c r="U296" s="10">
        <v>0.755555555555556</v>
      </c>
      <c r="V296">
        <v>160</v>
      </c>
      <c r="W296" t="b">
        <v>0</v>
      </c>
    </row>
    <row r="297" spans="1:24">
      <c r="A297">
        <v>296</v>
      </c>
      <c r="B297" t="s">
        <v>505</v>
      </c>
      <c r="C297" t="s">
        <v>16</v>
      </c>
      <c r="D297" s="9">
        <v>36890</v>
      </c>
      <c r="E297" s="9" t="str">
        <f t="shared" si="32"/>
        <v>20-30</v>
      </c>
      <c r="F297">
        <v>23</v>
      </c>
      <c r="G297" t="s">
        <v>21</v>
      </c>
      <c r="H297">
        <v>4</v>
      </c>
      <c r="I297" t="s">
        <v>506</v>
      </c>
      <c r="K297">
        <f t="shared" si="39"/>
        <v>0</v>
      </c>
      <c r="L297">
        <f t="shared" si="33"/>
        <v>1</v>
      </c>
      <c r="M297">
        <f t="shared" si="34"/>
        <v>0</v>
      </c>
      <c r="N297">
        <f t="shared" si="35"/>
        <v>0</v>
      </c>
      <c r="O297">
        <f t="shared" si="36"/>
        <v>1</v>
      </c>
      <c r="P297">
        <f t="shared" si="37"/>
        <v>1</v>
      </c>
      <c r="Q297">
        <f t="shared" si="38"/>
        <v>1</v>
      </c>
      <c r="R297" t="b">
        <v>0</v>
      </c>
      <c r="T297" s="10">
        <v>0.428472222222222</v>
      </c>
      <c r="U297" s="10">
        <v>0.528472222222222</v>
      </c>
      <c r="V297">
        <v>144</v>
      </c>
      <c r="W297" t="b">
        <v>0</v>
      </c>
    </row>
    <row r="298" spans="1:24">
      <c r="A298">
        <v>297</v>
      </c>
      <c r="B298" t="s">
        <v>507</v>
      </c>
      <c r="C298" t="s">
        <v>25</v>
      </c>
      <c r="D298" s="9">
        <v>34463</v>
      </c>
      <c r="E298" s="9" t="str">
        <f t="shared" si="32"/>
        <v>20-30</v>
      </c>
      <c r="F298">
        <v>30</v>
      </c>
      <c r="G298" t="s">
        <v>21</v>
      </c>
      <c r="H298">
        <v>5</v>
      </c>
      <c r="I298" t="s">
        <v>289</v>
      </c>
      <c r="K298">
        <f t="shared" si="39"/>
        <v>1</v>
      </c>
      <c r="L298">
        <f t="shared" si="33"/>
        <v>1</v>
      </c>
      <c r="M298">
        <f t="shared" si="34"/>
        <v>1</v>
      </c>
      <c r="N298">
        <f t="shared" si="35"/>
        <v>1</v>
      </c>
      <c r="O298">
        <f t="shared" si="36"/>
        <v>1</v>
      </c>
      <c r="P298">
        <f t="shared" si="37"/>
        <v>0</v>
      </c>
      <c r="Q298">
        <f t="shared" si="38"/>
        <v>0</v>
      </c>
      <c r="R298" t="b">
        <v>0</v>
      </c>
      <c r="T298" s="10">
        <v>0.728472222222222</v>
      </c>
      <c r="U298" s="10">
        <v>0.815972222222222</v>
      </c>
      <c r="V298">
        <v>126</v>
      </c>
      <c r="W298" t="b">
        <v>1</v>
      </c>
      <c r="X298" t="s">
        <v>47</v>
      </c>
    </row>
    <row r="299" spans="1:24">
      <c r="A299">
        <v>298</v>
      </c>
      <c r="B299" t="s">
        <v>508</v>
      </c>
      <c r="C299" t="s">
        <v>16</v>
      </c>
      <c r="D299" s="9">
        <v>32972</v>
      </c>
      <c r="E299" s="9" t="str">
        <f t="shared" si="32"/>
        <v>31-41</v>
      </c>
      <c r="F299">
        <v>34</v>
      </c>
      <c r="G299" t="s">
        <v>17</v>
      </c>
      <c r="H299">
        <v>2</v>
      </c>
      <c r="I299" t="s">
        <v>509</v>
      </c>
      <c r="K299">
        <f t="shared" si="39"/>
        <v>0</v>
      </c>
      <c r="L299">
        <f t="shared" si="33"/>
        <v>0</v>
      </c>
      <c r="M299">
        <f t="shared" si="34"/>
        <v>1</v>
      </c>
      <c r="N299">
        <f t="shared" si="35"/>
        <v>0</v>
      </c>
      <c r="O299">
        <f t="shared" si="36"/>
        <v>0</v>
      </c>
      <c r="P299">
        <f t="shared" si="37"/>
        <v>0</v>
      </c>
      <c r="Q299">
        <f t="shared" si="38"/>
        <v>1</v>
      </c>
      <c r="R299" t="b">
        <v>0</v>
      </c>
      <c r="T299" s="10">
        <v>0.803472222222222</v>
      </c>
      <c r="U299" s="10">
        <v>0.850694444444445</v>
      </c>
      <c r="V299">
        <v>68</v>
      </c>
      <c r="W299" t="b">
        <v>1</v>
      </c>
      <c r="X299" t="s">
        <v>23</v>
      </c>
    </row>
    <row r="300" spans="1:24">
      <c r="A300">
        <v>299</v>
      </c>
      <c r="B300" t="s">
        <v>510</v>
      </c>
      <c r="C300" t="s">
        <v>16</v>
      </c>
      <c r="D300" s="9">
        <v>29672</v>
      </c>
      <c r="E300" s="9" t="str">
        <f t="shared" si="32"/>
        <v>41-50</v>
      </c>
      <c r="F300">
        <v>43</v>
      </c>
      <c r="G300" t="s">
        <v>17</v>
      </c>
      <c r="H300">
        <v>5</v>
      </c>
      <c r="I300" t="s">
        <v>152</v>
      </c>
      <c r="K300">
        <f t="shared" si="39"/>
        <v>1</v>
      </c>
      <c r="L300">
        <f t="shared" si="33"/>
        <v>0</v>
      </c>
      <c r="M300">
        <f t="shared" si="34"/>
        <v>1</v>
      </c>
      <c r="N300">
        <f t="shared" si="35"/>
        <v>1</v>
      </c>
      <c r="O300">
        <f t="shared" si="36"/>
        <v>1</v>
      </c>
      <c r="P300">
        <f t="shared" si="37"/>
        <v>0</v>
      </c>
      <c r="Q300">
        <f t="shared" si="38"/>
        <v>1</v>
      </c>
      <c r="R300" t="b">
        <v>0</v>
      </c>
      <c r="T300" s="10">
        <v>0.521527777777778</v>
      </c>
      <c r="U300" s="10">
        <v>0.63125</v>
      </c>
      <c r="V300">
        <v>158</v>
      </c>
      <c r="W300" t="b">
        <v>1</v>
      </c>
      <c r="X300" t="s">
        <v>28</v>
      </c>
    </row>
    <row r="301" spans="1:24">
      <c r="A301">
        <v>300</v>
      </c>
      <c r="B301" t="s">
        <v>511</v>
      </c>
      <c r="C301" t="s">
        <v>25</v>
      </c>
      <c r="D301" s="9">
        <v>40733</v>
      </c>
      <c r="E301" s="9" t="str">
        <f t="shared" si="32"/>
        <v>below 20</v>
      </c>
      <c r="F301">
        <v>13</v>
      </c>
      <c r="G301" t="s">
        <v>17</v>
      </c>
      <c r="H301">
        <v>3</v>
      </c>
      <c r="I301" t="s">
        <v>150</v>
      </c>
      <c r="K301">
        <f t="shared" si="39"/>
        <v>0</v>
      </c>
      <c r="L301">
        <f t="shared" si="33"/>
        <v>1</v>
      </c>
      <c r="M301">
        <f t="shared" si="34"/>
        <v>0</v>
      </c>
      <c r="N301">
        <f t="shared" si="35"/>
        <v>1</v>
      </c>
      <c r="O301">
        <f t="shared" si="36"/>
        <v>0</v>
      </c>
      <c r="P301">
        <f t="shared" si="37"/>
        <v>0</v>
      </c>
      <c r="Q301">
        <f t="shared" si="38"/>
        <v>1</v>
      </c>
      <c r="R301" t="b">
        <v>1</v>
      </c>
      <c r="S301" t="s">
        <v>410</v>
      </c>
      <c r="T301" s="10">
        <v>0.620138888888889</v>
      </c>
      <c r="U301" s="10">
        <v>0.670138888888889</v>
      </c>
      <c r="V301">
        <v>72</v>
      </c>
      <c r="W301" t="b">
        <v>0</v>
      </c>
    </row>
    <row r="302" spans="1:24">
      <c r="A302">
        <v>301</v>
      </c>
      <c r="B302" t="s">
        <v>512</v>
      </c>
      <c r="C302" t="s">
        <v>16</v>
      </c>
      <c r="D302" s="9">
        <v>36995</v>
      </c>
      <c r="E302" s="9" t="str">
        <f t="shared" si="32"/>
        <v>20-30</v>
      </c>
      <c r="F302">
        <v>23</v>
      </c>
      <c r="G302" t="s">
        <v>17</v>
      </c>
      <c r="H302">
        <v>3</v>
      </c>
      <c r="I302" t="s">
        <v>513</v>
      </c>
      <c r="K302">
        <f t="shared" si="39"/>
        <v>1</v>
      </c>
      <c r="L302">
        <f t="shared" si="33"/>
        <v>0</v>
      </c>
      <c r="M302">
        <f t="shared" si="34"/>
        <v>1</v>
      </c>
      <c r="N302">
        <f t="shared" si="35"/>
        <v>0</v>
      </c>
      <c r="O302">
        <f t="shared" si="36"/>
        <v>0</v>
      </c>
      <c r="P302">
        <f t="shared" si="37"/>
        <v>0</v>
      </c>
      <c r="Q302">
        <f t="shared" si="38"/>
        <v>1</v>
      </c>
      <c r="R302" t="b">
        <v>1</v>
      </c>
      <c r="S302" t="s">
        <v>514</v>
      </c>
      <c r="T302" s="10">
        <v>0.545833333333333</v>
      </c>
      <c r="U302" s="10">
        <v>0.581944444444444</v>
      </c>
      <c r="V302">
        <v>52</v>
      </c>
      <c r="W302" t="b">
        <v>1</v>
      </c>
      <c r="X302" t="s">
        <v>23</v>
      </c>
    </row>
    <row r="303" spans="1:24">
      <c r="A303">
        <v>302</v>
      </c>
      <c r="B303" t="s">
        <v>515</v>
      </c>
      <c r="C303" t="s">
        <v>25</v>
      </c>
      <c r="D303" s="9">
        <v>28858</v>
      </c>
      <c r="E303" s="9" t="str">
        <f t="shared" si="32"/>
        <v>41-50</v>
      </c>
      <c r="F303">
        <v>45</v>
      </c>
      <c r="G303" t="s">
        <v>21</v>
      </c>
      <c r="H303">
        <v>3</v>
      </c>
      <c r="I303" t="s">
        <v>504</v>
      </c>
      <c r="K303">
        <f t="shared" si="39"/>
        <v>0</v>
      </c>
      <c r="L303">
        <f t="shared" si="33"/>
        <v>0</v>
      </c>
      <c r="M303">
        <f t="shared" si="34"/>
        <v>1</v>
      </c>
      <c r="N303">
        <f t="shared" si="35"/>
        <v>1</v>
      </c>
      <c r="O303">
        <f t="shared" si="36"/>
        <v>0</v>
      </c>
      <c r="P303">
        <f t="shared" si="37"/>
        <v>0</v>
      </c>
      <c r="Q303">
        <f t="shared" si="38"/>
        <v>1</v>
      </c>
      <c r="R303" t="b">
        <v>1</v>
      </c>
      <c r="S303" t="s">
        <v>516</v>
      </c>
      <c r="T303" s="10">
        <v>0.533333333333333</v>
      </c>
      <c r="U303" s="10">
        <v>0.555555555555556</v>
      </c>
      <c r="V303">
        <v>32</v>
      </c>
      <c r="W303" t="b">
        <v>1</v>
      </c>
      <c r="X303" t="s">
        <v>47</v>
      </c>
    </row>
    <row r="304" spans="1:24">
      <c r="A304">
        <v>303</v>
      </c>
      <c r="B304" t="s">
        <v>517</v>
      </c>
      <c r="C304" t="s">
        <v>16</v>
      </c>
      <c r="D304" s="9">
        <v>29974</v>
      </c>
      <c r="E304" s="9" t="str">
        <f t="shared" si="32"/>
        <v>41-50</v>
      </c>
      <c r="F304">
        <v>42</v>
      </c>
      <c r="G304" t="s">
        <v>21</v>
      </c>
      <c r="H304">
        <v>3</v>
      </c>
      <c r="I304" t="s">
        <v>215</v>
      </c>
      <c r="K304">
        <f t="shared" si="39"/>
        <v>1</v>
      </c>
      <c r="L304">
        <f t="shared" si="33"/>
        <v>1</v>
      </c>
      <c r="M304">
        <f t="shared" si="34"/>
        <v>1</v>
      </c>
      <c r="N304">
        <f t="shared" si="35"/>
        <v>0</v>
      </c>
      <c r="O304">
        <f t="shared" si="36"/>
        <v>0</v>
      </c>
      <c r="P304">
        <f t="shared" si="37"/>
        <v>0</v>
      </c>
      <c r="Q304">
        <f t="shared" si="38"/>
        <v>0</v>
      </c>
      <c r="R304" t="b">
        <v>0</v>
      </c>
      <c r="T304" s="10">
        <v>0.563888888888889</v>
      </c>
      <c r="U304" s="10">
        <v>0.610416666666667</v>
      </c>
      <c r="V304">
        <v>67</v>
      </c>
      <c r="W304" t="b">
        <v>1</v>
      </c>
      <c r="X304" t="s">
        <v>50</v>
      </c>
    </row>
    <row r="305" spans="1:24">
      <c r="A305">
        <v>304</v>
      </c>
      <c r="B305" t="s">
        <v>518</v>
      </c>
      <c r="C305" t="s">
        <v>25</v>
      </c>
      <c r="D305" s="9">
        <v>32505</v>
      </c>
      <c r="E305" s="9" t="str">
        <f t="shared" si="32"/>
        <v>31-41</v>
      </c>
      <c r="F305">
        <v>35</v>
      </c>
      <c r="G305" t="s">
        <v>21</v>
      </c>
      <c r="H305">
        <v>1</v>
      </c>
      <c r="I305" t="s">
        <v>46</v>
      </c>
      <c r="K305">
        <f t="shared" si="39"/>
        <v>0</v>
      </c>
      <c r="L305">
        <f t="shared" si="33"/>
        <v>1</v>
      </c>
      <c r="M305">
        <f t="shared" si="34"/>
        <v>0</v>
      </c>
      <c r="N305">
        <f t="shared" si="35"/>
        <v>0</v>
      </c>
      <c r="O305">
        <f t="shared" si="36"/>
        <v>0</v>
      </c>
      <c r="P305">
        <f t="shared" si="37"/>
        <v>0</v>
      </c>
      <c r="Q305">
        <f t="shared" si="38"/>
        <v>0</v>
      </c>
      <c r="R305" t="b">
        <v>0</v>
      </c>
      <c r="T305" s="10">
        <v>0.578472222222222</v>
      </c>
      <c r="U305" s="10">
        <v>0.602777777777778</v>
      </c>
      <c r="V305">
        <v>35</v>
      </c>
      <c r="W305" t="b">
        <v>0</v>
      </c>
    </row>
    <row r="306" spans="1:24">
      <c r="A306">
        <v>305</v>
      </c>
      <c r="B306" t="s">
        <v>519</v>
      </c>
      <c r="C306" t="s">
        <v>25</v>
      </c>
      <c r="D306" s="9">
        <v>36009</v>
      </c>
      <c r="E306" s="9" t="str">
        <f t="shared" si="32"/>
        <v>20-30</v>
      </c>
      <c r="F306">
        <v>26</v>
      </c>
      <c r="G306" t="s">
        <v>21</v>
      </c>
      <c r="H306">
        <v>4</v>
      </c>
      <c r="I306" t="s">
        <v>520</v>
      </c>
      <c r="K306">
        <f t="shared" si="39"/>
        <v>0</v>
      </c>
      <c r="L306">
        <f t="shared" si="33"/>
        <v>1</v>
      </c>
      <c r="M306">
        <f t="shared" si="34"/>
        <v>0</v>
      </c>
      <c r="N306">
        <f t="shared" si="35"/>
        <v>1</v>
      </c>
      <c r="O306">
        <f t="shared" si="36"/>
        <v>1</v>
      </c>
      <c r="P306">
        <f t="shared" si="37"/>
        <v>1</v>
      </c>
      <c r="Q306">
        <f t="shared" si="38"/>
        <v>0</v>
      </c>
      <c r="R306" t="b">
        <v>1</v>
      </c>
      <c r="S306" t="s">
        <v>521</v>
      </c>
      <c r="T306" s="10">
        <v>0.366666666666667</v>
      </c>
      <c r="U306" s="10">
        <v>0.388888888888889</v>
      </c>
      <c r="V306">
        <v>32</v>
      </c>
      <c r="W306" t="b">
        <v>0</v>
      </c>
    </row>
    <row r="307" spans="1:24">
      <c r="A307">
        <v>306</v>
      </c>
      <c r="B307" t="s">
        <v>522</v>
      </c>
      <c r="C307" t="s">
        <v>25</v>
      </c>
      <c r="D307" s="9">
        <v>37922</v>
      </c>
      <c r="E307" s="9" t="str">
        <f t="shared" si="32"/>
        <v>20-30</v>
      </c>
      <c r="F307">
        <v>20</v>
      </c>
      <c r="G307" t="s">
        <v>21</v>
      </c>
      <c r="H307">
        <v>2</v>
      </c>
      <c r="I307" t="s">
        <v>55</v>
      </c>
      <c r="K307">
        <f t="shared" si="39"/>
        <v>1</v>
      </c>
      <c r="L307">
        <f t="shared" si="33"/>
        <v>0</v>
      </c>
      <c r="M307">
        <f t="shared" si="34"/>
        <v>0</v>
      </c>
      <c r="N307">
        <f t="shared" si="35"/>
        <v>1</v>
      </c>
      <c r="O307">
        <f t="shared" si="36"/>
        <v>0</v>
      </c>
      <c r="P307">
        <f t="shared" si="37"/>
        <v>0</v>
      </c>
      <c r="Q307">
        <f t="shared" si="38"/>
        <v>0</v>
      </c>
      <c r="R307" t="b">
        <v>1</v>
      </c>
      <c r="S307" t="s">
        <v>523</v>
      </c>
      <c r="T307" s="10">
        <v>0.490972222222222</v>
      </c>
      <c r="U307" s="10">
        <v>0.575</v>
      </c>
      <c r="V307">
        <v>121</v>
      </c>
      <c r="W307" t="b">
        <v>1</v>
      </c>
      <c r="X307" t="s">
        <v>23</v>
      </c>
    </row>
    <row r="308" spans="1:24">
      <c r="A308">
        <v>307</v>
      </c>
      <c r="B308" t="s">
        <v>524</v>
      </c>
      <c r="C308" t="s">
        <v>16</v>
      </c>
      <c r="D308" s="9">
        <v>33700</v>
      </c>
      <c r="E308" s="9" t="str">
        <f t="shared" si="32"/>
        <v>31-41</v>
      </c>
      <c r="F308">
        <v>32</v>
      </c>
      <c r="G308" t="s">
        <v>21</v>
      </c>
      <c r="H308">
        <v>3</v>
      </c>
      <c r="I308" t="s">
        <v>245</v>
      </c>
      <c r="K308">
        <f t="shared" si="39"/>
        <v>1</v>
      </c>
      <c r="L308">
        <f t="shared" si="33"/>
        <v>0</v>
      </c>
      <c r="M308">
        <f t="shared" si="34"/>
        <v>1</v>
      </c>
      <c r="N308">
        <f t="shared" si="35"/>
        <v>0</v>
      </c>
      <c r="O308">
        <f t="shared" si="36"/>
        <v>0</v>
      </c>
      <c r="P308">
        <f t="shared" si="37"/>
        <v>1</v>
      </c>
      <c r="Q308">
        <f t="shared" si="38"/>
        <v>0</v>
      </c>
      <c r="R308" t="b">
        <v>0</v>
      </c>
      <c r="T308" s="10">
        <v>0.729166666666667</v>
      </c>
      <c r="U308" s="10">
        <v>0.839583333333333</v>
      </c>
      <c r="V308">
        <v>159</v>
      </c>
      <c r="W308" t="b">
        <v>1</v>
      </c>
      <c r="X308" t="s">
        <v>23</v>
      </c>
    </row>
    <row r="309" spans="1:24">
      <c r="A309">
        <v>308</v>
      </c>
      <c r="B309" t="s">
        <v>525</v>
      </c>
      <c r="C309" t="s">
        <v>16</v>
      </c>
      <c r="D309" s="9">
        <v>34152</v>
      </c>
      <c r="E309" s="9" t="str">
        <f t="shared" si="32"/>
        <v>31-41</v>
      </c>
      <c r="F309">
        <v>31</v>
      </c>
      <c r="G309" t="s">
        <v>17</v>
      </c>
      <c r="H309">
        <v>4</v>
      </c>
      <c r="I309" t="s">
        <v>375</v>
      </c>
      <c r="K309">
        <f t="shared" si="39"/>
        <v>1</v>
      </c>
      <c r="L309">
        <f t="shared" si="33"/>
        <v>0</v>
      </c>
      <c r="M309">
        <f t="shared" si="34"/>
        <v>1</v>
      </c>
      <c r="N309">
        <f t="shared" si="35"/>
        <v>1</v>
      </c>
      <c r="O309">
        <f t="shared" si="36"/>
        <v>1</v>
      </c>
      <c r="P309">
        <f t="shared" si="37"/>
        <v>0</v>
      </c>
      <c r="Q309">
        <f t="shared" si="38"/>
        <v>0</v>
      </c>
      <c r="R309" t="b">
        <v>0</v>
      </c>
      <c r="T309" s="10">
        <v>0.495833333333333</v>
      </c>
      <c r="U309" s="10">
        <v>0.577777777777778</v>
      </c>
      <c r="V309">
        <v>118</v>
      </c>
      <c r="W309" t="b">
        <v>0</v>
      </c>
    </row>
    <row r="310" spans="1:24">
      <c r="A310">
        <v>309</v>
      </c>
      <c r="B310" t="s">
        <v>526</v>
      </c>
      <c r="C310" t="s">
        <v>25</v>
      </c>
      <c r="D310" s="9">
        <v>34878</v>
      </c>
      <c r="E310" s="9" t="str">
        <f t="shared" si="32"/>
        <v>20-30</v>
      </c>
      <c r="F310">
        <v>29</v>
      </c>
      <c r="G310" t="s">
        <v>21</v>
      </c>
      <c r="H310">
        <v>3</v>
      </c>
      <c r="I310" t="s">
        <v>136</v>
      </c>
      <c r="K310">
        <f t="shared" si="39"/>
        <v>1</v>
      </c>
      <c r="L310">
        <f t="shared" si="33"/>
        <v>0</v>
      </c>
      <c r="M310">
        <f t="shared" si="34"/>
        <v>0</v>
      </c>
      <c r="N310">
        <f t="shared" si="35"/>
        <v>1</v>
      </c>
      <c r="O310">
        <f t="shared" si="36"/>
        <v>0</v>
      </c>
      <c r="P310">
        <f t="shared" si="37"/>
        <v>1</v>
      </c>
      <c r="Q310">
        <f t="shared" si="38"/>
        <v>0</v>
      </c>
      <c r="R310" t="b">
        <v>0</v>
      </c>
      <c r="T310" s="10">
        <v>0.628472222222222</v>
      </c>
      <c r="U310" s="10">
        <v>0.747916666666667</v>
      </c>
      <c r="V310">
        <v>172</v>
      </c>
      <c r="W310" t="b">
        <v>1</v>
      </c>
      <c r="X310" t="s">
        <v>28</v>
      </c>
    </row>
    <row r="311" spans="1:24">
      <c r="A311">
        <v>310</v>
      </c>
      <c r="B311" t="s">
        <v>527</v>
      </c>
      <c r="C311" t="s">
        <v>25</v>
      </c>
      <c r="D311" s="9">
        <v>32912</v>
      </c>
      <c r="E311" s="9" t="str">
        <f t="shared" si="32"/>
        <v>31-41</v>
      </c>
      <c r="F311">
        <v>34</v>
      </c>
      <c r="G311" t="s">
        <v>21</v>
      </c>
      <c r="H311">
        <v>2</v>
      </c>
      <c r="I311" t="s">
        <v>111</v>
      </c>
      <c r="K311">
        <f t="shared" si="39"/>
        <v>0</v>
      </c>
      <c r="L311">
        <f t="shared" si="33"/>
        <v>1</v>
      </c>
      <c r="M311">
        <f t="shared" si="34"/>
        <v>0</v>
      </c>
      <c r="N311">
        <f t="shared" si="35"/>
        <v>0</v>
      </c>
      <c r="O311">
        <f t="shared" si="36"/>
        <v>0</v>
      </c>
      <c r="P311">
        <f t="shared" si="37"/>
        <v>0</v>
      </c>
      <c r="Q311">
        <f t="shared" si="38"/>
        <v>1</v>
      </c>
      <c r="R311" t="b">
        <v>1</v>
      </c>
      <c r="S311" t="s">
        <v>528</v>
      </c>
      <c r="T311" s="10">
        <v>0.804166666666667</v>
      </c>
      <c r="U311" s="10">
        <v>0.872222222222222</v>
      </c>
      <c r="V311">
        <v>98</v>
      </c>
      <c r="W311" t="b">
        <v>1</v>
      </c>
      <c r="X311" t="s">
        <v>23</v>
      </c>
    </row>
    <row r="312" spans="1:24">
      <c r="A312">
        <v>311</v>
      </c>
      <c r="B312" t="s">
        <v>529</v>
      </c>
      <c r="C312" t="s">
        <v>16</v>
      </c>
      <c r="D312" s="9">
        <v>29422</v>
      </c>
      <c r="E312" s="9" t="str">
        <f t="shared" si="32"/>
        <v>41-50</v>
      </c>
      <c r="F312">
        <v>44</v>
      </c>
      <c r="G312" t="s">
        <v>21</v>
      </c>
      <c r="H312">
        <v>1</v>
      </c>
      <c r="I312" t="s">
        <v>46</v>
      </c>
      <c r="K312">
        <f t="shared" si="39"/>
        <v>0</v>
      </c>
      <c r="L312">
        <f t="shared" si="33"/>
        <v>1</v>
      </c>
      <c r="M312">
        <f t="shared" si="34"/>
        <v>0</v>
      </c>
      <c r="N312">
        <f t="shared" si="35"/>
        <v>0</v>
      </c>
      <c r="O312">
        <f t="shared" si="36"/>
        <v>0</v>
      </c>
      <c r="P312">
        <f t="shared" si="37"/>
        <v>0</v>
      </c>
      <c r="Q312">
        <f t="shared" si="38"/>
        <v>0</v>
      </c>
      <c r="R312" t="b">
        <v>0</v>
      </c>
      <c r="T312" s="10">
        <v>0.736805555555556</v>
      </c>
      <c r="U312" s="10">
        <v>0.832638888888889</v>
      </c>
      <c r="V312">
        <v>138</v>
      </c>
      <c r="W312" t="b">
        <v>1</v>
      </c>
      <c r="X312" t="s">
        <v>23</v>
      </c>
    </row>
    <row r="313" spans="1:24">
      <c r="A313">
        <v>312</v>
      </c>
      <c r="B313" t="s">
        <v>530</v>
      </c>
      <c r="C313" t="s">
        <v>25</v>
      </c>
      <c r="D313" s="9">
        <v>37410</v>
      </c>
      <c r="E313" s="9" t="str">
        <f t="shared" si="32"/>
        <v>20-30</v>
      </c>
      <c r="F313">
        <v>22</v>
      </c>
      <c r="G313" t="s">
        <v>17</v>
      </c>
      <c r="H313">
        <v>5</v>
      </c>
      <c r="I313" t="s">
        <v>347</v>
      </c>
      <c r="K313">
        <f t="shared" si="39"/>
        <v>0</v>
      </c>
      <c r="L313">
        <f t="shared" si="33"/>
        <v>1</v>
      </c>
      <c r="M313">
        <f t="shared" si="34"/>
        <v>1</v>
      </c>
      <c r="N313">
        <f t="shared" si="35"/>
        <v>0</v>
      </c>
      <c r="O313">
        <f t="shared" si="36"/>
        <v>1</v>
      </c>
      <c r="P313">
        <f t="shared" si="37"/>
        <v>1</v>
      </c>
      <c r="Q313">
        <f t="shared" si="38"/>
        <v>1</v>
      </c>
      <c r="R313" t="b">
        <v>1</v>
      </c>
      <c r="S313" t="s">
        <v>114</v>
      </c>
      <c r="T313" s="10">
        <v>0.736805555555556</v>
      </c>
      <c r="U313" s="10">
        <v>0.809027777777778</v>
      </c>
      <c r="V313">
        <v>104</v>
      </c>
      <c r="W313" t="b">
        <v>0</v>
      </c>
    </row>
    <row r="314" spans="1:24">
      <c r="A314">
        <v>313</v>
      </c>
      <c r="B314" t="s">
        <v>531</v>
      </c>
      <c r="C314" t="s">
        <v>25</v>
      </c>
      <c r="D314" s="9">
        <v>27756</v>
      </c>
      <c r="E314" s="9" t="str">
        <f t="shared" si="32"/>
        <v>41-50</v>
      </c>
      <c r="F314">
        <v>48</v>
      </c>
      <c r="G314" t="s">
        <v>21</v>
      </c>
      <c r="H314">
        <v>1</v>
      </c>
      <c r="I314" t="s">
        <v>185</v>
      </c>
      <c r="K314">
        <f t="shared" si="39"/>
        <v>0</v>
      </c>
      <c r="L314">
        <f t="shared" si="33"/>
        <v>0</v>
      </c>
      <c r="M314">
        <f t="shared" si="34"/>
        <v>0</v>
      </c>
      <c r="N314">
        <f t="shared" si="35"/>
        <v>1</v>
      </c>
      <c r="O314">
        <f t="shared" si="36"/>
        <v>0</v>
      </c>
      <c r="P314">
        <f t="shared" si="37"/>
        <v>0</v>
      </c>
      <c r="Q314">
        <f t="shared" si="38"/>
        <v>0</v>
      </c>
      <c r="R314" t="b">
        <v>1</v>
      </c>
      <c r="S314" t="s">
        <v>70</v>
      </c>
      <c r="T314" s="10">
        <v>0.811805555555556</v>
      </c>
      <c r="U314" s="10">
        <v>0.847222222222222</v>
      </c>
      <c r="V314">
        <v>51</v>
      </c>
      <c r="W314" t="b">
        <v>0</v>
      </c>
    </row>
    <row r="315" spans="1:24">
      <c r="A315">
        <v>314</v>
      </c>
      <c r="B315" t="s">
        <v>532</v>
      </c>
      <c r="C315" t="s">
        <v>25</v>
      </c>
      <c r="D315" s="9">
        <v>32208</v>
      </c>
      <c r="E315" s="9" t="str">
        <f t="shared" si="32"/>
        <v>31-41</v>
      </c>
      <c r="F315">
        <v>36</v>
      </c>
      <c r="G315" t="s">
        <v>21</v>
      </c>
      <c r="H315">
        <v>1</v>
      </c>
      <c r="I315" t="s">
        <v>49</v>
      </c>
      <c r="K315">
        <f t="shared" si="39"/>
        <v>0</v>
      </c>
      <c r="L315">
        <f t="shared" si="33"/>
        <v>0</v>
      </c>
      <c r="M315">
        <f t="shared" si="34"/>
        <v>0</v>
      </c>
      <c r="N315">
        <f t="shared" si="35"/>
        <v>0</v>
      </c>
      <c r="O315">
        <f t="shared" si="36"/>
        <v>1</v>
      </c>
      <c r="P315">
        <f t="shared" si="37"/>
        <v>0</v>
      </c>
      <c r="Q315">
        <f t="shared" si="38"/>
        <v>0</v>
      </c>
      <c r="R315" t="b">
        <v>0</v>
      </c>
      <c r="T315" s="10">
        <v>0.805555555555555</v>
      </c>
      <c r="U315" s="10">
        <v>0.858333333333333</v>
      </c>
      <c r="V315">
        <v>76</v>
      </c>
      <c r="W315" t="b">
        <v>0</v>
      </c>
    </row>
    <row r="316" spans="1:24">
      <c r="A316">
        <v>315</v>
      </c>
      <c r="B316" t="s">
        <v>533</v>
      </c>
      <c r="C316" t="s">
        <v>25</v>
      </c>
      <c r="D316" s="9">
        <v>39507</v>
      </c>
      <c r="E316" s="9" t="str">
        <f t="shared" si="32"/>
        <v>below 20</v>
      </c>
      <c r="F316">
        <v>16</v>
      </c>
      <c r="G316" t="s">
        <v>17</v>
      </c>
      <c r="H316">
        <v>1</v>
      </c>
      <c r="I316" t="s">
        <v>59</v>
      </c>
      <c r="K316">
        <f t="shared" si="39"/>
        <v>0</v>
      </c>
      <c r="L316">
        <f t="shared" si="33"/>
        <v>0</v>
      </c>
      <c r="M316">
        <f t="shared" si="34"/>
        <v>0</v>
      </c>
      <c r="N316">
        <f t="shared" si="35"/>
        <v>0</v>
      </c>
      <c r="O316">
        <f t="shared" si="36"/>
        <v>0</v>
      </c>
      <c r="P316">
        <f t="shared" si="37"/>
        <v>0</v>
      </c>
      <c r="Q316">
        <f t="shared" si="38"/>
        <v>1</v>
      </c>
      <c r="R316" t="b">
        <v>1</v>
      </c>
      <c r="S316" t="s">
        <v>107</v>
      </c>
      <c r="T316" s="10">
        <v>0.359722222222222</v>
      </c>
      <c r="U316" s="10">
        <v>0.435416666666667</v>
      </c>
      <c r="V316">
        <v>109</v>
      </c>
      <c r="W316" t="b">
        <v>1</v>
      </c>
      <c r="X316" t="s">
        <v>28</v>
      </c>
    </row>
    <row r="317" spans="1:24">
      <c r="A317">
        <v>316</v>
      </c>
      <c r="B317" t="s">
        <v>534</v>
      </c>
      <c r="C317" t="s">
        <v>25</v>
      </c>
      <c r="D317" s="9">
        <v>40175</v>
      </c>
      <c r="E317" s="9" t="str">
        <f t="shared" si="32"/>
        <v>below 20</v>
      </c>
      <c r="F317">
        <v>14</v>
      </c>
      <c r="G317" t="s">
        <v>21</v>
      </c>
      <c r="H317">
        <v>3</v>
      </c>
      <c r="I317" t="s">
        <v>57</v>
      </c>
      <c r="K317">
        <f t="shared" si="39"/>
        <v>1</v>
      </c>
      <c r="L317">
        <f t="shared" si="33"/>
        <v>1</v>
      </c>
      <c r="M317">
        <f t="shared" si="34"/>
        <v>0</v>
      </c>
      <c r="N317">
        <f t="shared" si="35"/>
        <v>1</v>
      </c>
      <c r="O317">
        <f t="shared" si="36"/>
        <v>0</v>
      </c>
      <c r="P317">
        <f t="shared" si="37"/>
        <v>0</v>
      </c>
      <c r="Q317">
        <f t="shared" si="38"/>
        <v>0</v>
      </c>
      <c r="R317" t="b">
        <v>0</v>
      </c>
      <c r="T317" s="10">
        <v>0.869444444444444</v>
      </c>
      <c r="U317" s="10">
        <v>0.895138888888889</v>
      </c>
      <c r="V317">
        <v>37</v>
      </c>
      <c r="W317" t="b">
        <v>1</v>
      </c>
      <c r="X317" t="s">
        <v>23</v>
      </c>
    </row>
    <row r="318" spans="1:24">
      <c r="A318">
        <v>317</v>
      </c>
      <c r="B318" t="s">
        <v>535</v>
      </c>
      <c r="C318" t="s">
        <v>25</v>
      </c>
      <c r="D318" s="9">
        <v>32413</v>
      </c>
      <c r="E318" s="9" t="str">
        <f t="shared" si="32"/>
        <v>31-41</v>
      </c>
      <c r="F318">
        <v>36</v>
      </c>
      <c r="G318" t="s">
        <v>17</v>
      </c>
      <c r="H318">
        <v>3</v>
      </c>
      <c r="I318" t="s">
        <v>98</v>
      </c>
      <c r="K318">
        <f t="shared" si="39"/>
        <v>0</v>
      </c>
      <c r="L318">
        <f t="shared" si="33"/>
        <v>1</v>
      </c>
      <c r="M318">
        <f t="shared" si="34"/>
        <v>0</v>
      </c>
      <c r="N318">
        <f t="shared" si="35"/>
        <v>0</v>
      </c>
      <c r="O318">
        <f t="shared" si="36"/>
        <v>1</v>
      </c>
      <c r="P318">
        <f t="shared" si="37"/>
        <v>1</v>
      </c>
      <c r="Q318">
        <f t="shared" si="38"/>
        <v>0</v>
      </c>
      <c r="R318" t="b">
        <v>0</v>
      </c>
      <c r="T318" s="10">
        <v>0.4625</v>
      </c>
      <c r="U318" s="10">
        <v>0.548611111111111</v>
      </c>
      <c r="V318">
        <v>124</v>
      </c>
      <c r="W318" t="b">
        <v>1</v>
      </c>
      <c r="X318" t="s">
        <v>23</v>
      </c>
    </row>
    <row r="319" spans="1:24">
      <c r="A319">
        <v>318</v>
      </c>
      <c r="B319" t="s">
        <v>536</v>
      </c>
      <c r="C319" t="s">
        <v>25</v>
      </c>
      <c r="D319" s="9">
        <v>30820</v>
      </c>
      <c r="E319" s="9" t="str">
        <f t="shared" si="32"/>
        <v>31-41</v>
      </c>
      <c r="F319">
        <v>40</v>
      </c>
      <c r="G319" t="s">
        <v>17</v>
      </c>
      <c r="H319">
        <v>2</v>
      </c>
      <c r="I319" t="s">
        <v>101</v>
      </c>
      <c r="K319">
        <f t="shared" si="39"/>
        <v>0</v>
      </c>
      <c r="L319">
        <f t="shared" si="33"/>
        <v>0</v>
      </c>
      <c r="M319">
        <f t="shared" si="34"/>
        <v>0</v>
      </c>
      <c r="N319">
        <f t="shared" si="35"/>
        <v>0</v>
      </c>
      <c r="O319">
        <f t="shared" si="36"/>
        <v>0</v>
      </c>
      <c r="P319">
        <f t="shared" si="37"/>
        <v>1</v>
      </c>
      <c r="Q319">
        <f t="shared" si="38"/>
        <v>1</v>
      </c>
      <c r="R319" t="b">
        <v>0</v>
      </c>
      <c r="T319" s="10">
        <v>0.484027777777778</v>
      </c>
      <c r="U319" s="10">
        <v>0.552777777777778</v>
      </c>
      <c r="V319">
        <v>99</v>
      </c>
      <c r="W319" t="b">
        <v>1</v>
      </c>
      <c r="X319" t="s">
        <v>23</v>
      </c>
    </row>
    <row r="320" spans="1:24">
      <c r="A320">
        <v>319</v>
      </c>
      <c r="B320" t="s">
        <v>537</v>
      </c>
      <c r="C320" t="s">
        <v>25</v>
      </c>
      <c r="D320" s="9">
        <v>33756</v>
      </c>
      <c r="E320" s="9" t="str">
        <f t="shared" si="32"/>
        <v>31-41</v>
      </c>
      <c r="F320">
        <v>32</v>
      </c>
      <c r="G320" t="s">
        <v>17</v>
      </c>
      <c r="H320">
        <v>3</v>
      </c>
      <c r="I320" t="s">
        <v>74</v>
      </c>
      <c r="K320">
        <f t="shared" si="39"/>
        <v>1</v>
      </c>
      <c r="L320">
        <f t="shared" si="33"/>
        <v>1</v>
      </c>
      <c r="M320">
        <f t="shared" si="34"/>
        <v>0</v>
      </c>
      <c r="N320">
        <f t="shared" si="35"/>
        <v>0</v>
      </c>
      <c r="O320">
        <f t="shared" si="36"/>
        <v>0</v>
      </c>
      <c r="P320">
        <f t="shared" si="37"/>
        <v>1</v>
      </c>
      <c r="Q320">
        <f t="shared" si="38"/>
        <v>0</v>
      </c>
      <c r="R320" t="b">
        <v>0</v>
      </c>
      <c r="T320" s="10">
        <v>0.443055555555556</v>
      </c>
      <c r="U320" s="10">
        <v>0.561111111111111</v>
      </c>
      <c r="V320">
        <v>170</v>
      </c>
      <c r="W320" t="b">
        <v>0</v>
      </c>
    </row>
    <row r="321" spans="1:24">
      <c r="A321">
        <v>320</v>
      </c>
      <c r="B321" t="s">
        <v>538</v>
      </c>
      <c r="C321" t="s">
        <v>16</v>
      </c>
      <c r="D321" s="9">
        <v>40931</v>
      </c>
      <c r="E321" s="9" t="str">
        <f t="shared" si="32"/>
        <v>below 20</v>
      </c>
      <c r="F321">
        <v>12</v>
      </c>
      <c r="G321" t="s">
        <v>21</v>
      </c>
      <c r="H321">
        <v>5</v>
      </c>
      <c r="I321" t="s">
        <v>289</v>
      </c>
      <c r="K321">
        <f t="shared" si="39"/>
        <v>1</v>
      </c>
      <c r="L321">
        <f t="shared" si="33"/>
        <v>1</v>
      </c>
      <c r="M321">
        <f t="shared" si="34"/>
        <v>1</v>
      </c>
      <c r="N321">
        <f t="shared" si="35"/>
        <v>1</v>
      </c>
      <c r="O321">
        <f t="shared" si="36"/>
        <v>1</v>
      </c>
      <c r="P321">
        <f t="shared" si="37"/>
        <v>0</v>
      </c>
      <c r="Q321">
        <f t="shared" si="38"/>
        <v>0</v>
      </c>
      <c r="R321" t="b">
        <v>1</v>
      </c>
      <c r="S321" t="s">
        <v>539</v>
      </c>
      <c r="T321" s="10">
        <v>0.4</v>
      </c>
      <c r="U321" s="10">
        <v>0.504166666666667</v>
      </c>
      <c r="V321">
        <v>150</v>
      </c>
      <c r="W321" t="b">
        <v>1</v>
      </c>
      <c r="X321" t="s">
        <v>23</v>
      </c>
    </row>
    <row r="322" spans="1:24">
      <c r="A322">
        <v>321</v>
      </c>
      <c r="B322" t="s">
        <v>540</v>
      </c>
      <c r="C322" t="s">
        <v>25</v>
      </c>
      <c r="D322" s="9">
        <v>35907</v>
      </c>
      <c r="E322" s="9" t="str">
        <f t="shared" ref="E322:E385" si="40">IF(F322&lt;20,"below 20",IF(F322&lt;=30,"20-30",IF(F322&lt;=40,"31-41",IF(F322&lt;=50,"41-50","above 50"))))</f>
        <v>20-30</v>
      </c>
      <c r="F322">
        <v>26</v>
      </c>
      <c r="G322" t="s">
        <v>17</v>
      </c>
      <c r="H322">
        <v>3</v>
      </c>
      <c r="I322" t="s">
        <v>245</v>
      </c>
      <c r="K322">
        <f t="shared" si="39"/>
        <v>1</v>
      </c>
      <c r="L322">
        <f t="shared" si="33"/>
        <v>0</v>
      </c>
      <c r="M322">
        <f t="shared" si="34"/>
        <v>1</v>
      </c>
      <c r="N322">
        <f t="shared" si="35"/>
        <v>0</v>
      </c>
      <c r="O322">
        <f t="shared" si="36"/>
        <v>0</v>
      </c>
      <c r="P322">
        <f t="shared" si="37"/>
        <v>1</v>
      </c>
      <c r="Q322">
        <f t="shared" si="38"/>
        <v>0</v>
      </c>
      <c r="R322" t="b">
        <v>0</v>
      </c>
      <c r="T322" s="10">
        <v>0.590972222222222</v>
      </c>
      <c r="U322" s="10">
        <v>0.689583333333333</v>
      </c>
      <c r="V322">
        <v>142</v>
      </c>
      <c r="W322" t="b">
        <v>0</v>
      </c>
    </row>
    <row r="323" spans="1:24">
      <c r="A323">
        <v>322</v>
      </c>
      <c r="B323" t="s">
        <v>541</v>
      </c>
      <c r="C323" t="s">
        <v>25</v>
      </c>
      <c r="D323" s="9">
        <v>36833</v>
      </c>
      <c r="E323" s="9" t="str">
        <f t="shared" si="40"/>
        <v>20-30</v>
      </c>
      <c r="F323">
        <v>23</v>
      </c>
      <c r="G323" t="s">
        <v>21</v>
      </c>
      <c r="H323">
        <v>2</v>
      </c>
      <c r="I323" t="s">
        <v>306</v>
      </c>
      <c r="K323">
        <f t="shared" si="39"/>
        <v>1</v>
      </c>
      <c r="L323">
        <f t="shared" ref="L323:L386" si="41">--ISNUMBER(SEARCH("Mon",I323))</f>
        <v>0</v>
      </c>
      <c r="M323">
        <f t="shared" ref="M323:M386" si="42">--ISNUMBER(SEARCH("Tue",I323))</f>
        <v>0</v>
      </c>
      <c r="N323">
        <f t="shared" ref="N323:N386" si="43">--ISNUMBER(SEARCH("Wed",I323))</f>
        <v>0</v>
      </c>
      <c r="O323">
        <f t="shared" ref="O323:O386" si="44">--ISNUMBER(SEARCH("Thu",I323))</f>
        <v>1</v>
      </c>
      <c r="P323">
        <f t="shared" ref="P323:P386" si="45">--ISNUMBER(SEARCH("Fri",I323))</f>
        <v>0</v>
      </c>
      <c r="Q323">
        <f t="shared" ref="Q323:Q386" si="46">--ISNUMBER(SEARCH("Sat",I323))</f>
        <v>0</v>
      </c>
      <c r="R323" t="b">
        <v>0</v>
      </c>
      <c r="T323" s="10">
        <v>0.845833333333333</v>
      </c>
      <c r="U323" s="10">
        <v>0.893055555555556</v>
      </c>
      <c r="V323">
        <v>68</v>
      </c>
      <c r="W323" t="b">
        <v>1</v>
      </c>
      <c r="X323" t="s">
        <v>23</v>
      </c>
    </row>
    <row r="324" spans="1:24">
      <c r="A324">
        <v>323</v>
      </c>
      <c r="B324" t="s">
        <v>542</v>
      </c>
      <c r="C324" t="s">
        <v>25</v>
      </c>
      <c r="D324" s="9">
        <v>35965</v>
      </c>
      <c r="E324" s="9" t="str">
        <f t="shared" si="40"/>
        <v>20-30</v>
      </c>
      <c r="F324">
        <v>26</v>
      </c>
      <c r="G324" t="s">
        <v>17</v>
      </c>
      <c r="H324">
        <v>5</v>
      </c>
      <c r="I324" t="s">
        <v>277</v>
      </c>
      <c r="K324">
        <f t="shared" si="39"/>
        <v>1</v>
      </c>
      <c r="L324">
        <f t="shared" si="41"/>
        <v>1</v>
      </c>
      <c r="M324">
        <f t="shared" si="42"/>
        <v>0</v>
      </c>
      <c r="N324">
        <f t="shared" si="43"/>
        <v>1</v>
      </c>
      <c r="O324">
        <f t="shared" si="44"/>
        <v>1</v>
      </c>
      <c r="P324">
        <f t="shared" si="45"/>
        <v>0</v>
      </c>
      <c r="Q324">
        <f t="shared" si="46"/>
        <v>1</v>
      </c>
      <c r="R324" t="b">
        <v>1</v>
      </c>
      <c r="S324" t="s">
        <v>543</v>
      </c>
      <c r="T324" s="10">
        <v>0.715972222222222</v>
      </c>
      <c r="U324" s="10">
        <v>0.738888888888889</v>
      </c>
      <c r="V324">
        <v>33</v>
      </c>
      <c r="W324" t="b">
        <v>1</v>
      </c>
      <c r="X324" t="s">
        <v>23</v>
      </c>
    </row>
    <row r="325" spans="1:24">
      <c r="A325">
        <v>324</v>
      </c>
      <c r="B325" t="s">
        <v>544</v>
      </c>
      <c r="C325" t="s">
        <v>16</v>
      </c>
      <c r="D325" s="9">
        <v>34529</v>
      </c>
      <c r="E325" s="9" t="str">
        <f t="shared" si="40"/>
        <v>20-30</v>
      </c>
      <c r="F325">
        <v>30</v>
      </c>
      <c r="G325" t="s">
        <v>21</v>
      </c>
      <c r="H325">
        <v>3</v>
      </c>
      <c r="I325" t="s">
        <v>318</v>
      </c>
      <c r="K325">
        <f t="shared" ref="K325:K388" si="47">--ISNUMBER(SEARCH("Sun",I325))</f>
        <v>1</v>
      </c>
      <c r="L325">
        <f t="shared" si="41"/>
        <v>0</v>
      </c>
      <c r="M325">
        <f t="shared" si="42"/>
        <v>1</v>
      </c>
      <c r="N325">
        <f t="shared" si="43"/>
        <v>0</v>
      </c>
      <c r="O325">
        <f t="shared" si="44"/>
        <v>1</v>
      </c>
      <c r="P325">
        <f t="shared" si="45"/>
        <v>0</v>
      </c>
      <c r="Q325">
        <f t="shared" si="46"/>
        <v>0</v>
      </c>
      <c r="R325" t="b">
        <v>1</v>
      </c>
      <c r="S325" t="s">
        <v>67</v>
      </c>
      <c r="T325" s="10">
        <v>0.802777777777778</v>
      </c>
      <c r="U325" s="10">
        <v>0.91875</v>
      </c>
      <c r="V325">
        <v>167</v>
      </c>
      <c r="W325" t="b">
        <v>1</v>
      </c>
      <c r="X325" t="s">
        <v>23</v>
      </c>
    </row>
    <row r="326" spans="1:24">
      <c r="A326">
        <v>325</v>
      </c>
      <c r="B326" t="s">
        <v>545</v>
      </c>
      <c r="C326" t="s">
        <v>25</v>
      </c>
      <c r="D326" s="9">
        <v>34749</v>
      </c>
      <c r="E326" s="9" t="str">
        <f t="shared" si="40"/>
        <v>20-30</v>
      </c>
      <c r="F326">
        <v>29</v>
      </c>
      <c r="G326" t="s">
        <v>21</v>
      </c>
      <c r="H326">
        <v>3</v>
      </c>
      <c r="I326" t="s">
        <v>325</v>
      </c>
      <c r="K326">
        <f t="shared" si="47"/>
        <v>1</v>
      </c>
      <c r="L326">
        <f t="shared" si="41"/>
        <v>0</v>
      </c>
      <c r="M326">
        <f t="shared" si="42"/>
        <v>0</v>
      </c>
      <c r="N326">
        <f t="shared" si="43"/>
        <v>1</v>
      </c>
      <c r="O326">
        <f t="shared" si="44"/>
        <v>0</v>
      </c>
      <c r="P326">
        <f t="shared" si="45"/>
        <v>0</v>
      </c>
      <c r="Q326">
        <f t="shared" si="46"/>
        <v>1</v>
      </c>
      <c r="R326" t="b">
        <v>0</v>
      </c>
      <c r="T326" s="10">
        <v>0.440277777777778</v>
      </c>
      <c r="U326" s="10">
        <v>0.500694444444444</v>
      </c>
      <c r="V326">
        <v>87</v>
      </c>
      <c r="W326" t="b">
        <v>0</v>
      </c>
    </row>
    <row r="327" spans="1:24">
      <c r="A327">
        <v>326</v>
      </c>
      <c r="B327" t="s">
        <v>546</v>
      </c>
      <c r="C327" t="s">
        <v>16</v>
      </c>
      <c r="D327" s="9">
        <v>28309</v>
      </c>
      <c r="E327" s="9" t="str">
        <f t="shared" si="40"/>
        <v>41-50</v>
      </c>
      <c r="F327">
        <v>47</v>
      </c>
      <c r="G327" t="s">
        <v>21</v>
      </c>
      <c r="H327">
        <v>3</v>
      </c>
      <c r="I327" t="s">
        <v>241</v>
      </c>
      <c r="K327">
        <f t="shared" si="47"/>
        <v>0</v>
      </c>
      <c r="L327">
        <f t="shared" si="41"/>
        <v>0</v>
      </c>
      <c r="M327">
        <f t="shared" si="42"/>
        <v>1</v>
      </c>
      <c r="N327">
        <f t="shared" si="43"/>
        <v>1</v>
      </c>
      <c r="O327">
        <f t="shared" si="44"/>
        <v>1</v>
      </c>
      <c r="P327">
        <f t="shared" si="45"/>
        <v>0</v>
      </c>
      <c r="Q327">
        <f t="shared" si="46"/>
        <v>0</v>
      </c>
      <c r="R327" t="b">
        <v>0</v>
      </c>
      <c r="T327" s="10">
        <v>0.766666666666667</v>
      </c>
      <c r="U327" s="10">
        <v>0.819444444444445</v>
      </c>
      <c r="V327">
        <v>76</v>
      </c>
      <c r="W327" t="b">
        <v>0</v>
      </c>
    </row>
    <row r="328" spans="1:24">
      <c r="A328">
        <v>327</v>
      </c>
      <c r="B328" t="s">
        <v>547</v>
      </c>
      <c r="C328" t="s">
        <v>16</v>
      </c>
      <c r="D328" s="9">
        <v>40807</v>
      </c>
      <c r="E328" s="9" t="str">
        <f t="shared" si="40"/>
        <v>below 20</v>
      </c>
      <c r="F328">
        <v>13</v>
      </c>
      <c r="G328" t="s">
        <v>21</v>
      </c>
      <c r="H328">
        <v>3</v>
      </c>
      <c r="I328" t="s">
        <v>92</v>
      </c>
      <c r="K328">
        <f t="shared" si="47"/>
        <v>0</v>
      </c>
      <c r="L328">
        <f t="shared" si="41"/>
        <v>1</v>
      </c>
      <c r="M328">
        <f t="shared" si="42"/>
        <v>0</v>
      </c>
      <c r="N328">
        <f t="shared" si="43"/>
        <v>1</v>
      </c>
      <c r="O328">
        <f t="shared" si="44"/>
        <v>0</v>
      </c>
      <c r="P328">
        <f t="shared" si="45"/>
        <v>1</v>
      </c>
      <c r="Q328">
        <f t="shared" si="46"/>
        <v>0</v>
      </c>
      <c r="R328" t="b">
        <v>0</v>
      </c>
      <c r="T328" s="10">
        <v>0.584027777777778</v>
      </c>
      <c r="U328" s="10">
        <v>0.699305555555556</v>
      </c>
      <c r="V328">
        <v>166</v>
      </c>
      <c r="W328" t="b">
        <v>0</v>
      </c>
    </row>
    <row r="329" spans="1:24">
      <c r="A329">
        <v>328</v>
      </c>
      <c r="B329" t="s">
        <v>548</v>
      </c>
      <c r="C329" t="s">
        <v>16</v>
      </c>
      <c r="D329" s="9">
        <v>37529</v>
      </c>
      <c r="E329" s="9" t="str">
        <f t="shared" si="40"/>
        <v>20-30</v>
      </c>
      <c r="F329">
        <v>22</v>
      </c>
      <c r="G329" t="s">
        <v>21</v>
      </c>
      <c r="H329">
        <v>5</v>
      </c>
      <c r="I329" t="s">
        <v>456</v>
      </c>
      <c r="K329">
        <f t="shared" si="47"/>
        <v>0</v>
      </c>
      <c r="L329">
        <f t="shared" si="41"/>
        <v>1</v>
      </c>
      <c r="M329">
        <f t="shared" si="42"/>
        <v>1</v>
      </c>
      <c r="N329">
        <f t="shared" si="43"/>
        <v>1</v>
      </c>
      <c r="O329">
        <f t="shared" si="44"/>
        <v>1</v>
      </c>
      <c r="P329">
        <f t="shared" si="45"/>
        <v>0</v>
      </c>
      <c r="Q329">
        <f t="shared" si="46"/>
        <v>1</v>
      </c>
      <c r="R329" t="b">
        <v>0</v>
      </c>
      <c r="T329" s="10">
        <v>0.577777777777778</v>
      </c>
      <c r="U329" s="10">
        <v>0.649305555555556</v>
      </c>
      <c r="V329">
        <v>103</v>
      </c>
      <c r="W329" t="b">
        <v>0</v>
      </c>
    </row>
    <row r="330" spans="1:24">
      <c r="A330">
        <v>329</v>
      </c>
      <c r="B330" t="s">
        <v>549</v>
      </c>
      <c r="C330" t="s">
        <v>25</v>
      </c>
      <c r="D330" s="9">
        <v>33419</v>
      </c>
      <c r="E330" s="9" t="str">
        <f t="shared" si="40"/>
        <v>31-41</v>
      </c>
      <c r="F330">
        <v>33</v>
      </c>
      <c r="G330" t="s">
        <v>17</v>
      </c>
      <c r="H330">
        <v>4</v>
      </c>
      <c r="I330" t="s">
        <v>61</v>
      </c>
      <c r="K330">
        <f t="shared" si="47"/>
        <v>1</v>
      </c>
      <c r="L330">
        <f t="shared" si="41"/>
        <v>1</v>
      </c>
      <c r="M330">
        <f t="shared" si="42"/>
        <v>0</v>
      </c>
      <c r="N330">
        <f t="shared" si="43"/>
        <v>1</v>
      </c>
      <c r="O330">
        <f t="shared" si="44"/>
        <v>0</v>
      </c>
      <c r="P330">
        <f t="shared" si="45"/>
        <v>0</v>
      </c>
      <c r="Q330">
        <f t="shared" si="46"/>
        <v>1</v>
      </c>
      <c r="R330" t="b">
        <v>1</v>
      </c>
      <c r="S330" t="s">
        <v>33</v>
      </c>
      <c r="T330" s="10">
        <v>0.385416666666667</v>
      </c>
      <c r="U330" s="10">
        <v>0.427777777777778</v>
      </c>
      <c r="V330">
        <v>61</v>
      </c>
      <c r="W330" t="b">
        <v>0</v>
      </c>
    </row>
    <row r="331" spans="1:24">
      <c r="A331">
        <v>330</v>
      </c>
      <c r="B331" t="s">
        <v>550</v>
      </c>
      <c r="C331" t="s">
        <v>16</v>
      </c>
      <c r="D331" s="9">
        <v>35655</v>
      </c>
      <c r="E331" s="9" t="str">
        <f t="shared" si="40"/>
        <v>20-30</v>
      </c>
      <c r="F331">
        <v>27</v>
      </c>
      <c r="G331" t="s">
        <v>21</v>
      </c>
      <c r="H331">
        <v>2</v>
      </c>
      <c r="I331" t="s">
        <v>111</v>
      </c>
      <c r="K331">
        <f t="shared" si="47"/>
        <v>0</v>
      </c>
      <c r="L331">
        <f t="shared" si="41"/>
        <v>1</v>
      </c>
      <c r="M331">
        <f t="shared" si="42"/>
        <v>0</v>
      </c>
      <c r="N331">
        <f t="shared" si="43"/>
        <v>0</v>
      </c>
      <c r="O331">
        <f t="shared" si="44"/>
        <v>0</v>
      </c>
      <c r="P331">
        <f t="shared" si="45"/>
        <v>0</v>
      </c>
      <c r="Q331">
        <f t="shared" si="46"/>
        <v>1</v>
      </c>
      <c r="R331" t="b">
        <v>0</v>
      </c>
      <c r="T331" s="10">
        <v>0.488194444444444</v>
      </c>
      <c r="U331" s="10">
        <v>0.536805555555556</v>
      </c>
      <c r="V331">
        <v>70</v>
      </c>
      <c r="W331" t="b">
        <v>0</v>
      </c>
    </row>
    <row r="332" spans="1:24">
      <c r="A332">
        <v>331</v>
      </c>
      <c r="B332" t="s">
        <v>551</v>
      </c>
      <c r="C332" t="s">
        <v>16</v>
      </c>
      <c r="D332" s="9">
        <v>32726</v>
      </c>
      <c r="E332" s="9" t="str">
        <f t="shared" si="40"/>
        <v>31-41</v>
      </c>
      <c r="F332">
        <v>35</v>
      </c>
      <c r="G332" t="s">
        <v>17</v>
      </c>
      <c r="H332">
        <v>2</v>
      </c>
      <c r="I332" t="s">
        <v>121</v>
      </c>
      <c r="K332">
        <f t="shared" si="47"/>
        <v>0</v>
      </c>
      <c r="L332">
        <f t="shared" si="41"/>
        <v>0</v>
      </c>
      <c r="M332">
        <f t="shared" si="42"/>
        <v>0</v>
      </c>
      <c r="N332">
        <f t="shared" si="43"/>
        <v>1</v>
      </c>
      <c r="O332">
        <f t="shared" si="44"/>
        <v>0</v>
      </c>
      <c r="P332">
        <f t="shared" si="45"/>
        <v>1</v>
      </c>
      <c r="Q332">
        <f t="shared" si="46"/>
        <v>0</v>
      </c>
      <c r="R332" t="b">
        <v>1</v>
      </c>
      <c r="S332" t="s">
        <v>552</v>
      </c>
      <c r="T332" s="10">
        <v>0.691666666666667</v>
      </c>
      <c r="U332" s="10">
        <v>0.7125</v>
      </c>
      <c r="V332">
        <v>30</v>
      </c>
      <c r="W332" t="b">
        <v>0</v>
      </c>
    </row>
    <row r="333" spans="1:24">
      <c r="A333">
        <v>332</v>
      </c>
      <c r="B333" t="s">
        <v>553</v>
      </c>
      <c r="C333" t="s">
        <v>16</v>
      </c>
      <c r="D333" s="9">
        <v>37674</v>
      </c>
      <c r="E333" s="9" t="str">
        <f t="shared" si="40"/>
        <v>20-30</v>
      </c>
      <c r="F333">
        <v>21</v>
      </c>
      <c r="G333" t="s">
        <v>17</v>
      </c>
      <c r="H333">
        <v>3</v>
      </c>
      <c r="I333" t="s">
        <v>79</v>
      </c>
      <c r="K333">
        <f t="shared" si="47"/>
        <v>0</v>
      </c>
      <c r="L333">
        <f t="shared" si="41"/>
        <v>1</v>
      </c>
      <c r="M333">
        <f t="shared" si="42"/>
        <v>0</v>
      </c>
      <c r="N333">
        <f t="shared" si="43"/>
        <v>0</v>
      </c>
      <c r="O333">
        <f t="shared" si="44"/>
        <v>0</v>
      </c>
      <c r="P333">
        <f t="shared" si="45"/>
        <v>1</v>
      </c>
      <c r="Q333">
        <f t="shared" si="46"/>
        <v>1</v>
      </c>
      <c r="R333" t="b">
        <v>1</v>
      </c>
      <c r="S333" t="s">
        <v>107</v>
      </c>
      <c r="T333" s="10">
        <v>0.848611111111111</v>
      </c>
      <c r="U333" s="10">
        <v>0.881944444444445</v>
      </c>
      <c r="V333">
        <v>48</v>
      </c>
      <c r="W333" t="b">
        <v>0</v>
      </c>
    </row>
    <row r="334" spans="1:24">
      <c r="A334">
        <v>333</v>
      </c>
      <c r="B334" t="s">
        <v>554</v>
      </c>
      <c r="C334" t="s">
        <v>25</v>
      </c>
      <c r="D334" s="9">
        <v>30846</v>
      </c>
      <c r="E334" s="9" t="str">
        <f t="shared" si="40"/>
        <v>31-41</v>
      </c>
      <c r="F334">
        <v>40</v>
      </c>
      <c r="G334" t="s">
        <v>17</v>
      </c>
      <c r="H334">
        <v>3</v>
      </c>
      <c r="I334" t="s">
        <v>159</v>
      </c>
      <c r="K334">
        <f t="shared" si="47"/>
        <v>0</v>
      </c>
      <c r="L334">
        <f t="shared" si="41"/>
        <v>1</v>
      </c>
      <c r="M334">
        <f t="shared" si="42"/>
        <v>0</v>
      </c>
      <c r="N334">
        <f t="shared" si="43"/>
        <v>0</v>
      </c>
      <c r="O334">
        <f t="shared" si="44"/>
        <v>1</v>
      </c>
      <c r="P334">
        <f t="shared" si="45"/>
        <v>0</v>
      </c>
      <c r="Q334">
        <f t="shared" si="46"/>
        <v>1</v>
      </c>
      <c r="R334" t="b">
        <v>0</v>
      </c>
      <c r="T334" s="10">
        <v>0.470833333333333</v>
      </c>
      <c r="U334" s="10">
        <v>0.509027777777778</v>
      </c>
      <c r="V334">
        <v>55</v>
      </c>
      <c r="W334" t="b">
        <v>1</v>
      </c>
      <c r="X334" t="s">
        <v>50</v>
      </c>
    </row>
    <row r="335" spans="1:24">
      <c r="A335">
        <v>334</v>
      </c>
      <c r="B335" t="s">
        <v>555</v>
      </c>
      <c r="C335" t="s">
        <v>25</v>
      </c>
      <c r="D335" s="9">
        <v>39996</v>
      </c>
      <c r="E335" s="9" t="str">
        <f t="shared" si="40"/>
        <v>below 20</v>
      </c>
      <c r="F335">
        <v>15</v>
      </c>
      <c r="G335" t="s">
        <v>21</v>
      </c>
      <c r="H335">
        <v>3</v>
      </c>
      <c r="I335" t="s">
        <v>116</v>
      </c>
      <c r="K335">
        <f t="shared" si="47"/>
        <v>0</v>
      </c>
      <c r="L335">
        <f t="shared" si="41"/>
        <v>0</v>
      </c>
      <c r="M335">
        <f t="shared" si="42"/>
        <v>0</v>
      </c>
      <c r="N335">
        <f t="shared" si="43"/>
        <v>1</v>
      </c>
      <c r="O335">
        <f t="shared" si="44"/>
        <v>1</v>
      </c>
      <c r="P335">
        <f t="shared" si="45"/>
        <v>0</v>
      </c>
      <c r="Q335">
        <f t="shared" si="46"/>
        <v>1</v>
      </c>
      <c r="R335" t="b">
        <v>0</v>
      </c>
      <c r="T335" s="10">
        <v>0.728472222222222</v>
      </c>
      <c r="U335" s="10">
        <v>0.768055555555556</v>
      </c>
      <c r="V335">
        <v>57</v>
      </c>
      <c r="W335" t="b">
        <v>0</v>
      </c>
    </row>
    <row r="336" spans="1:24">
      <c r="A336">
        <v>335</v>
      </c>
      <c r="B336" t="s">
        <v>556</v>
      </c>
      <c r="C336" t="s">
        <v>16</v>
      </c>
      <c r="D336" s="9">
        <v>36851</v>
      </c>
      <c r="E336" s="9" t="str">
        <f t="shared" si="40"/>
        <v>20-30</v>
      </c>
      <c r="F336">
        <v>23</v>
      </c>
      <c r="G336" t="s">
        <v>17</v>
      </c>
      <c r="H336">
        <v>3</v>
      </c>
      <c r="I336" t="s">
        <v>159</v>
      </c>
      <c r="K336">
        <f t="shared" si="47"/>
        <v>0</v>
      </c>
      <c r="L336">
        <f t="shared" si="41"/>
        <v>1</v>
      </c>
      <c r="M336">
        <f t="shared" si="42"/>
        <v>0</v>
      </c>
      <c r="N336">
        <f t="shared" si="43"/>
        <v>0</v>
      </c>
      <c r="O336">
        <f t="shared" si="44"/>
        <v>1</v>
      </c>
      <c r="P336">
        <f t="shared" si="45"/>
        <v>0</v>
      </c>
      <c r="Q336">
        <f t="shared" si="46"/>
        <v>1</v>
      </c>
      <c r="R336" t="b">
        <v>0</v>
      </c>
      <c r="T336" s="10">
        <v>0.570833333333333</v>
      </c>
      <c r="U336" s="10">
        <v>0.632638888888889</v>
      </c>
      <c r="V336">
        <v>89</v>
      </c>
      <c r="W336" t="b">
        <v>0</v>
      </c>
    </row>
    <row r="337" spans="1:24">
      <c r="A337">
        <v>336</v>
      </c>
      <c r="B337" t="s">
        <v>557</v>
      </c>
      <c r="C337" t="s">
        <v>16</v>
      </c>
      <c r="D337" s="9">
        <v>27455</v>
      </c>
      <c r="E337" s="9" t="str">
        <f t="shared" si="40"/>
        <v>41-50</v>
      </c>
      <c r="F337">
        <v>49</v>
      </c>
      <c r="G337" t="s">
        <v>21</v>
      </c>
      <c r="H337">
        <v>1</v>
      </c>
      <c r="I337" t="s">
        <v>81</v>
      </c>
      <c r="K337">
        <f t="shared" si="47"/>
        <v>0</v>
      </c>
      <c r="L337">
        <f t="shared" si="41"/>
        <v>0</v>
      </c>
      <c r="M337">
        <f t="shared" si="42"/>
        <v>0</v>
      </c>
      <c r="N337">
        <f t="shared" si="43"/>
        <v>0</v>
      </c>
      <c r="O337">
        <f t="shared" si="44"/>
        <v>0</v>
      </c>
      <c r="P337">
        <f t="shared" si="45"/>
        <v>1</v>
      </c>
      <c r="Q337">
        <f t="shared" si="46"/>
        <v>0</v>
      </c>
      <c r="R337" t="b">
        <v>1</v>
      </c>
      <c r="S337" t="s">
        <v>558</v>
      </c>
      <c r="T337" s="10">
        <v>0.444444444444444</v>
      </c>
      <c r="U337" s="10">
        <v>0.500694444444444</v>
      </c>
      <c r="V337">
        <v>81</v>
      </c>
      <c r="W337" t="b">
        <v>1</v>
      </c>
      <c r="X337" t="s">
        <v>23</v>
      </c>
    </row>
    <row r="338" spans="1:24">
      <c r="A338">
        <v>337</v>
      </c>
      <c r="B338" t="s">
        <v>559</v>
      </c>
      <c r="C338" t="s">
        <v>25</v>
      </c>
      <c r="D338" s="9">
        <v>30054</v>
      </c>
      <c r="E338" s="9" t="str">
        <f t="shared" si="40"/>
        <v>41-50</v>
      </c>
      <c r="F338">
        <v>42</v>
      </c>
      <c r="G338" t="s">
        <v>17</v>
      </c>
      <c r="H338">
        <v>2</v>
      </c>
      <c r="I338" t="s">
        <v>306</v>
      </c>
      <c r="K338">
        <f t="shared" si="47"/>
        <v>1</v>
      </c>
      <c r="L338">
        <f t="shared" si="41"/>
        <v>0</v>
      </c>
      <c r="M338">
        <f t="shared" si="42"/>
        <v>0</v>
      </c>
      <c r="N338">
        <f t="shared" si="43"/>
        <v>0</v>
      </c>
      <c r="O338">
        <f t="shared" si="44"/>
        <v>1</v>
      </c>
      <c r="P338">
        <f t="shared" si="45"/>
        <v>0</v>
      </c>
      <c r="Q338">
        <f t="shared" si="46"/>
        <v>0</v>
      </c>
      <c r="R338" t="b">
        <v>0</v>
      </c>
      <c r="T338" s="10">
        <v>0.765277777777778</v>
      </c>
      <c r="U338" s="10">
        <v>0.876388888888889</v>
      </c>
      <c r="V338">
        <v>160</v>
      </c>
      <c r="W338" t="b">
        <v>1</v>
      </c>
      <c r="X338" t="s">
        <v>23</v>
      </c>
    </row>
    <row r="339" spans="1:24">
      <c r="A339">
        <v>338</v>
      </c>
      <c r="B339" t="s">
        <v>560</v>
      </c>
      <c r="C339" t="s">
        <v>25</v>
      </c>
      <c r="D339" s="9">
        <v>35707</v>
      </c>
      <c r="E339" s="9" t="str">
        <f t="shared" si="40"/>
        <v>20-30</v>
      </c>
      <c r="F339">
        <v>26</v>
      </c>
      <c r="G339" t="s">
        <v>17</v>
      </c>
      <c r="H339">
        <v>3</v>
      </c>
      <c r="I339" t="s">
        <v>57</v>
      </c>
      <c r="K339">
        <f t="shared" si="47"/>
        <v>1</v>
      </c>
      <c r="L339">
        <f t="shared" si="41"/>
        <v>1</v>
      </c>
      <c r="M339">
        <f t="shared" si="42"/>
        <v>0</v>
      </c>
      <c r="N339">
        <f t="shared" si="43"/>
        <v>1</v>
      </c>
      <c r="O339">
        <f t="shared" si="44"/>
        <v>0</v>
      </c>
      <c r="P339">
        <f t="shared" si="45"/>
        <v>0</v>
      </c>
      <c r="Q339">
        <f t="shared" si="46"/>
        <v>0</v>
      </c>
      <c r="R339" t="b">
        <v>1</v>
      </c>
      <c r="S339" t="s">
        <v>174</v>
      </c>
      <c r="T339" s="10">
        <v>0.420833333333333</v>
      </c>
      <c r="U339" s="10">
        <v>0.495833333333333</v>
      </c>
      <c r="V339">
        <v>108</v>
      </c>
      <c r="W339" t="b">
        <v>0</v>
      </c>
    </row>
    <row r="340" spans="1:24">
      <c r="A340">
        <v>339</v>
      </c>
      <c r="B340" t="s">
        <v>561</v>
      </c>
      <c r="C340" t="s">
        <v>16</v>
      </c>
      <c r="D340" s="9">
        <v>30563</v>
      </c>
      <c r="E340" s="9" t="str">
        <f t="shared" si="40"/>
        <v>41-50</v>
      </c>
      <c r="F340">
        <v>41</v>
      </c>
      <c r="G340" t="s">
        <v>21</v>
      </c>
      <c r="H340">
        <v>3</v>
      </c>
      <c r="I340" t="s">
        <v>159</v>
      </c>
      <c r="K340">
        <f t="shared" si="47"/>
        <v>0</v>
      </c>
      <c r="L340">
        <f t="shared" si="41"/>
        <v>1</v>
      </c>
      <c r="M340">
        <f t="shared" si="42"/>
        <v>0</v>
      </c>
      <c r="N340">
        <f t="shared" si="43"/>
        <v>0</v>
      </c>
      <c r="O340">
        <f t="shared" si="44"/>
        <v>1</v>
      </c>
      <c r="P340">
        <f t="shared" si="45"/>
        <v>0</v>
      </c>
      <c r="Q340">
        <f t="shared" si="46"/>
        <v>1</v>
      </c>
      <c r="R340" t="b">
        <v>1</v>
      </c>
      <c r="S340" t="s">
        <v>107</v>
      </c>
      <c r="T340" s="10">
        <v>0.652777777777778</v>
      </c>
      <c r="U340" s="10">
        <v>0.730555555555556</v>
      </c>
      <c r="V340">
        <v>112</v>
      </c>
      <c r="W340" t="b">
        <v>1</v>
      </c>
      <c r="X340" t="s">
        <v>23</v>
      </c>
    </row>
    <row r="341" spans="1:24">
      <c r="A341">
        <v>340</v>
      </c>
      <c r="B341" t="s">
        <v>562</v>
      </c>
      <c r="C341" t="s">
        <v>25</v>
      </c>
      <c r="D341" s="9">
        <v>37337</v>
      </c>
      <c r="E341" s="9" t="str">
        <f t="shared" si="40"/>
        <v>20-30</v>
      </c>
      <c r="F341">
        <v>22</v>
      </c>
      <c r="G341" t="s">
        <v>17</v>
      </c>
      <c r="H341">
        <v>3</v>
      </c>
      <c r="I341" t="s">
        <v>52</v>
      </c>
      <c r="K341">
        <f t="shared" si="47"/>
        <v>0</v>
      </c>
      <c r="L341">
        <f t="shared" si="41"/>
        <v>1</v>
      </c>
      <c r="M341">
        <f t="shared" si="42"/>
        <v>1</v>
      </c>
      <c r="N341">
        <f t="shared" si="43"/>
        <v>0</v>
      </c>
      <c r="O341">
        <f t="shared" si="44"/>
        <v>0</v>
      </c>
      <c r="P341">
        <f t="shared" si="45"/>
        <v>0</v>
      </c>
      <c r="Q341">
        <f t="shared" si="46"/>
        <v>1</v>
      </c>
      <c r="R341" t="b">
        <v>1</v>
      </c>
      <c r="S341" t="s">
        <v>563</v>
      </c>
      <c r="T341" s="10">
        <v>0.785416666666667</v>
      </c>
      <c r="U341" s="10">
        <v>0.869444444444444</v>
      </c>
      <c r="V341">
        <v>121</v>
      </c>
      <c r="W341" t="b">
        <v>1</v>
      </c>
      <c r="X341" t="s">
        <v>47</v>
      </c>
    </row>
    <row r="342" spans="1:24">
      <c r="A342">
        <v>341</v>
      </c>
      <c r="B342" t="s">
        <v>564</v>
      </c>
      <c r="C342" t="s">
        <v>16</v>
      </c>
      <c r="D342" s="9">
        <v>32279</v>
      </c>
      <c r="E342" s="9" t="str">
        <f t="shared" si="40"/>
        <v>31-41</v>
      </c>
      <c r="F342">
        <v>36</v>
      </c>
      <c r="G342" t="s">
        <v>21</v>
      </c>
      <c r="H342">
        <v>4</v>
      </c>
      <c r="I342" t="s">
        <v>219</v>
      </c>
      <c r="K342">
        <f t="shared" si="47"/>
        <v>0</v>
      </c>
      <c r="L342">
        <f t="shared" si="41"/>
        <v>1</v>
      </c>
      <c r="M342">
        <f t="shared" si="42"/>
        <v>0</v>
      </c>
      <c r="N342">
        <f t="shared" si="43"/>
        <v>1</v>
      </c>
      <c r="O342">
        <f t="shared" si="44"/>
        <v>1</v>
      </c>
      <c r="P342">
        <f t="shared" si="45"/>
        <v>0</v>
      </c>
      <c r="Q342">
        <f t="shared" si="46"/>
        <v>1</v>
      </c>
      <c r="R342" t="b">
        <v>0</v>
      </c>
      <c r="T342" s="10">
        <v>0.584722222222222</v>
      </c>
      <c r="U342" s="10">
        <v>0.674305555555556</v>
      </c>
      <c r="V342">
        <v>129</v>
      </c>
      <c r="W342" t="b">
        <v>0</v>
      </c>
    </row>
    <row r="343" spans="1:24">
      <c r="A343">
        <v>342</v>
      </c>
      <c r="B343" t="s">
        <v>565</v>
      </c>
      <c r="C343" t="s">
        <v>25</v>
      </c>
      <c r="D343" s="9">
        <v>36018</v>
      </c>
      <c r="E343" s="9" t="str">
        <f t="shared" si="40"/>
        <v>20-30</v>
      </c>
      <c r="F343">
        <v>26</v>
      </c>
      <c r="G343" t="s">
        <v>21</v>
      </c>
      <c r="H343">
        <v>5</v>
      </c>
      <c r="I343" t="s">
        <v>412</v>
      </c>
      <c r="K343">
        <f t="shared" si="47"/>
        <v>1</v>
      </c>
      <c r="L343">
        <f t="shared" si="41"/>
        <v>0</v>
      </c>
      <c r="M343">
        <f t="shared" si="42"/>
        <v>1</v>
      </c>
      <c r="N343">
        <f t="shared" si="43"/>
        <v>0</v>
      </c>
      <c r="O343">
        <f t="shared" si="44"/>
        <v>1</v>
      </c>
      <c r="P343">
        <f t="shared" si="45"/>
        <v>1</v>
      </c>
      <c r="Q343">
        <f t="shared" si="46"/>
        <v>1</v>
      </c>
      <c r="R343" t="b">
        <v>1</v>
      </c>
      <c r="S343" t="s">
        <v>566</v>
      </c>
      <c r="T343" s="10">
        <v>0.747916666666667</v>
      </c>
      <c r="U343" s="10">
        <v>0.850694444444445</v>
      </c>
      <c r="V343">
        <v>148</v>
      </c>
      <c r="W343" t="b">
        <v>1</v>
      </c>
      <c r="X343" t="s">
        <v>47</v>
      </c>
    </row>
    <row r="344" spans="1:24">
      <c r="A344">
        <v>343</v>
      </c>
      <c r="B344" t="s">
        <v>451</v>
      </c>
      <c r="C344" t="s">
        <v>16</v>
      </c>
      <c r="D344" s="9">
        <v>38632</v>
      </c>
      <c r="E344" s="9" t="str">
        <f t="shared" si="40"/>
        <v>below 20</v>
      </c>
      <c r="F344">
        <v>18</v>
      </c>
      <c r="G344" t="s">
        <v>17</v>
      </c>
      <c r="H344">
        <v>5</v>
      </c>
      <c r="I344" t="s">
        <v>567</v>
      </c>
      <c r="K344">
        <f t="shared" si="47"/>
        <v>1</v>
      </c>
      <c r="L344">
        <f t="shared" si="41"/>
        <v>0</v>
      </c>
      <c r="M344">
        <f t="shared" si="42"/>
        <v>0</v>
      </c>
      <c r="N344">
        <f t="shared" si="43"/>
        <v>1</v>
      </c>
      <c r="O344">
        <f t="shared" si="44"/>
        <v>1</v>
      </c>
      <c r="P344">
        <f t="shared" si="45"/>
        <v>1</v>
      </c>
      <c r="Q344">
        <f t="shared" si="46"/>
        <v>1</v>
      </c>
      <c r="R344" t="b">
        <v>1</v>
      </c>
      <c r="S344" t="s">
        <v>568</v>
      </c>
      <c r="T344" s="10">
        <v>0.411805555555556</v>
      </c>
      <c r="U344" s="10">
        <v>0.468055555555556</v>
      </c>
      <c r="V344">
        <v>81</v>
      </c>
      <c r="W344" t="b">
        <v>1</v>
      </c>
      <c r="X344" t="s">
        <v>28</v>
      </c>
    </row>
    <row r="345" spans="1:24">
      <c r="A345">
        <v>344</v>
      </c>
      <c r="B345" t="s">
        <v>569</v>
      </c>
      <c r="C345" t="s">
        <v>16</v>
      </c>
      <c r="D345" s="9">
        <v>31695</v>
      </c>
      <c r="E345" s="9" t="str">
        <f t="shared" si="40"/>
        <v>31-41</v>
      </c>
      <c r="F345">
        <v>37</v>
      </c>
      <c r="G345" t="s">
        <v>21</v>
      </c>
      <c r="H345">
        <v>4</v>
      </c>
      <c r="I345" t="s">
        <v>61</v>
      </c>
      <c r="K345">
        <f t="shared" si="47"/>
        <v>1</v>
      </c>
      <c r="L345">
        <f t="shared" si="41"/>
        <v>1</v>
      </c>
      <c r="M345">
        <f t="shared" si="42"/>
        <v>0</v>
      </c>
      <c r="N345">
        <f t="shared" si="43"/>
        <v>1</v>
      </c>
      <c r="O345">
        <f t="shared" si="44"/>
        <v>0</v>
      </c>
      <c r="P345">
        <f t="shared" si="45"/>
        <v>0</v>
      </c>
      <c r="Q345">
        <f t="shared" si="46"/>
        <v>1</v>
      </c>
      <c r="R345" t="b">
        <v>1</v>
      </c>
      <c r="S345" t="s">
        <v>230</v>
      </c>
      <c r="T345" s="10">
        <v>0.534722222222222</v>
      </c>
      <c r="U345" s="10">
        <v>0.65</v>
      </c>
      <c r="V345">
        <v>166</v>
      </c>
      <c r="W345" t="b">
        <v>0</v>
      </c>
    </row>
    <row r="346" spans="1:24">
      <c r="A346">
        <v>345</v>
      </c>
      <c r="B346" t="s">
        <v>570</v>
      </c>
      <c r="C346" t="s">
        <v>25</v>
      </c>
      <c r="D346" s="9">
        <v>31277</v>
      </c>
      <c r="E346" s="9" t="str">
        <f t="shared" si="40"/>
        <v>31-41</v>
      </c>
      <c r="F346">
        <v>39</v>
      </c>
      <c r="G346" t="s">
        <v>21</v>
      </c>
      <c r="H346">
        <v>2</v>
      </c>
      <c r="I346" t="s">
        <v>195</v>
      </c>
      <c r="K346">
        <f t="shared" si="47"/>
        <v>1</v>
      </c>
      <c r="L346">
        <f t="shared" si="41"/>
        <v>1</v>
      </c>
      <c r="M346">
        <f t="shared" si="42"/>
        <v>0</v>
      </c>
      <c r="N346">
        <f t="shared" si="43"/>
        <v>0</v>
      </c>
      <c r="O346">
        <f t="shared" si="44"/>
        <v>0</v>
      </c>
      <c r="P346">
        <f t="shared" si="45"/>
        <v>0</v>
      </c>
      <c r="Q346">
        <f t="shared" si="46"/>
        <v>0</v>
      </c>
      <c r="R346" t="b">
        <v>0</v>
      </c>
      <c r="T346" s="10">
        <v>0.604166666666667</v>
      </c>
      <c r="U346" s="10">
        <v>0.728472222222222</v>
      </c>
      <c r="V346">
        <v>179</v>
      </c>
      <c r="W346" t="b">
        <v>1</v>
      </c>
      <c r="X346" t="s">
        <v>28</v>
      </c>
    </row>
    <row r="347" spans="1:24">
      <c r="A347">
        <v>346</v>
      </c>
      <c r="B347" t="s">
        <v>571</v>
      </c>
      <c r="C347" t="s">
        <v>16</v>
      </c>
      <c r="D347" s="9">
        <v>29785</v>
      </c>
      <c r="E347" s="9" t="str">
        <f t="shared" si="40"/>
        <v>41-50</v>
      </c>
      <c r="F347">
        <v>43</v>
      </c>
      <c r="G347" t="s">
        <v>17</v>
      </c>
      <c r="H347">
        <v>3</v>
      </c>
      <c r="I347" t="s">
        <v>247</v>
      </c>
      <c r="K347">
        <f t="shared" si="47"/>
        <v>0</v>
      </c>
      <c r="L347">
        <f t="shared" si="41"/>
        <v>0</v>
      </c>
      <c r="M347">
        <f t="shared" si="42"/>
        <v>1</v>
      </c>
      <c r="N347">
        <f t="shared" si="43"/>
        <v>1</v>
      </c>
      <c r="O347">
        <f t="shared" si="44"/>
        <v>0</v>
      </c>
      <c r="P347">
        <f t="shared" si="45"/>
        <v>1</v>
      </c>
      <c r="Q347">
        <f t="shared" si="46"/>
        <v>0</v>
      </c>
      <c r="R347" t="b">
        <v>1</v>
      </c>
      <c r="S347" t="s">
        <v>19</v>
      </c>
      <c r="T347" s="10">
        <v>0.511805555555556</v>
      </c>
      <c r="U347" s="10">
        <v>0.607638888888889</v>
      </c>
      <c r="V347">
        <v>138</v>
      </c>
      <c r="W347" t="b">
        <v>0</v>
      </c>
    </row>
    <row r="348" spans="1:24">
      <c r="A348">
        <v>347</v>
      </c>
      <c r="B348" t="s">
        <v>572</v>
      </c>
      <c r="C348" t="s">
        <v>16</v>
      </c>
      <c r="D348" s="9">
        <v>31328</v>
      </c>
      <c r="E348" s="9" t="str">
        <f t="shared" si="40"/>
        <v>31-41</v>
      </c>
      <c r="F348">
        <v>38</v>
      </c>
      <c r="G348" t="s">
        <v>21</v>
      </c>
      <c r="H348">
        <v>3</v>
      </c>
      <c r="I348" t="s">
        <v>241</v>
      </c>
      <c r="K348">
        <f t="shared" si="47"/>
        <v>0</v>
      </c>
      <c r="L348">
        <f t="shared" si="41"/>
        <v>0</v>
      </c>
      <c r="M348">
        <f t="shared" si="42"/>
        <v>1</v>
      </c>
      <c r="N348">
        <f t="shared" si="43"/>
        <v>1</v>
      </c>
      <c r="O348">
        <f t="shared" si="44"/>
        <v>1</v>
      </c>
      <c r="P348">
        <f t="shared" si="45"/>
        <v>0</v>
      </c>
      <c r="Q348">
        <f t="shared" si="46"/>
        <v>0</v>
      </c>
      <c r="R348" t="b">
        <v>0</v>
      </c>
      <c r="T348" s="10">
        <v>0.702083333333333</v>
      </c>
      <c r="U348" s="10">
        <v>0.753472222222222</v>
      </c>
      <c r="V348">
        <v>74</v>
      </c>
      <c r="W348" t="b">
        <v>0</v>
      </c>
    </row>
    <row r="349" spans="1:24">
      <c r="A349">
        <v>348</v>
      </c>
      <c r="B349" t="s">
        <v>573</v>
      </c>
      <c r="C349" t="s">
        <v>25</v>
      </c>
      <c r="D349" s="9">
        <v>37804</v>
      </c>
      <c r="E349" s="9" t="str">
        <f t="shared" si="40"/>
        <v>20-30</v>
      </c>
      <c r="F349">
        <v>21</v>
      </c>
      <c r="G349" t="s">
        <v>21</v>
      </c>
      <c r="H349">
        <v>3</v>
      </c>
      <c r="I349" t="s">
        <v>251</v>
      </c>
      <c r="K349">
        <f t="shared" si="47"/>
        <v>1</v>
      </c>
      <c r="L349">
        <f t="shared" si="41"/>
        <v>0</v>
      </c>
      <c r="M349">
        <f t="shared" si="42"/>
        <v>1</v>
      </c>
      <c r="N349">
        <f t="shared" si="43"/>
        <v>1</v>
      </c>
      <c r="O349">
        <f t="shared" si="44"/>
        <v>0</v>
      </c>
      <c r="P349">
        <f t="shared" si="45"/>
        <v>0</v>
      </c>
      <c r="Q349">
        <f t="shared" si="46"/>
        <v>0</v>
      </c>
      <c r="R349" t="b">
        <v>0</v>
      </c>
      <c r="T349" s="10">
        <v>0.540972222222222</v>
      </c>
      <c r="U349" s="10">
        <v>0.584027777777778</v>
      </c>
      <c r="V349">
        <v>62</v>
      </c>
      <c r="W349" t="b">
        <v>0</v>
      </c>
    </row>
    <row r="350" spans="1:24">
      <c r="A350">
        <v>349</v>
      </c>
      <c r="B350" t="s">
        <v>574</v>
      </c>
      <c r="C350" t="s">
        <v>16</v>
      </c>
      <c r="D350" s="9">
        <v>31216</v>
      </c>
      <c r="E350" s="9" t="str">
        <f t="shared" si="40"/>
        <v>31-41</v>
      </c>
      <c r="F350">
        <v>39</v>
      </c>
      <c r="G350" t="s">
        <v>21</v>
      </c>
      <c r="H350">
        <v>2</v>
      </c>
      <c r="I350" t="s">
        <v>138</v>
      </c>
      <c r="K350">
        <f t="shared" si="47"/>
        <v>0</v>
      </c>
      <c r="L350">
        <f t="shared" si="41"/>
        <v>0</v>
      </c>
      <c r="M350">
        <f t="shared" si="42"/>
        <v>1</v>
      </c>
      <c r="N350">
        <f t="shared" si="43"/>
        <v>0</v>
      </c>
      <c r="O350">
        <f t="shared" si="44"/>
        <v>0</v>
      </c>
      <c r="P350">
        <f t="shared" si="45"/>
        <v>1</v>
      </c>
      <c r="Q350">
        <f t="shared" si="46"/>
        <v>0</v>
      </c>
      <c r="R350" t="b">
        <v>0</v>
      </c>
      <c r="T350" s="10">
        <v>0.536805555555556</v>
      </c>
      <c r="U350" s="10">
        <v>0.633333333333333</v>
      </c>
      <c r="V350">
        <v>139</v>
      </c>
      <c r="W350" t="b">
        <v>1</v>
      </c>
      <c r="X350" t="s">
        <v>47</v>
      </c>
    </row>
    <row r="351" spans="1:24">
      <c r="A351">
        <v>350</v>
      </c>
      <c r="B351" t="s">
        <v>575</v>
      </c>
      <c r="C351" t="s">
        <v>16</v>
      </c>
      <c r="D351" s="9">
        <v>32468</v>
      </c>
      <c r="E351" s="9" t="str">
        <f t="shared" si="40"/>
        <v>31-41</v>
      </c>
      <c r="F351">
        <v>35</v>
      </c>
      <c r="G351" t="s">
        <v>21</v>
      </c>
      <c r="H351">
        <v>2</v>
      </c>
      <c r="I351" t="s">
        <v>272</v>
      </c>
      <c r="K351">
        <f t="shared" si="47"/>
        <v>0</v>
      </c>
      <c r="L351">
        <f t="shared" si="41"/>
        <v>0</v>
      </c>
      <c r="M351">
        <f t="shared" si="42"/>
        <v>1</v>
      </c>
      <c r="N351">
        <f t="shared" si="43"/>
        <v>1</v>
      </c>
      <c r="O351">
        <f t="shared" si="44"/>
        <v>0</v>
      </c>
      <c r="P351">
        <f t="shared" si="45"/>
        <v>0</v>
      </c>
      <c r="Q351">
        <f t="shared" si="46"/>
        <v>0</v>
      </c>
      <c r="R351" t="b">
        <v>1</v>
      </c>
      <c r="S351" t="s">
        <v>248</v>
      </c>
      <c r="T351" s="10">
        <v>0.680555555555555</v>
      </c>
      <c r="U351" s="10">
        <v>0.7375</v>
      </c>
      <c r="V351">
        <v>82</v>
      </c>
      <c r="W351" t="b">
        <v>1</v>
      </c>
      <c r="X351" t="s">
        <v>47</v>
      </c>
    </row>
    <row r="352" spans="1:24">
      <c r="A352">
        <v>351</v>
      </c>
      <c r="B352" t="s">
        <v>576</v>
      </c>
      <c r="C352" t="s">
        <v>25</v>
      </c>
      <c r="D352" s="9">
        <v>32446</v>
      </c>
      <c r="E352" s="9" t="str">
        <f t="shared" si="40"/>
        <v>31-41</v>
      </c>
      <c r="F352">
        <v>35</v>
      </c>
      <c r="G352" t="s">
        <v>21</v>
      </c>
      <c r="H352">
        <v>1</v>
      </c>
      <c r="I352" t="s">
        <v>46</v>
      </c>
      <c r="K352">
        <f t="shared" si="47"/>
        <v>0</v>
      </c>
      <c r="L352">
        <f t="shared" si="41"/>
        <v>1</v>
      </c>
      <c r="M352">
        <f t="shared" si="42"/>
        <v>0</v>
      </c>
      <c r="N352">
        <f t="shared" si="43"/>
        <v>0</v>
      </c>
      <c r="O352">
        <f t="shared" si="44"/>
        <v>0</v>
      </c>
      <c r="P352">
        <f t="shared" si="45"/>
        <v>0</v>
      </c>
      <c r="Q352">
        <f t="shared" si="46"/>
        <v>0</v>
      </c>
      <c r="R352" t="b">
        <v>1</v>
      </c>
      <c r="S352" t="s">
        <v>577</v>
      </c>
      <c r="T352" s="10">
        <v>0.810416666666667</v>
      </c>
      <c r="U352" s="10">
        <v>0.856944444444444</v>
      </c>
      <c r="V352">
        <v>67</v>
      </c>
      <c r="W352" t="b">
        <v>0</v>
      </c>
    </row>
    <row r="353" spans="1:24">
      <c r="A353">
        <v>352</v>
      </c>
      <c r="B353" t="s">
        <v>578</v>
      </c>
      <c r="C353" t="s">
        <v>16</v>
      </c>
      <c r="D353" s="9">
        <v>34030</v>
      </c>
      <c r="E353" s="9" t="str">
        <f t="shared" si="40"/>
        <v>31-41</v>
      </c>
      <c r="F353">
        <v>31</v>
      </c>
      <c r="G353" t="s">
        <v>21</v>
      </c>
      <c r="H353">
        <v>1</v>
      </c>
      <c r="I353" t="s">
        <v>26</v>
      </c>
      <c r="K353">
        <f t="shared" si="47"/>
        <v>1</v>
      </c>
      <c r="L353">
        <f t="shared" si="41"/>
        <v>0</v>
      </c>
      <c r="M353">
        <f t="shared" si="42"/>
        <v>0</v>
      </c>
      <c r="N353">
        <f t="shared" si="43"/>
        <v>0</v>
      </c>
      <c r="O353">
        <f t="shared" si="44"/>
        <v>0</v>
      </c>
      <c r="P353">
        <f t="shared" si="45"/>
        <v>0</v>
      </c>
      <c r="Q353">
        <f t="shared" si="46"/>
        <v>0</v>
      </c>
      <c r="R353" t="b">
        <v>1</v>
      </c>
      <c r="S353" t="s">
        <v>62</v>
      </c>
      <c r="T353" s="10">
        <v>0.404166666666667</v>
      </c>
      <c r="U353" s="10">
        <v>0.475694444444444</v>
      </c>
      <c r="V353">
        <v>103</v>
      </c>
      <c r="W353" t="b">
        <v>0</v>
      </c>
    </row>
    <row r="354" spans="1:24">
      <c r="A354">
        <v>353</v>
      </c>
      <c r="B354" t="s">
        <v>579</v>
      </c>
      <c r="C354" t="s">
        <v>16</v>
      </c>
      <c r="D354" s="9">
        <v>39964</v>
      </c>
      <c r="E354" s="9" t="str">
        <f t="shared" si="40"/>
        <v>below 20</v>
      </c>
      <c r="F354">
        <v>15</v>
      </c>
      <c r="G354" t="s">
        <v>17</v>
      </c>
      <c r="H354">
        <v>2</v>
      </c>
      <c r="I354" t="s">
        <v>111</v>
      </c>
      <c r="K354">
        <f t="shared" si="47"/>
        <v>0</v>
      </c>
      <c r="L354">
        <f t="shared" si="41"/>
        <v>1</v>
      </c>
      <c r="M354">
        <f t="shared" si="42"/>
        <v>0</v>
      </c>
      <c r="N354">
        <f t="shared" si="43"/>
        <v>0</v>
      </c>
      <c r="O354">
        <f t="shared" si="44"/>
        <v>0</v>
      </c>
      <c r="P354">
        <f t="shared" si="45"/>
        <v>0</v>
      </c>
      <c r="Q354">
        <f t="shared" si="46"/>
        <v>1</v>
      </c>
      <c r="R354" t="b">
        <v>0</v>
      </c>
      <c r="T354" s="10">
        <v>0.567361111111111</v>
      </c>
      <c r="U354" s="10">
        <v>0.634722222222222</v>
      </c>
      <c r="V354">
        <v>97</v>
      </c>
      <c r="W354" t="b">
        <v>1</v>
      </c>
      <c r="X354" t="s">
        <v>28</v>
      </c>
    </row>
    <row r="355" spans="1:24">
      <c r="A355">
        <v>354</v>
      </c>
      <c r="B355" t="s">
        <v>580</v>
      </c>
      <c r="C355" t="s">
        <v>16</v>
      </c>
      <c r="D355" s="9">
        <v>29377</v>
      </c>
      <c r="E355" s="9" t="str">
        <f t="shared" si="40"/>
        <v>41-50</v>
      </c>
      <c r="F355">
        <v>44</v>
      </c>
      <c r="G355" t="s">
        <v>17</v>
      </c>
      <c r="H355">
        <v>2</v>
      </c>
      <c r="I355" t="s">
        <v>133</v>
      </c>
      <c r="K355">
        <f t="shared" si="47"/>
        <v>1</v>
      </c>
      <c r="L355">
        <f t="shared" si="41"/>
        <v>0</v>
      </c>
      <c r="M355">
        <f t="shared" si="42"/>
        <v>1</v>
      </c>
      <c r="N355">
        <f t="shared" si="43"/>
        <v>0</v>
      </c>
      <c r="O355">
        <f t="shared" si="44"/>
        <v>0</v>
      </c>
      <c r="P355">
        <f t="shared" si="45"/>
        <v>0</v>
      </c>
      <c r="Q355">
        <f t="shared" si="46"/>
        <v>0</v>
      </c>
      <c r="R355" t="b">
        <v>1</v>
      </c>
      <c r="S355" t="s">
        <v>581</v>
      </c>
      <c r="T355" s="10">
        <v>0.717361111111111</v>
      </c>
      <c r="U355" s="10">
        <v>0.740277777777778</v>
      </c>
      <c r="V355">
        <v>33</v>
      </c>
      <c r="W355" t="b">
        <v>0</v>
      </c>
    </row>
    <row r="356" spans="1:24">
      <c r="A356">
        <v>355</v>
      </c>
      <c r="B356" t="s">
        <v>582</v>
      </c>
      <c r="C356" t="s">
        <v>25</v>
      </c>
      <c r="D356" s="9">
        <v>31821</v>
      </c>
      <c r="E356" s="9" t="str">
        <f t="shared" si="40"/>
        <v>31-41</v>
      </c>
      <c r="F356">
        <v>37</v>
      </c>
      <c r="G356" t="s">
        <v>21</v>
      </c>
      <c r="H356">
        <v>1</v>
      </c>
      <c r="I356" t="s">
        <v>59</v>
      </c>
      <c r="K356">
        <f t="shared" si="47"/>
        <v>0</v>
      </c>
      <c r="L356">
        <f t="shared" si="41"/>
        <v>0</v>
      </c>
      <c r="M356">
        <f t="shared" si="42"/>
        <v>0</v>
      </c>
      <c r="N356">
        <f t="shared" si="43"/>
        <v>0</v>
      </c>
      <c r="O356">
        <f t="shared" si="44"/>
        <v>0</v>
      </c>
      <c r="P356">
        <f t="shared" si="45"/>
        <v>0</v>
      </c>
      <c r="Q356">
        <f t="shared" si="46"/>
        <v>1</v>
      </c>
      <c r="R356" t="b">
        <v>1</v>
      </c>
      <c r="S356" t="s">
        <v>583</v>
      </c>
      <c r="T356" s="10">
        <v>0.697916666666667</v>
      </c>
      <c r="U356" s="10">
        <v>0.722222222222222</v>
      </c>
      <c r="V356">
        <v>35</v>
      </c>
      <c r="W356" t="b">
        <v>0</v>
      </c>
    </row>
    <row r="357" spans="1:24">
      <c r="A357">
        <v>356</v>
      </c>
      <c r="B357" t="s">
        <v>584</v>
      </c>
      <c r="C357" t="s">
        <v>25</v>
      </c>
      <c r="D357" s="9">
        <v>33737</v>
      </c>
      <c r="E357" s="9" t="str">
        <f t="shared" si="40"/>
        <v>31-41</v>
      </c>
      <c r="F357">
        <v>32</v>
      </c>
      <c r="G357" t="s">
        <v>21</v>
      </c>
      <c r="H357">
        <v>1</v>
      </c>
      <c r="I357" t="s">
        <v>35</v>
      </c>
      <c r="K357">
        <f t="shared" si="47"/>
        <v>0</v>
      </c>
      <c r="L357">
        <f t="shared" si="41"/>
        <v>0</v>
      </c>
      <c r="M357">
        <f t="shared" si="42"/>
        <v>1</v>
      </c>
      <c r="N357">
        <f t="shared" si="43"/>
        <v>0</v>
      </c>
      <c r="O357">
        <f t="shared" si="44"/>
        <v>0</v>
      </c>
      <c r="P357">
        <f t="shared" si="45"/>
        <v>0</v>
      </c>
      <c r="Q357">
        <f t="shared" si="46"/>
        <v>0</v>
      </c>
      <c r="R357" t="b">
        <v>1</v>
      </c>
      <c r="S357" t="s">
        <v>585</v>
      </c>
      <c r="T357" s="10">
        <v>0.780555555555556</v>
      </c>
      <c r="U357" s="10">
        <v>0.863888888888889</v>
      </c>
      <c r="V357">
        <v>120</v>
      </c>
      <c r="W357" t="b">
        <v>0</v>
      </c>
    </row>
    <row r="358" spans="1:24">
      <c r="A358">
        <v>357</v>
      </c>
      <c r="B358" t="s">
        <v>586</v>
      </c>
      <c r="C358" t="s">
        <v>16</v>
      </c>
      <c r="D358" s="9">
        <v>39341</v>
      </c>
      <c r="E358" s="9" t="str">
        <f t="shared" si="40"/>
        <v>below 20</v>
      </c>
      <c r="F358">
        <v>17</v>
      </c>
      <c r="G358" t="s">
        <v>21</v>
      </c>
      <c r="H358">
        <v>2</v>
      </c>
      <c r="I358" t="s">
        <v>461</v>
      </c>
      <c r="K358">
        <f t="shared" si="47"/>
        <v>0</v>
      </c>
      <c r="L358">
        <f t="shared" si="41"/>
        <v>0</v>
      </c>
      <c r="M358">
        <f t="shared" si="42"/>
        <v>0</v>
      </c>
      <c r="N358">
        <f t="shared" si="43"/>
        <v>0</v>
      </c>
      <c r="O358">
        <f t="shared" si="44"/>
        <v>1</v>
      </c>
      <c r="P358">
        <f t="shared" si="45"/>
        <v>1</v>
      </c>
      <c r="Q358">
        <f t="shared" si="46"/>
        <v>0</v>
      </c>
      <c r="R358" t="b">
        <v>1</v>
      </c>
      <c r="S358" t="s">
        <v>380</v>
      </c>
      <c r="T358" s="10">
        <v>0.871527777777778</v>
      </c>
      <c r="U358" s="10">
        <v>0.892361111111111</v>
      </c>
      <c r="V358">
        <v>30</v>
      </c>
      <c r="W358" t="b">
        <v>0</v>
      </c>
    </row>
    <row r="359" spans="1:24">
      <c r="A359">
        <v>358</v>
      </c>
      <c r="B359" t="s">
        <v>587</v>
      </c>
      <c r="C359" t="s">
        <v>16</v>
      </c>
      <c r="D359" s="9">
        <v>31985</v>
      </c>
      <c r="E359" s="9" t="str">
        <f t="shared" si="40"/>
        <v>31-41</v>
      </c>
      <c r="F359">
        <v>37</v>
      </c>
      <c r="G359" t="s">
        <v>21</v>
      </c>
      <c r="H359">
        <v>1</v>
      </c>
      <c r="I359" t="s">
        <v>185</v>
      </c>
      <c r="K359">
        <f t="shared" si="47"/>
        <v>0</v>
      </c>
      <c r="L359">
        <f t="shared" si="41"/>
        <v>0</v>
      </c>
      <c r="M359">
        <f t="shared" si="42"/>
        <v>0</v>
      </c>
      <c r="N359">
        <f t="shared" si="43"/>
        <v>1</v>
      </c>
      <c r="O359">
        <f t="shared" si="44"/>
        <v>0</v>
      </c>
      <c r="P359">
        <f t="shared" si="45"/>
        <v>0</v>
      </c>
      <c r="Q359">
        <f t="shared" si="46"/>
        <v>0</v>
      </c>
      <c r="R359" t="b">
        <v>1</v>
      </c>
      <c r="S359" t="s">
        <v>588</v>
      </c>
      <c r="T359" s="10">
        <v>0.754166666666667</v>
      </c>
      <c r="U359" s="10">
        <v>0.878472222222222</v>
      </c>
      <c r="V359">
        <v>179</v>
      </c>
      <c r="W359" t="b">
        <v>0</v>
      </c>
    </row>
    <row r="360" spans="1:24">
      <c r="A360">
        <v>359</v>
      </c>
      <c r="B360" t="s">
        <v>589</v>
      </c>
      <c r="C360" t="s">
        <v>16</v>
      </c>
      <c r="D360" s="9">
        <v>36196</v>
      </c>
      <c r="E360" s="9" t="str">
        <f t="shared" si="40"/>
        <v>20-30</v>
      </c>
      <c r="F360">
        <v>25</v>
      </c>
      <c r="G360" t="s">
        <v>21</v>
      </c>
      <c r="H360">
        <v>3</v>
      </c>
      <c r="I360" t="s">
        <v>37</v>
      </c>
      <c r="K360">
        <f t="shared" si="47"/>
        <v>1</v>
      </c>
      <c r="L360">
        <f t="shared" si="41"/>
        <v>1</v>
      </c>
      <c r="M360">
        <f t="shared" si="42"/>
        <v>0</v>
      </c>
      <c r="N360">
        <f t="shared" si="43"/>
        <v>0</v>
      </c>
      <c r="O360">
        <f t="shared" si="44"/>
        <v>0</v>
      </c>
      <c r="P360">
        <f t="shared" si="45"/>
        <v>0</v>
      </c>
      <c r="Q360">
        <f t="shared" si="46"/>
        <v>1</v>
      </c>
      <c r="R360" t="b">
        <v>0</v>
      </c>
      <c r="T360" s="10">
        <v>0.639583333333333</v>
      </c>
      <c r="U360" s="10">
        <v>0.6875</v>
      </c>
      <c r="V360">
        <v>69</v>
      </c>
      <c r="W360" t="b">
        <v>1</v>
      </c>
      <c r="X360" t="s">
        <v>50</v>
      </c>
    </row>
    <row r="361" spans="1:24">
      <c r="A361">
        <v>360</v>
      </c>
      <c r="B361" t="s">
        <v>590</v>
      </c>
      <c r="C361" t="s">
        <v>16</v>
      </c>
      <c r="D361" s="9">
        <v>33726</v>
      </c>
      <c r="E361" s="9" t="str">
        <f t="shared" si="40"/>
        <v>31-41</v>
      </c>
      <c r="F361">
        <v>32</v>
      </c>
      <c r="G361" t="s">
        <v>21</v>
      </c>
      <c r="H361">
        <v>2</v>
      </c>
      <c r="I361" t="s">
        <v>259</v>
      </c>
      <c r="K361">
        <f t="shared" si="47"/>
        <v>0</v>
      </c>
      <c r="L361">
        <f t="shared" si="41"/>
        <v>1</v>
      </c>
      <c r="M361">
        <f t="shared" si="42"/>
        <v>0</v>
      </c>
      <c r="N361">
        <f t="shared" si="43"/>
        <v>0</v>
      </c>
      <c r="O361">
        <f t="shared" si="44"/>
        <v>1</v>
      </c>
      <c r="P361">
        <f t="shared" si="45"/>
        <v>0</v>
      </c>
      <c r="Q361">
        <f t="shared" si="46"/>
        <v>0</v>
      </c>
      <c r="R361" t="b">
        <v>1</v>
      </c>
      <c r="S361" t="s">
        <v>114</v>
      </c>
      <c r="T361" s="10">
        <v>0.711111111111111</v>
      </c>
      <c r="U361" s="10">
        <v>0.759027777777778</v>
      </c>
      <c r="V361">
        <v>69</v>
      </c>
      <c r="W361" t="b">
        <v>1</v>
      </c>
      <c r="X361" t="s">
        <v>47</v>
      </c>
    </row>
    <row r="362" spans="1:24">
      <c r="A362">
        <v>361</v>
      </c>
      <c r="B362" t="s">
        <v>591</v>
      </c>
      <c r="C362" t="s">
        <v>16</v>
      </c>
      <c r="D362" s="9">
        <v>29355</v>
      </c>
      <c r="E362" s="9" t="str">
        <f t="shared" si="40"/>
        <v>41-50</v>
      </c>
      <c r="F362">
        <v>44</v>
      </c>
      <c r="G362" t="s">
        <v>21</v>
      </c>
      <c r="H362">
        <v>5</v>
      </c>
      <c r="I362" t="s">
        <v>283</v>
      </c>
      <c r="K362">
        <f t="shared" si="47"/>
        <v>1</v>
      </c>
      <c r="L362">
        <f t="shared" si="41"/>
        <v>1</v>
      </c>
      <c r="M362">
        <f t="shared" si="42"/>
        <v>1</v>
      </c>
      <c r="N362">
        <f t="shared" si="43"/>
        <v>0</v>
      </c>
      <c r="O362">
        <f t="shared" si="44"/>
        <v>1</v>
      </c>
      <c r="P362">
        <f t="shared" si="45"/>
        <v>1</v>
      </c>
      <c r="Q362">
        <f t="shared" si="46"/>
        <v>0</v>
      </c>
      <c r="R362" t="b">
        <v>1</v>
      </c>
      <c r="S362" t="s">
        <v>217</v>
      </c>
      <c r="T362" s="10">
        <v>0.836111111111111</v>
      </c>
      <c r="U362" s="10">
        <v>0.914583333333333</v>
      </c>
      <c r="V362">
        <v>113</v>
      </c>
      <c r="W362" t="b">
        <v>1</v>
      </c>
      <c r="X362" t="s">
        <v>28</v>
      </c>
    </row>
    <row r="363" spans="1:24">
      <c r="A363">
        <v>362</v>
      </c>
      <c r="B363" t="s">
        <v>592</v>
      </c>
      <c r="C363" t="s">
        <v>16</v>
      </c>
      <c r="D363" s="9">
        <v>31956</v>
      </c>
      <c r="E363" s="9" t="str">
        <f t="shared" si="40"/>
        <v>31-41</v>
      </c>
      <c r="F363">
        <v>37</v>
      </c>
      <c r="G363" t="s">
        <v>17</v>
      </c>
      <c r="H363">
        <v>4</v>
      </c>
      <c r="I363" t="s">
        <v>593</v>
      </c>
      <c r="K363">
        <f t="shared" si="47"/>
        <v>0</v>
      </c>
      <c r="L363">
        <f t="shared" si="41"/>
        <v>0</v>
      </c>
      <c r="M363">
        <f t="shared" si="42"/>
        <v>1</v>
      </c>
      <c r="N363">
        <f t="shared" si="43"/>
        <v>1</v>
      </c>
      <c r="O363">
        <f t="shared" si="44"/>
        <v>1</v>
      </c>
      <c r="P363">
        <f t="shared" si="45"/>
        <v>0</v>
      </c>
      <c r="Q363">
        <f t="shared" si="46"/>
        <v>1</v>
      </c>
      <c r="R363" t="b">
        <v>1</v>
      </c>
      <c r="S363" t="s">
        <v>594</v>
      </c>
      <c r="T363" s="10">
        <v>0.49375</v>
      </c>
      <c r="U363" s="10">
        <v>0.547916666666667</v>
      </c>
      <c r="V363">
        <v>78</v>
      </c>
      <c r="W363" t="b">
        <v>0</v>
      </c>
    </row>
    <row r="364" spans="1:24">
      <c r="A364">
        <v>363</v>
      </c>
      <c r="B364" t="s">
        <v>595</v>
      </c>
      <c r="C364" t="s">
        <v>25</v>
      </c>
      <c r="D364" s="9">
        <v>39138</v>
      </c>
      <c r="E364" s="9" t="str">
        <f t="shared" si="40"/>
        <v>below 20</v>
      </c>
      <c r="F364">
        <v>17</v>
      </c>
      <c r="G364" t="s">
        <v>21</v>
      </c>
      <c r="H364">
        <v>1</v>
      </c>
      <c r="I364" t="s">
        <v>59</v>
      </c>
      <c r="K364">
        <f t="shared" si="47"/>
        <v>0</v>
      </c>
      <c r="L364">
        <f t="shared" si="41"/>
        <v>0</v>
      </c>
      <c r="M364">
        <f t="shared" si="42"/>
        <v>0</v>
      </c>
      <c r="N364">
        <f t="shared" si="43"/>
        <v>0</v>
      </c>
      <c r="O364">
        <f t="shared" si="44"/>
        <v>0</v>
      </c>
      <c r="P364">
        <f t="shared" si="45"/>
        <v>0</v>
      </c>
      <c r="Q364">
        <f t="shared" si="46"/>
        <v>1</v>
      </c>
      <c r="R364" t="b">
        <v>1</v>
      </c>
      <c r="S364" t="s">
        <v>217</v>
      </c>
      <c r="T364" s="10">
        <v>0.511805555555556</v>
      </c>
      <c r="U364" s="10">
        <v>0.580555555555556</v>
      </c>
      <c r="V364">
        <v>99</v>
      </c>
      <c r="W364" t="b">
        <v>1</v>
      </c>
      <c r="X364" t="s">
        <v>23</v>
      </c>
    </row>
    <row r="365" spans="1:24">
      <c r="A365">
        <v>364</v>
      </c>
      <c r="B365" t="s">
        <v>596</v>
      </c>
      <c r="C365" t="s">
        <v>16</v>
      </c>
      <c r="D365" s="9">
        <v>33051</v>
      </c>
      <c r="E365" s="9" t="str">
        <f t="shared" si="40"/>
        <v>31-41</v>
      </c>
      <c r="F365">
        <v>34</v>
      </c>
      <c r="G365" t="s">
        <v>21</v>
      </c>
      <c r="H365">
        <v>3</v>
      </c>
      <c r="I365" t="s">
        <v>130</v>
      </c>
      <c r="K365">
        <f t="shared" si="47"/>
        <v>0</v>
      </c>
      <c r="L365">
        <f t="shared" si="41"/>
        <v>1</v>
      </c>
      <c r="M365">
        <f t="shared" si="42"/>
        <v>0</v>
      </c>
      <c r="N365">
        <f t="shared" si="43"/>
        <v>1</v>
      </c>
      <c r="O365">
        <f t="shared" si="44"/>
        <v>1</v>
      </c>
      <c r="P365">
        <f t="shared" si="45"/>
        <v>0</v>
      </c>
      <c r="Q365">
        <f t="shared" si="46"/>
        <v>0</v>
      </c>
      <c r="R365" t="b">
        <v>1</v>
      </c>
      <c r="S365" t="s">
        <v>93</v>
      </c>
      <c r="T365" s="10">
        <v>0.449305555555556</v>
      </c>
      <c r="U365" s="10">
        <v>0.472916666666667</v>
      </c>
      <c r="V365">
        <v>34</v>
      </c>
      <c r="W365" t="b">
        <v>1</v>
      </c>
      <c r="X365" t="s">
        <v>23</v>
      </c>
    </row>
    <row r="366" spans="1:24">
      <c r="A366">
        <v>365</v>
      </c>
      <c r="B366" t="s">
        <v>597</v>
      </c>
      <c r="C366" t="s">
        <v>16</v>
      </c>
      <c r="D366" s="9">
        <v>37888</v>
      </c>
      <c r="E366" s="9" t="str">
        <f t="shared" si="40"/>
        <v>20-30</v>
      </c>
      <c r="F366">
        <v>21</v>
      </c>
      <c r="G366" t="s">
        <v>17</v>
      </c>
      <c r="H366">
        <v>2</v>
      </c>
      <c r="I366" t="s">
        <v>203</v>
      </c>
      <c r="K366">
        <f t="shared" si="47"/>
        <v>1</v>
      </c>
      <c r="L366">
        <f t="shared" si="41"/>
        <v>0</v>
      </c>
      <c r="M366">
        <f t="shared" si="42"/>
        <v>0</v>
      </c>
      <c r="N366">
        <f t="shared" si="43"/>
        <v>0</v>
      </c>
      <c r="O366">
        <f t="shared" si="44"/>
        <v>0</v>
      </c>
      <c r="P366">
        <f t="shared" si="45"/>
        <v>1</v>
      </c>
      <c r="Q366">
        <f t="shared" si="46"/>
        <v>0</v>
      </c>
      <c r="R366" t="b">
        <v>1</v>
      </c>
      <c r="S366" t="s">
        <v>598</v>
      </c>
      <c r="T366" s="10">
        <v>0.777777777777778</v>
      </c>
      <c r="U366" s="10">
        <v>0.896527777777778</v>
      </c>
      <c r="V366">
        <v>171</v>
      </c>
      <c r="W366" t="b">
        <v>1</v>
      </c>
      <c r="X366" t="s">
        <v>50</v>
      </c>
    </row>
    <row r="367" spans="1:24">
      <c r="A367">
        <v>366</v>
      </c>
      <c r="B367" t="s">
        <v>599</v>
      </c>
      <c r="C367" t="s">
        <v>25</v>
      </c>
      <c r="D367" s="9">
        <v>29376</v>
      </c>
      <c r="E367" s="9" t="str">
        <f t="shared" si="40"/>
        <v>41-50</v>
      </c>
      <c r="F367">
        <v>44</v>
      </c>
      <c r="G367" t="s">
        <v>21</v>
      </c>
      <c r="H367">
        <v>3</v>
      </c>
      <c r="I367" t="s">
        <v>57</v>
      </c>
      <c r="K367">
        <f t="shared" si="47"/>
        <v>1</v>
      </c>
      <c r="L367">
        <f t="shared" si="41"/>
        <v>1</v>
      </c>
      <c r="M367">
        <f t="shared" si="42"/>
        <v>0</v>
      </c>
      <c r="N367">
        <f t="shared" si="43"/>
        <v>1</v>
      </c>
      <c r="O367">
        <f t="shared" si="44"/>
        <v>0</v>
      </c>
      <c r="P367">
        <f t="shared" si="45"/>
        <v>0</v>
      </c>
      <c r="Q367">
        <f t="shared" si="46"/>
        <v>0</v>
      </c>
      <c r="R367" t="b">
        <v>0</v>
      </c>
      <c r="T367" s="10">
        <v>0.438194444444444</v>
      </c>
      <c r="U367" s="10">
        <v>0.540277777777778</v>
      </c>
      <c r="V367">
        <v>147</v>
      </c>
      <c r="W367" t="b">
        <v>1</v>
      </c>
      <c r="X367" t="s">
        <v>23</v>
      </c>
    </row>
    <row r="368" spans="1:24">
      <c r="A368">
        <v>367</v>
      </c>
      <c r="B368" t="s">
        <v>600</v>
      </c>
      <c r="C368" t="s">
        <v>16</v>
      </c>
      <c r="D368" s="9">
        <v>35121</v>
      </c>
      <c r="E368" s="9" t="str">
        <f t="shared" si="40"/>
        <v>20-30</v>
      </c>
      <c r="F368">
        <v>28</v>
      </c>
      <c r="G368" t="s">
        <v>21</v>
      </c>
      <c r="H368">
        <v>2</v>
      </c>
      <c r="I368" t="s">
        <v>101</v>
      </c>
      <c r="K368">
        <f t="shared" si="47"/>
        <v>0</v>
      </c>
      <c r="L368">
        <f t="shared" si="41"/>
        <v>0</v>
      </c>
      <c r="M368">
        <f t="shared" si="42"/>
        <v>0</v>
      </c>
      <c r="N368">
        <f t="shared" si="43"/>
        <v>0</v>
      </c>
      <c r="O368">
        <f t="shared" si="44"/>
        <v>0</v>
      </c>
      <c r="P368">
        <f t="shared" si="45"/>
        <v>1</v>
      </c>
      <c r="Q368">
        <f t="shared" si="46"/>
        <v>1</v>
      </c>
      <c r="R368" t="b">
        <v>1</v>
      </c>
      <c r="S368" t="s">
        <v>601</v>
      </c>
      <c r="T368" s="10">
        <v>0.848611111111111</v>
      </c>
      <c r="U368" s="10">
        <v>0.877777777777778</v>
      </c>
      <c r="V368">
        <v>42</v>
      </c>
      <c r="W368" t="b">
        <v>0</v>
      </c>
    </row>
    <row r="369" spans="1:24">
      <c r="A369">
        <v>368</v>
      </c>
      <c r="B369" t="s">
        <v>602</v>
      </c>
      <c r="C369" t="s">
        <v>25</v>
      </c>
      <c r="D369" s="9">
        <v>37081</v>
      </c>
      <c r="E369" s="9" t="str">
        <f t="shared" si="40"/>
        <v>20-30</v>
      </c>
      <c r="F369">
        <v>23</v>
      </c>
      <c r="G369" t="s">
        <v>17</v>
      </c>
      <c r="H369">
        <v>1</v>
      </c>
      <c r="I369" t="s">
        <v>35</v>
      </c>
      <c r="K369">
        <f t="shared" si="47"/>
        <v>0</v>
      </c>
      <c r="L369">
        <f t="shared" si="41"/>
        <v>0</v>
      </c>
      <c r="M369">
        <f t="shared" si="42"/>
        <v>1</v>
      </c>
      <c r="N369">
        <f t="shared" si="43"/>
        <v>0</v>
      </c>
      <c r="O369">
        <f t="shared" si="44"/>
        <v>0</v>
      </c>
      <c r="P369">
        <f t="shared" si="45"/>
        <v>0</v>
      </c>
      <c r="Q369">
        <f t="shared" si="46"/>
        <v>0</v>
      </c>
      <c r="R369" t="b">
        <v>1</v>
      </c>
      <c r="S369" t="s">
        <v>603</v>
      </c>
      <c r="T369" s="10">
        <v>0.861805555555556</v>
      </c>
      <c r="U369" s="10">
        <v>0.938888888888889</v>
      </c>
      <c r="V369">
        <v>111</v>
      </c>
      <c r="W369" t="b">
        <v>1</v>
      </c>
      <c r="X369" t="s">
        <v>23</v>
      </c>
    </row>
    <row r="370" spans="1:24">
      <c r="A370">
        <v>369</v>
      </c>
      <c r="B370" t="s">
        <v>604</v>
      </c>
      <c r="C370" t="s">
        <v>25</v>
      </c>
      <c r="D370" s="9">
        <v>34828</v>
      </c>
      <c r="E370" s="9" t="str">
        <f t="shared" si="40"/>
        <v>20-30</v>
      </c>
      <c r="F370">
        <v>29</v>
      </c>
      <c r="G370" t="s">
        <v>17</v>
      </c>
      <c r="H370">
        <v>1</v>
      </c>
      <c r="I370" t="s">
        <v>46</v>
      </c>
      <c r="K370">
        <f t="shared" si="47"/>
        <v>0</v>
      </c>
      <c r="L370">
        <f t="shared" si="41"/>
        <v>1</v>
      </c>
      <c r="M370">
        <f t="shared" si="42"/>
        <v>0</v>
      </c>
      <c r="N370">
        <f t="shared" si="43"/>
        <v>0</v>
      </c>
      <c r="O370">
        <f t="shared" si="44"/>
        <v>0</v>
      </c>
      <c r="P370">
        <f t="shared" si="45"/>
        <v>0</v>
      </c>
      <c r="Q370">
        <f t="shared" si="46"/>
        <v>0</v>
      </c>
      <c r="R370" t="b">
        <v>1</v>
      </c>
      <c r="S370" t="s">
        <v>605</v>
      </c>
      <c r="T370" s="10">
        <v>0.723611111111111</v>
      </c>
      <c r="U370" s="10">
        <v>0.840972222222222</v>
      </c>
      <c r="V370">
        <v>169</v>
      </c>
      <c r="W370" t="b">
        <v>1</v>
      </c>
      <c r="X370" t="s">
        <v>47</v>
      </c>
    </row>
    <row r="371" spans="1:24">
      <c r="A371">
        <v>370</v>
      </c>
      <c r="B371" t="s">
        <v>606</v>
      </c>
      <c r="C371" t="s">
        <v>16</v>
      </c>
      <c r="D371" s="9">
        <v>35069</v>
      </c>
      <c r="E371" s="9" t="str">
        <f t="shared" si="40"/>
        <v>20-30</v>
      </c>
      <c r="F371">
        <v>28</v>
      </c>
      <c r="G371" t="s">
        <v>17</v>
      </c>
      <c r="H371">
        <v>1</v>
      </c>
      <c r="I371" t="s">
        <v>81</v>
      </c>
      <c r="K371">
        <f t="shared" si="47"/>
        <v>0</v>
      </c>
      <c r="L371">
        <f t="shared" si="41"/>
        <v>0</v>
      </c>
      <c r="M371">
        <f t="shared" si="42"/>
        <v>0</v>
      </c>
      <c r="N371">
        <f t="shared" si="43"/>
        <v>0</v>
      </c>
      <c r="O371">
        <f t="shared" si="44"/>
        <v>0</v>
      </c>
      <c r="P371">
        <f t="shared" si="45"/>
        <v>1</v>
      </c>
      <c r="Q371">
        <f t="shared" si="46"/>
        <v>0</v>
      </c>
      <c r="R371" t="b">
        <v>1</v>
      </c>
      <c r="S371" t="s">
        <v>607</v>
      </c>
      <c r="T371" s="10">
        <v>0.547222222222222</v>
      </c>
      <c r="U371" s="10">
        <v>0.663888888888889</v>
      </c>
      <c r="V371">
        <v>168</v>
      </c>
      <c r="W371" t="b">
        <v>1</v>
      </c>
      <c r="X371" t="s">
        <v>50</v>
      </c>
    </row>
    <row r="372" spans="1:24">
      <c r="A372">
        <v>371</v>
      </c>
      <c r="B372" t="s">
        <v>608</v>
      </c>
      <c r="C372" t="s">
        <v>25</v>
      </c>
      <c r="D372" s="9">
        <v>37766</v>
      </c>
      <c r="E372" s="9" t="str">
        <f t="shared" si="40"/>
        <v>20-30</v>
      </c>
      <c r="F372">
        <v>21</v>
      </c>
      <c r="G372" t="s">
        <v>17</v>
      </c>
      <c r="H372">
        <v>2</v>
      </c>
      <c r="I372" t="s">
        <v>72</v>
      </c>
      <c r="K372">
        <f t="shared" si="47"/>
        <v>0</v>
      </c>
      <c r="L372">
        <f t="shared" si="41"/>
        <v>0</v>
      </c>
      <c r="M372">
        <f t="shared" si="42"/>
        <v>0</v>
      </c>
      <c r="N372">
        <f t="shared" si="43"/>
        <v>0</v>
      </c>
      <c r="O372">
        <f t="shared" si="44"/>
        <v>1</v>
      </c>
      <c r="P372">
        <f t="shared" si="45"/>
        <v>0</v>
      </c>
      <c r="Q372">
        <f t="shared" si="46"/>
        <v>1</v>
      </c>
      <c r="R372" t="b">
        <v>0</v>
      </c>
      <c r="T372" s="10">
        <v>0.840277777777778</v>
      </c>
      <c r="U372" s="10">
        <v>0.904166666666667</v>
      </c>
      <c r="V372">
        <v>92</v>
      </c>
      <c r="W372" t="b">
        <v>0</v>
      </c>
    </row>
    <row r="373" spans="1:24">
      <c r="A373">
        <v>372</v>
      </c>
      <c r="B373" t="s">
        <v>609</v>
      </c>
      <c r="C373" t="s">
        <v>16</v>
      </c>
      <c r="D373" s="9">
        <v>28773</v>
      </c>
      <c r="E373" s="9" t="str">
        <f t="shared" si="40"/>
        <v>41-50</v>
      </c>
      <c r="F373">
        <v>45</v>
      </c>
      <c r="G373" t="s">
        <v>17</v>
      </c>
      <c r="H373">
        <v>5</v>
      </c>
      <c r="I373" t="s">
        <v>88</v>
      </c>
      <c r="K373">
        <f t="shared" si="47"/>
        <v>0</v>
      </c>
      <c r="L373">
        <f t="shared" si="41"/>
        <v>1</v>
      </c>
      <c r="M373">
        <f t="shared" si="42"/>
        <v>0</v>
      </c>
      <c r="N373">
        <f t="shared" si="43"/>
        <v>1</v>
      </c>
      <c r="O373">
        <f t="shared" si="44"/>
        <v>1</v>
      </c>
      <c r="P373">
        <f t="shared" si="45"/>
        <v>1</v>
      </c>
      <c r="Q373">
        <f t="shared" si="46"/>
        <v>1</v>
      </c>
      <c r="R373" t="b">
        <v>1</v>
      </c>
      <c r="S373" t="s">
        <v>610</v>
      </c>
      <c r="T373" s="10">
        <v>0.470833333333333</v>
      </c>
      <c r="U373" s="10">
        <v>0.492361111111111</v>
      </c>
      <c r="V373">
        <v>31</v>
      </c>
      <c r="W373" t="b">
        <v>1</v>
      </c>
      <c r="X373" t="s">
        <v>47</v>
      </c>
    </row>
    <row r="374" spans="1:24">
      <c r="A374">
        <v>373</v>
      </c>
      <c r="B374" t="s">
        <v>611</v>
      </c>
      <c r="C374" t="s">
        <v>16</v>
      </c>
      <c r="D374" s="9">
        <v>33476</v>
      </c>
      <c r="E374" s="9" t="str">
        <f t="shared" si="40"/>
        <v>31-41</v>
      </c>
      <c r="F374">
        <v>33</v>
      </c>
      <c r="G374" t="s">
        <v>17</v>
      </c>
      <c r="H374">
        <v>2</v>
      </c>
      <c r="I374" t="s">
        <v>138</v>
      </c>
      <c r="K374">
        <f t="shared" si="47"/>
        <v>0</v>
      </c>
      <c r="L374">
        <f t="shared" si="41"/>
        <v>0</v>
      </c>
      <c r="M374">
        <f t="shared" si="42"/>
        <v>1</v>
      </c>
      <c r="N374">
        <f t="shared" si="43"/>
        <v>0</v>
      </c>
      <c r="O374">
        <f t="shared" si="44"/>
        <v>0</v>
      </c>
      <c r="P374">
        <f t="shared" si="45"/>
        <v>1</v>
      </c>
      <c r="Q374">
        <f t="shared" si="46"/>
        <v>0</v>
      </c>
      <c r="R374" t="b">
        <v>1</v>
      </c>
      <c r="S374" t="s">
        <v>83</v>
      </c>
      <c r="T374" s="10">
        <v>0.369444444444444</v>
      </c>
      <c r="U374" s="10">
        <v>0.4875</v>
      </c>
      <c r="V374">
        <v>170</v>
      </c>
      <c r="W374" t="b">
        <v>0</v>
      </c>
    </row>
    <row r="375" spans="1:24">
      <c r="A375">
        <v>374</v>
      </c>
      <c r="B375" t="s">
        <v>612</v>
      </c>
      <c r="C375" t="s">
        <v>16</v>
      </c>
      <c r="D375" s="9">
        <v>31032</v>
      </c>
      <c r="E375" s="9" t="str">
        <f t="shared" si="40"/>
        <v>31-41</v>
      </c>
      <c r="F375">
        <v>39</v>
      </c>
      <c r="G375" t="s">
        <v>17</v>
      </c>
      <c r="H375">
        <v>2</v>
      </c>
      <c r="I375" t="s">
        <v>69</v>
      </c>
      <c r="K375">
        <f t="shared" si="47"/>
        <v>0</v>
      </c>
      <c r="L375">
        <f t="shared" si="41"/>
        <v>0</v>
      </c>
      <c r="M375">
        <f t="shared" si="42"/>
        <v>0</v>
      </c>
      <c r="N375">
        <f t="shared" si="43"/>
        <v>1</v>
      </c>
      <c r="O375">
        <f t="shared" si="44"/>
        <v>0</v>
      </c>
      <c r="P375">
        <f t="shared" si="45"/>
        <v>0</v>
      </c>
      <c r="Q375">
        <f t="shared" si="46"/>
        <v>1</v>
      </c>
      <c r="R375" t="b">
        <v>1</v>
      </c>
      <c r="S375" t="s">
        <v>230</v>
      </c>
      <c r="T375" s="10">
        <v>0.738194444444444</v>
      </c>
      <c r="U375" s="10">
        <v>0.759027777777778</v>
      </c>
      <c r="V375">
        <v>30</v>
      </c>
      <c r="W375" t="b">
        <v>1</v>
      </c>
      <c r="X375" t="s">
        <v>23</v>
      </c>
    </row>
    <row r="376" spans="1:24">
      <c r="A376">
        <v>375</v>
      </c>
      <c r="B376" t="s">
        <v>613</v>
      </c>
      <c r="C376" t="s">
        <v>25</v>
      </c>
      <c r="D376" s="9">
        <v>36143</v>
      </c>
      <c r="E376" s="9" t="str">
        <f t="shared" si="40"/>
        <v>20-30</v>
      </c>
      <c r="F376">
        <v>25</v>
      </c>
      <c r="G376" t="s">
        <v>17</v>
      </c>
      <c r="H376">
        <v>2</v>
      </c>
      <c r="I376" t="s">
        <v>195</v>
      </c>
      <c r="K376">
        <f t="shared" si="47"/>
        <v>1</v>
      </c>
      <c r="L376">
        <f t="shared" si="41"/>
        <v>1</v>
      </c>
      <c r="M376">
        <f t="shared" si="42"/>
        <v>0</v>
      </c>
      <c r="N376">
        <f t="shared" si="43"/>
        <v>0</v>
      </c>
      <c r="O376">
        <f t="shared" si="44"/>
        <v>0</v>
      </c>
      <c r="P376">
        <f t="shared" si="45"/>
        <v>0</v>
      </c>
      <c r="Q376">
        <f t="shared" si="46"/>
        <v>0</v>
      </c>
      <c r="R376" t="b">
        <v>0</v>
      </c>
      <c r="T376" s="10">
        <v>0.704166666666667</v>
      </c>
      <c r="U376" s="10">
        <v>0.775</v>
      </c>
      <c r="V376">
        <v>102</v>
      </c>
      <c r="W376" t="b">
        <v>1</v>
      </c>
      <c r="X376" t="s">
        <v>28</v>
      </c>
    </row>
    <row r="377" spans="1:24">
      <c r="A377">
        <v>376</v>
      </c>
      <c r="B377" t="s">
        <v>614</v>
      </c>
      <c r="C377" t="s">
        <v>16</v>
      </c>
      <c r="D377" s="9">
        <v>34909</v>
      </c>
      <c r="E377" s="9" t="str">
        <f t="shared" si="40"/>
        <v>20-30</v>
      </c>
      <c r="F377">
        <v>29</v>
      </c>
      <c r="G377" t="s">
        <v>17</v>
      </c>
      <c r="H377">
        <v>3</v>
      </c>
      <c r="I377" t="s">
        <v>295</v>
      </c>
      <c r="K377">
        <f t="shared" si="47"/>
        <v>1</v>
      </c>
      <c r="L377">
        <f t="shared" si="41"/>
        <v>0</v>
      </c>
      <c r="M377">
        <f t="shared" si="42"/>
        <v>0</v>
      </c>
      <c r="N377">
        <f t="shared" si="43"/>
        <v>0</v>
      </c>
      <c r="O377">
        <f t="shared" si="44"/>
        <v>1</v>
      </c>
      <c r="P377">
        <f t="shared" si="45"/>
        <v>0</v>
      </c>
      <c r="Q377">
        <f t="shared" si="46"/>
        <v>1</v>
      </c>
      <c r="R377" t="b">
        <v>1</v>
      </c>
      <c r="S377" t="s">
        <v>44</v>
      </c>
      <c r="T377" s="10">
        <v>0.844444444444444</v>
      </c>
      <c r="U377" s="10">
        <v>0.920138888888889</v>
      </c>
      <c r="V377">
        <v>109</v>
      </c>
      <c r="W377" t="b">
        <v>0</v>
      </c>
    </row>
    <row r="378" spans="1:24">
      <c r="A378">
        <v>377</v>
      </c>
      <c r="B378" t="s">
        <v>615</v>
      </c>
      <c r="C378" t="s">
        <v>25</v>
      </c>
      <c r="D378" s="9">
        <v>33159</v>
      </c>
      <c r="E378" s="9" t="str">
        <f t="shared" si="40"/>
        <v>31-41</v>
      </c>
      <c r="F378">
        <v>33</v>
      </c>
      <c r="G378" t="s">
        <v>17</v>
      </c>
      <c r="H378">
        <v>3</v>
      </c>
      <c r="I378" t="s">
        <v>92</v>
      </c>
      <c r="K378">
        <f t="shared" si="47"/>
        <v>0</v>
      </c>
      <c r="L378">
        <f t="shared" si="41"/>
        <v>1</v>
      </c>
      <c r="M378">
        <f t="shared" si="42"/>
        <v>0</v>
      </c>
      <c r="N378">
        <f t="shared" si="43"/>
        <v>1</v>
      </c>
      <c r="O378">
        <f t="shared" si="44"/>
        <v>0</v>
      </c>
      <c r="P378">
        <f t="shared" si="45"/>
        <v>1</v>
      </c>
      <c r="Q378">
        <f t="shared" si="46"/>
        <v>0</v>
      </c>
      <c r="R378" t="b">
        <v>0</v>
      </c>
      <c r="T378" s="10">
        <v>0.608333333333333</v>
      </c>
      <c r="U378" s="10">
        <v>0.720833333333333</v>
      </c>
      <c r="V378">
        <v>162</v>
      </c>
      <c r="W378" t="b">
        <v>1</v>
      </c>
      <c r="X378" t="s">
        <v>28</v>
      </c>
    </row>
    <row r="379" spans="1:24">
      <c r="A379">
        <v>378</v>
      </c>
      <c r="B379" t="s">
        <v>616</v>
      </c>
      <c r="C379" t="s">
        <v>25</v>
      </c>
      <c r="D379" s="9">
        <v>30916</v>
      </c>
      <c r="E379" s="9" t="str">
        <f t="shared" si="40"/>
        <v>31-41</v>
      </c>
      <c r="F379">
        <v>40</v>
      </c>
      <c r="G379" t="s">
        <v>17</v>
      </c>
      <c r="H379">
        <v>2</v>
      </c>
      <c r="I379" t="s">
        <v>72</v>
      </c>
      <c r="K379">
        <f t="shared" si="47"/>
        <v>0</v>
      </c>
      <c r="L379">
        <f t="shared" si="41"/>
        <v>0</v>
      </c>
      <c r="M379">
        <f t="shared" si="42"/>
        <v>0</v>
      </c>
      <c r="N379">
        <f t="shared" si="43"/>
        <v>0</v>
      </c>
      <c r="O379">
        <f t="shared" si="44"/>
        <v>1</v>
      </c>
      <c r="P379">
        <f t="shared" si="45"/>
        <v>0</v>
      </c>
      <c r="Q379">
        <f t="shared" si="46"/>
        <v>1</v>
      </c>
      <c r="R379" t="b">
        <v>1</v>
      </c>
      <c r="S379" t="s">
        <v>617</v>
      </c>
      <c r="T379" s="10">
        <v>0.786111111111111</v>
      </c>
      <c r="U379" s="10">
        <v>0.870833333333333</v>
      </c>
      <c r="V379">
        <v>122</v>
      </c>
      <c r="W379" t="b">
        <v>0</v>
      </c>
    </row>
    <row r="380" spans="1:24">
      <c r="A380">
        <v>379</v>
      </c>
      <c r="B380" t="s">
        <v>618</v>
      </c>
      <c r="C380" t="s">
        <v>16</v>
      </c>
      <c r="D380" s="9">
        <v>40244</v>
      </c>
      <c r="E380" s="9" t="str">
        <f t="shared" si="40"/>
        <v>below 20</v>
      </c>
      <c r="F380">
        <v>14</v>
      </c>
      <c r="G380" t="s">
        <v>17</v>
      </c>
      <c r="H380">
        <v>3</v>
      </c>
      <c r="I380" t="s">
        <v>241</v>
      </c>
      <c r="K380">
        <f t="shared" si="47"/>
        <v>0</v>
      </c>
      <c r="L380">
        <f t="shared" si="41"/>
        <v>0</v>
      </c>
      <c r="M380">
        <f t="shared" si="42"/>
        <v>1</v>
      </c>
      <c r="N380">
        <f t="shared" si="43"/>
        <v>1</v>
      </c>
      <c r="O380">
        <f t="shared" si="44"/>
        <v>1</v>
      </c>
      <c r="P380">
        <f t="shared" si="45"/>
        <v>0</v>
      </c>
      <c r="Q380">
        <f t="shared" si="46"/>
        <v>0</v>
      </c>
      <c r="R380" t="b">
        <v>0</v>
      </c>
      <c r="T380" s="10">
        <v>0.353472222222222</v>
      </c>
      <c r="U380" s="10">
        <v>0.382638888888889</v>
      </c>
      <c r="V380">
        <v>42</v>
      </c>
      <c r="W380" t="b">
        <v>0</v>
      </c>
    </row>
    <row r="381" spans="1:24">
      <c r="A381">
        <v>380</v>
      </c>
      <c r="B381" t="s">
        <v>619</v>
      </c>
      <c r="C381" t="s">
        <v>25</v>
      </c>
      <c r="D381" s="9">
        <v>29739</v>
      </c>
      <c r="E381" s="9" t="str">
        <f t="shared" si="40"/>
        <v>41-50</v>
      </c>
      <c r="F381">
        <v>43</v>
      </c>
      <c r="G381" t="s">
        <v>21</v>
      </c>
      <c r="H381">
        <v>1</v>
      </c>
      <c r="I381" t="s">
        <v>46</v>
      </c>
      <c r="K381">
        <f t="shared" si="47"/>
        <v>0</v>
      </c>
      <c r="L381">
        <f t="shared" si="41"/>
        <v>1</v>
      </c>
      <c r="M381">
        <f t="shared" si="42"/>
        <v>0</v>
      </c>
      <c r="N381">
        <f t="shared" si="43"/>
        <v>0</v>
      </c>
      <c r="O381">
        <f t="shared" si="44"/>
        <v>0</v>
      </c>
      <c r="P381">
        <f t="shared" si="45"/>
        <v>0</v>
      </c>
      <c r="Q381">
        <f t="shared" si="46"/>
        <v>0</v>
      </c>
      <c r="R381" t="b">
        <v>0</v>
      </c>
      <c r="T381" s="10">
        <v>0.818055555555556</v>
      </c>
      <c r="U381" s="10">
        <v>0.938888888888889</v>
      </c>
      <c r="V381">
        <v>174</v>
      </c>
      <c r="W381" t="b">
        <v>0</v>
      </c>
    </row>
    <row r="382" spans="1:24">
      <c r="A382">
        <v>381</v>
      </c>
      <c r="B382" t="s">
        <v>620</v>
      </c>
      <c r="C382" t="s">
        <v>25</v>
      </c>
      <c r="D382" s="9">
        <v>36001</v>
      </c>
      <c r="E382" s="9" t="str">
        <f t="shared" si="40"/>
        <v>20-30</v>
      </c>
      <c r="F382">
        <v>26</v>
      </c>
      <c r="G382" t="s">
        <v>17</v>
      </c>
      <c r="H382">
        <v>5</v>
      </c>
      <c r="I382" t="s">
        <v>192</v>
      </c>
      <c r="K382">
        <f t="shared" si="47"/>
        <v>1</v>
      </c>
      <c r="L382">
        <f t="shared" si="41"/>
        <v>1</v>
      </c>
      <c r="M382">
        <f t="shared" si="42"/>
        <v>1</v>
      </c>
      <c r="N382">
        <f t="shared" si="43"/>
        <v>0</v>
      </c>
      <c r="O382">
        <f t="shared" si="44"/>
        <v>0</v>
      </c>
      <c r="P382">
        <f t="shared" si="45"/>
        <v>1</v>
      </c>
      <c r="Q382">
        <f t="shared" si="46"/>
        <v>1</v>
      </c>
      <c r="R382" t="b">
        <v>0</v>
      </c>
      <c r="T382" s="10">
        <v>0.750694444444444</v>
      </c>
      <c r="U382" s="10">
        <v>0.781944444444444</v>
      </c>
      <c r="V382">
        <v>45</v>
      </c>
      <c r="W382" t="b">
        <v>0</v>
      </c>
    </row>
    <row r="383" spans="1:24">
      <c r="A383">
        <v>382</v>
      </c>
      <c r="B383" t="s">
        <v>621</v>
      </c>
      <c r="C383" t="s">
        <v>25</v>
      </c>
      <c r="D383" s="9">
        <v>28830</v>
      </c>
      <c r="E383" s="9" t="str">
        <f t="shared" si="40"/>
        <v>41-50</v>
      </c>
      <c r="F383">
        <v>45</v>
      </c>
      <c r="G383" t="s">
        <v>17</v>
      </c>
      <c r="H383">
        <v>2</v>
      </c>
      <c r="I383" t="s">
        <v>69</v>
      </c>
      <c r="K383">
        <f t="shared" si="47"/>
        <v>0</v>
      </c>
      <c r="L383">
        <f t="shared" si="41"/>
        <v>0</v>
      </c>
      <c r="M383">
        <f t="shared" si="42"/>
        <v>0</v>
      </c>
      <c r="N383">
        <f t="shared" si="43"/>
        <v>1</v>
      </c>
      <c r="O383">
        <f t="shared" si="44"/>
        <v>0</v>
      </c>
      <c r="P383">
        <f t="shared" si="45"/>
        <v>0</v>
      </c>
      <c r="Q383">
        <f t="shared" si="46"/>
        <v>1</v>
      </c>
      <c r="R383" t="b">
        <v>1</v>
      </c>
      <c r="S383" t="s">
        <v>230</v>
      </c>
      <c r="T383" s="10">
        <v>0.597222222222222</v>
      </c>
      <c r="U383" s="10">
        <v>0.661111111111111</v>
      </c>
      <c r="V383">
        <v>92</v>
      </c>
      <c r="W383" t="b">
        <v>1</v>
      </c>
      <c r="X383" t="s">
        <v>50</v>
      </c>
    </row>
    <row r="384" spans="1:24">
      <c r="A384">
        <v>383</v>
      </c>
      <c r="B384" t="s">
        <v>622</v>
      </c>
      <c r="C384" t="s">
        <v>16</v>
      </c>
      <c r="D384" s="9">
        <v>36035</v>
      </c>
      <c r="E384" s="9" t="str">
        <f t="shared" si="40"/>
        <v>20-30</v>
      </c>
      <c r="F384">
        <v>26</v>
      </c>
      <c r="G384" t="s">
        <v>21</v>
      </c>
      <c r="H384">
        <v>2</v>
      </c>
      <c r="I384" t="s">
        <v>69</v>
      </c>
      <c r="K384">
        <f t="shared" si="47"/>
        <v>0</v>
      </c>
      <c r="L384">
        <f t="shared" si="41"/>
        <v>0</v>
      </c>
      <c r="M384">
        <f t="shared" si="42"/>
        <v>0</v>
      </c>
      <c r="N384">
        <f t="shared" si="43"/>
        <v>1</v>
      </c>
      <c r="O384">
        <f t="shared" si="44"/>
        <v>0</v>
      </c>
      <c r="P384">
        <f t="shared" si="45"/>
        <v>0</v>
      </c>
      <c r="Q384">
        <f t="shared" si="46"/>
        <v>1</v>
      </c>
      <c r="R384" t="b">
        <v>0</v>
      </c>
      <c r="T384" s="10">
        <v>0.851388888888889</v>
      </c>
      <c r="U384" s="10">
        <v>0.923611111111111</v>
      </c>
      <c r="V384">
        <v>104</v>
      </c>
      <c r="W384" t="b">
        <v>1</v>
      </c>
      <c r="X384" t="s">
        <v>23</v>
      </c>
    </row>
    <row r="385" spans="1:24">
      <c r="A385">
        <v>384</v>
      </c>
      <c r="B385" t="s">
        <v>623</v>
      </c>
      <c r="C385" t="s">
        <v>16</v>
      </c>
      <c r="D385" s="9">
        <v>35958</v>
      </c>
      <c r="E385" s="9" t="str">
        <f t="shared" si="40"/>
        <v>20-30</v>
      </c>
      <c r="F385">
        <v>26</v>
      </c>
      <c r="G385" t="s">
        <v>17</v>
      </c>
      <c r="H385">
        <v>3</v>
      </c>
      <c r="I385" t="s">
        <v>106</v>
      </c>
      <c r="K385">
        <f t="shared" si="47"/>
        <v>1</v>
      </c>
      <c r="L385">
        <f t="shared" si="41"/>
        <v>1</v>
      </c>
      <c r="M385">
        <f t="shared" si="42"/>
        <v>0</v>
      </c>
      <c r="N385">
        <f t="shared" si="43"/>
        <v>0</v>
      </c>
      <c r="O385">
        <f t="shared" si="44"/>
        <v>1</v>
      </c>
      <c r="P385">
        <f t="shared" si="45"/>
        <v>0</v>
      </c>
      <c r="Q385">
        <f t="shared" si="46"/>
        <v>0</v>
      </c>
      <c r="R385" t="b">
        <v>1</v>
      </c>
      <c r="S385" t="s">
        <v>624</v>
      </c>
      <c r="T385" s="10">
        <v>0.732638888888889</v>
      </c>
      <c r="U385" s="10">
        <v>0.772222222222222</v>
      </c>
      <c r="V385">
        <v>57</v>
      </c>
      <c r="W385" t="b">
        <v>0</v>
      </c>
    </row>
    <row r="386" spans="1:24">
      <c r="A386">
        <v>385</v>
      </c>
      <c r="B386" t="s">
        <v>625</v>
      </c>
      <c r="C386" t="s">
        <v>16</v>
      </c>
      <c r="D386" s="9">
        <v>39459</v>
      </c>
      <c r="E386" s="9" t="str">
        <f t="shared" ref="E386:E449" si="48">IF(F386&lt;20,"below 20",IF(F386&lt;=30,"20-30",IF(F386&lt;=40,"31-41",IF(F386&lt;=50,"41-50","above 50"))))</f>
        <v>below 20</v>
      </c>
      <c r="F386">
        <v>16</v>
      </c>
      <c r="G386" t="s">
        <v>17</v>
      </c>
      <c r="H386">
        <v>3</v>
      </c>
      <c r="I386" t="s">
        <v>150</v>
      </c>
      <c r="K386">
        <f t="shared" si="47"/>
        <v>0</v>
      </c>
      <c r="L386">
        <f t="shared" si="41"/>
        <v>1</v>
      </c>
      <c r="M386">
        <f t="shared" si="42"/>
        <v>0</v>
      </c>
      <c r="N386">
        <f t="shared" si="43"/>
        <v>1</v>
      </c>
      <c r="O386">
        <f t="shared" si="44"/>
        <v>0</v>
      </c>
      <c r="P386">
        <f t="shared" si="45"/>
        <v>0</v>
      </c>
      <c r="Q386">
        <f t="shared" si="46"/>
        <v>1</v>
      </c>
      <c r="R386" t="b">
        <v>1</v>
      </c>
      <c r="S386" t="s">
        <v>626</v>
      </c>
      <c r="T386" s="10">
        <v>0.53125</v>
      </c>
      <c r="U386" s="10">
        <v>0.604861111111111</v>
      </c>
      <c r="V386">
        <v>106</v>
      </c>
      <c r="W386" t="b">
        <v>1</v>
      </c>
      <c r="X386" t="s">
        <v>50</v>
      </c>
    </row>
    <row r="387" spans="1:24">
      <c r="A387">
        <v>386</v>
      </c>
      <c r="B387" t="s">
        <v>627</v>
      </c>
      <c r="C387" t="s">
        <v>25</v>
      </c>
      <c r="D387" s="9">
        <v>27554</v>
      </c>
      <c r="E387" s="9" t="str">
        <f t="shared" si="48"/>
        <v>41-50</v>
      </c>
      <c r="F387">
        <v>49</v>
      </c>
      <c r="G387" t="s">
        <v>17</v>
      </c>
      <c r="H387">
        <v>1</v>
      </c>
      <c r="I387" t="s">
        <v>35</v>
      </c>
      <c r="K387">
        <f t="shared" si="47"/>
        <v>0</v>
      </c>
      <c r="L387">
        <f t="shared" ref="L387:L450" si="49">--ISNUMBER(SEARCH("Mon",I387))</f>
        <v>0</v>
      </c>
      <c r="M387">
        <f t="shared" ref="M387:M450" si="50">--ISNUMBER(SEARCH("Tue",I387))</f>
        <v>1</v>
      </c>
      <c r="N387">
        <f t="shared" ref="N387:N450" si="51">--ISNUMBER(SEARCH("Wed",I387))</f>
        <v>0</v>
      </c>
      <c r="O387">
        <f t="shared" ref="O387:O450" si="52">--ISNUMBER(SEARCH("Thu",I387))</f>
        <v>0</v>
      </c>
      <c r="P387">
        <f t="shared" ref="P387:P450" si="53">--ISNUMBER(SEARCH("Fri",I387))</f>
        <v>0</v>
      </c>
      <c r="Q387">
        <f t="shared" ref="Q387:Q450" si="54">--ISNUMBER(SEARCH("Sat",I387))</f>
        <v>0</v>
      </c>
      <c r="R387" t="b">
        <v>1</v>
      </c>
      <c r="S387" t="s">
        <v>628</v>
      </c>
      <c r="T387" s="10">
        <v>0.545833333333333</v>
      </c>
      <c r="U387" s="10">
        <v>0.58125</v>
      </c>
      <c r="V387">
        <v>51</v>
      </c>
      <c r="W387" t="b">
        <v>1</v>
      </c>
      <c r="X387" t="s">
        <v>50</v>
      </c>
    </row>
    <row r="388" spans="1:24">
      <c r="A388">
        <v>387</v>
      </c>
      <c r="B388" t="s">
        <v>629</v>
      </c>
      <c r="C388" t="s">
        <v>25</v>
      </c>
      <c r="D388" s="9">
        <v>36041</v>
      </c>
      <c r="E388" s="9" t="str">
        <f t="shared" si="48"/>
        <v>20-30</v>
      </c>
      <c r="F388">
        <v>26</v>
      </c>
      <c r="G388" t="s">
        <v>17</v>
      </c>
      <c r="H388">
        <v>2</v>
      </c>
      <c r="I388" t="s">
        <v>138</v>
      </c>
      <c r="K388">
        <f t="shared" si="47"/>
        <v>0</v>
      </c>
      <c r="L388">
        <f t="shared" si="49"/>
        <v>0</v>
      </c>
      <c r="M388">
        <f t="shared" si="50"/>
        <v>1</v>
      </c>
      <c r="N388">
        <f t="shared" si="51"/>
        <v>0</v>
      </c>
      <c r="O388">
        <f t="shared" si="52"/>
        <v>0</v>
      </c>
      <c r="P388">
        <f t="shared" si="53"/>
        <v>1</v>
      </c>
      <c r="Q388">
        <f t="shared" si="54"/>
        <v>0</v>
      </c>
      <c r="R388" t="b">
        <v>1</v>
      </c>
      <c r="S388" t="s">
        <v>453</v>
      </c>
      <c r="T388" s="10">
        <v>0.797222222222222</v>
      </c>
      <c r="U388" s="10">
        <v>0.893055555555556</v>
      </c>
      <c r="V388">
        <v>138</v>
      </c>
      <c r="W388" t="b">
        <v>1</v>
      </c>
      <c r="X388" t="s">
        <v>47</v>
      </c>
    </row>
    <row r="389" spans="1:24">
      <c r="A389">
        <v>388</v>
      </c>
      <c r="B389" t="s">
        <v>630</v>
      </c>
      <c r="C389" t="s">
        <v>25</v>
      </c>
      <c r="D389" s="9">
        <v>38428</v>
      </c>
      <c r="E389" s="9" t="str">
        <f t="shared" si="48"/>
        <v>below 20</v>
      </c>
      <c r="F389">
        <v>19</v>
      </c>
      <c r="G389" t="s">
        <v>21</v>
      </c>
      <c r="H389">
        <v>2</v>
      </c>
      <c r="I389" t="s">
        <v>101</v>
      </c>
      <c r="K389">
        <f t="shared" ref="K389:K452" si="55">--ISNUMBER(SEARCH("Sun",I389))</f>
        <v>0</v>
      </c>
      <c r="L389">
        <f t="shared" si="49"/>
        <v>0</v>
      </c>
      <c r="M389">
        <f t="shared" si="50"/>
        <v>0</v>
      </c>
      <c r="N389">
        <f t="shared" si="51"/>
        <v>0</v>
      </c>
      <c r="O389">
        <f t="shared" si="52"/>
        <v>0</v>
      </c>
      <c r="P389">
        <f t="shared" si="53"/>
        <v>1</v>
      </c>
      <c r="Q389">
        <f t="shared" si="54"/>
        <v>1</v>
      </c>
      <c r="R389" t="b">
        <v>1</v>
      </c>
      <c r="S389" t="s">
        <v>631</v>
      </c>
      <c r="T389" s="10">
        <v>0.849305555555556</v>
      </c>
      <c r="U389" s="10">
        <v>0.894444444444444</v>
      </c>
      <c r="V389">
        <v>65</v>
      </c>
      <c r="W389" t="b">
        <v>1</v>
      </c>
      <c r="X389" t="s">
        <v>47</v>
      </c>
    </row>
    <row r="390" spans="1:24">
      <c r="A390">
        <v>389</v>
      </c>
      <c r="B390" t="s">
        <v>632</v>
      </c>
      <c r="C390" t="s">
        <v>16</v>
      </c>
      <c r="D390" s="9">
        <v>33035</v>
      </c>
      <c r="E390" s="9" t="str">
        <f t="shared" si="48"/>
        <v>31-41</v>
      </c>
      <c r="F390">
        <v>34</v>
      </c>
      <c r="G390" t="s">
        <v>17</v>
      </c>
      <c r="H390">
        <v>1</v>
      </c>
      <c r="I390" t="s">
        <v>59</v>
      </c>
      <c r="K390">
        <f t="shared" si="55"/>
        <v>0</v>
      </c>
      <c r="L390">
        <f t="shared" si="49"/>
        <v>0</v>
      </c>
      <c r="M390">
        <f t="shared" si="50"/>
        <v>0</v>
      </c>
      <c r="N390">
        <f t="shared" si="51"/>
        <v>0</v>
      </c>
      <c r="O390">
        <f t="shared" si="52"/>
        <v>0</v>
      </c>
      <c r="P390">
        <f t="shared" si="53"/>
        <v>0</v>
      </c>
      <c r="Q390">
        <f t="shared" si="54"/>
        <v>1</v>
      </c>
      <c r="R390" t="b">
        <v>1</v>
      </c>
      <c r="S390" t="s">
        <v>124</v>
      </c>
      <c r="T390" s="10">
        <v>0.747916666666667</v>
      </c>
      <c r="U390" s="10">
        <v>0.790972222222222</v>
      </c>
      <c r="V390">
        <v>62</v>
      </c>
      <c r="W390" t="b">
        <v>1</v>
      </c>
      <c r="X390" t="s">
        <v>23</v>
      </c>
    </row>
    <row r="391" spans="1:24">
      <c r="A391">
        <v>390</v>
      </c>
      <c r="B391" t="s">
        <v>633</v>
      </c>
      <c r="C391" t="s">
        <v>16</v>
      </c>
      <c r="D391" s="9">
        <v>41164</v>
      </c>
      <c r="E391" s="9" t="str">
        <f t="shared" si="48"/>
        <v>below 20</v>
      </c>
      <c r="F391">
        <v>12</v>
      </c>
      <c r="G391" t="s">
        <v>21</v>
      </c>
      <c r="H391">
        <v>3</v>
      </c>
      <c r="I391" t="s">
        <v>148</v>
      </c>
      <c r="K391">
        <f t="shared" si="55"/>
        <v>0</v>
      </c>
      <c r="L391">
        <f t="shared" si="49"/>
        <v>0</v>
      </c>
      <c r="M391">
        <f t="shared" si="50"/>
        <v>0</v>
      </c>
      <c r="N391">
        <f t="shared" si="51"/>
        <v>1</v>
      </c>
      <c r="O391">
        <f t="shared" si="52"/>
        <v>1</v>
      </c>
      <c r="P391">
        <f t="shared" si="53"/>
        <v>1</v>
      </c>
      <c r="Q391">
        <f t="shared" si="54"/>
        <v>0</v>
      </c>
      <c r="R391" t="b">
        <v>0</v>
      </c>
      <c r="T391" s="10">
        <v>0.374305555555556</v>
      </c>
      <c r="U391" s="10">
        <v>0.400694444444444</v>
      </c>
      <c r="V391">
        <v>38</v>
      </c>
      <c r="W391" t="b">
        <v>1</v>
      </c>
      <c r="X391" t="s">
        <v>50</v>
      </c>
    </row>
    <row r="392" spans="1:24">
      <c r="A392">
        <v>391</v>
      </c>
      <c r="B392" t="s">
        <v>634</v>
      </c>
      <c r="C392" t="s">
        <v>16</v>
      </c>
      <c r="D392" s="9">
        <v>35832</v>
      </c>
      <c r="E392" s="9" t="str">
        <f t="shared" si="48"/>
        <v>20-30</v>
      </c>
      <c r="F392">
        <v>26</v>
      </c>
      <c r="G392" t="s">
        <v>21</v>
      </c>
      <c r="H392">
        <v>5</v>
      </c>
      <c r="I392" t="s">
        <v>192</v>
      </c>
      <c r="K392">
        <f t="shared" si="55"/>
        <v>1</v>
      </c>
      <c r="L392">
        <f t="shared" si="49"/>
        <v>1</v>
      </c>
      <c r="M392">
        <f t="shared" si="50"/>
        <v>1</v>
      </c>
      <c r="N392">
        <f t="shared" si="51"/>
        <v>0</v>
      </c>
      <c r="O392">
        <f t="shared" si="52"/>
        <v>0</v>
      </c>
      <c r="P392">
        <f t="shared" si="53"/>
        <v>1</v>
      </c>
      <c r="Q392">
        <f t="shared" si="54"/>
        <v>1</v>
      </c>
      <c r="R392" t="b">
        <v>0</v>
      </c>
      <c r="T392" s="10">
        <v>0.565277777777778</v>
      </c>
      <c r="U392" s="10">
        <v>0.656944444444444</v>
      </c>
      <c r="V392">
        <v>132</v>
      </c>
      <c r="W392" t="b">
        <v>0</v>
      </c>
    </row>
    <row r="393" spans="1:24">
      <c r="A393">
        <v>392</v>
      </c>
      <c r="B393" t="s">
        <v>635</v>
      </c>
      <c r="C393" t="s">
        <v>16</v>
      </c>
      <c r="D393" s="9">
        <v>31185</v>
      </c>
      <c r="E393" s="9" t="str">
        <f t="shared" si="48"/>
        <v>31-41</v>
      </c>
      <c r="F393">
        <v>39</v>
      </c>
      <c r="G393" t="s">
        <v>21</v>
      </c>
      <c r="H393">
        <v>2</v>
      </c>
      <c r="I393" t="s">
        <v>259</v>
      </c>
      <c r="K393">
        <f t="shared" si="55"/>
        <v>0</v>
      </c>
      <c r="L393">
        <f t="shared" si="49"/>
        <v>1</v>
      </c>
      <c r="M393">
        <f t="shared" si="50"/>
        <v>0</v>
      </c>
      <c r="N393">
        <f t="shared" si="51"/>
        <v>0</v>
      </c>
      <c r="O393">
        <f t="shared" si="52"/>
        <v>1</v>
      </c>
      <c r="P393">
        <f t="shared" si="53"/>
        <v>0</v>
      </c>
      <c r="Q393">
        <f t="shared" si="54"/>
        <v>0</v>
      </c>
      <c r="R393" t="b">
        <v>1</v>
      </c>
      <c r="S393" t="s">
        <v>93</v>
      </c>
      <c r="T393" s="10">
        <v>0.350694444444444</v>
      </c>
      <c r="U393" s="10">
        <v>0.447222222222222</v>
      </c>
      <c r="V393">
        <v>139</v>
      </c>
      <c r="W393" t="b">
        <v>1</v>
      </c>
      <c r="X393" t="s">
        <v>47</v>
      </c>
    </row>
    <row r="394" spans="1:24">
      <c r="A394">
        <v>393</v>
      </c>
      <c r="B394" t="s">
        <v>636</v>
      </c>
      <c r="C394" t="s">
        <v>16</v>
      </c>
      <c r="D394" s="9">
        <v>30556</v>
      </c>
      <c r="E394" s="9" t="str">
        <f t="shared" si="48"/>
        <v>41-50</v>
      </c>
      <c r="F394">
        <v>41</v>
      </c>
      <c r="G394" t="s">
        <v>21</v>
      </c>
      <c r="H394">
        <v>4</v>
      </c>
      <c r="I394" t="s">
        <v>637</v>
      </c>
      <c r="K394">
        <f t="shared" si="55"/>
        <v>1</v>
      </c>
      <c r="L394">
        <f t="shared" si="49"/>
        <v>0</v>
      </c>
      <c r="M394">
        <f t="shared" si="50"/>
        <v>0</v>
      </c>
      <c r="N394">
        <f t="shared" si="51"/>
        <v>1</v>
      </c>
      <c r="O394">
        <f t="shared" si="52"/>
        <v>1</v>
      </c>
      <c r="P394">
        <f t="shared" si="53"/>
        <v>0</v>
      </c>
      <c r="Q394">
        <f t="shared" si="54"/>
        <v>1</v>
      </c>
      <c r="R394" t="b">
        <v>1</v>
      </c>
      <c r="S394" t="s">
        <v>638</v>
      </c>
      <c r="T394" s="10">
        <v>0.422916666666667</v>
      </c>
      <c r="U394" s="10">
        <v>0.520833333333333</v>
      </c>
      <c r="V394">
        <v>141</v>
      </c>
      <c r="W394" t="b">
        <v>0</v>
      </c>
    </row>
    <row r="395" spans="1:24">
      <c r="A395">
        <v>394</v>
      </c>
      <c r="B395" t="s">
        <v>639</v>
      </c>
      <c r="C395" t="s">
        <v>16</v>
      </c>
      <c r="D395" s="9">
        <v>39216</v>
      </c>
      <c r="E395" s="9" t="str">
        <f t="shared" si="48"/>
        <v>below 20</v>
      </c>
      <c r="F395">
        <v>17</v>
      </c>
      <c r="G395" t="s">
        <v>17</v>
      </c>
      <c r="H395">
        <v>2</v>
      </c>
      <c r="I395" t="s">
        <v>40</v>
      </c>
      <c r="K395">
        <f t="shared" si="55"/>
        <v>1</v>
      </c>
      <c r="L395">
        <f t="shared" si="49"/>
        <v>0</v>
      </c>
      <c r="M395">
        <f t="shared" si="50"/>
        <v>0</v>
      </c>
      <c r="N395">
        <f t="shared" si="51"/>
        <v>0</v>
      </c>
      <c r="O395">
        <f t="shared" si="52"/>
        <v>0</v>
      </c>
      <c r="P395">
        <f t="shared" si="53"/>
        <v>0</v>
      </c>
      <c r="Q395">
        <f t="shared" si="54"/>
        <v>1</v>
      </c>
      <c r="R395" t="b">
        <v>0</v>
      </c>
      <c r="T395" s="10">
        <v>0.395833333333333</v>
      </c>
      <c r="U395" s="10">
        <v>0.485416666666667</v>
      </c>
      <c r="V395">
        <v>129</v>
      </c>
      <c r="W395" t="b">
        <v>1</v>
      </c>
      <c r="X395" t="s">
        <v>50</v>
      </c>
    </row>
    <row r="396" spans="1:24">
      <c r="A396">
        <v>395</v>
      </c>
      <c r="B396" t="s">
        <v>640</v>
      </c>
      <c r="C396" t="s">
        <v>16</v>
      </c>
      <c r="D396" s="9">
        <v>34999</v>
      </c>
      <c r="E396" s="9" t="str">
        <f t="shared" si="48"/>
        <v>20-30</v>
      </c>
      <c r="F396">
        <v>28</v>
      </c>
      <c r="G396" t="s">
        <v>21</v>
      </c>
      <c r="H396">
        <v>3</v>
      </c>
      <c r="I396" t="s">
        <v>315</v>
      </c>
      <c r="K396">
        <f t="shared" si="55"/>
        <v>0</v>
      </c>
      <c r="L396">
        <f t="shared" si="49"/>
        <v>0</v>
      </c>
      <c r="M396">
        <f t="shared" si="50"/>
        <v>1</v>
      </c>
      <c r="N396">
        <f t="shared" si="51"/>
        <v>0</v>
      </c>
      <c r="O396">
        <f t="shared" si="52"/>
        <v>1</v>
      </c>
      <c r="P396">
        <f t="shared" si="53"/>
        <v>0</v>
      </c>
      <c r="Q396">
        <f t="shared" si="54"/>
        <v>1</v>
      </c>
      <c r="R396" t="b">
        <v>0</v>
      </c>
      <c r="T396" s="10">
        <v>0.832638888888889</v>
      </c>
      <c r="U396" s="10">
        <v>0.874305555555556</v>
      </c>
      <c r="V396">
        <v>60</v>
      </c>
      <c r="W396" t="b">
        <v>1</v>
      </c>
      <c r="X396" t="s">
        <v>23</v>
      </c>
    </row>
    <row r="397" spans="1:24">
      <c r="A397">
        <v>396</v>
      </c>
      <c r="B397" t="s">
        <v>641</v>
      </c>
      <c r="C397" t="s">
        <v>16</v>
      </c>
      <c r="D397" s="9">
        <v>31729</v>
      </c>
      <c r="E397" s="9" t="str">
        <f t="shared" si="48"/>
        <v>31-41</v>
      </c>
      <c r="F397">
        <v>37</v>
      </c>
      <c r="G397" t="s">
        <v>17</v>
      </c>
      <c r="H397">
        <v>3</v>
      </c>
      <c r="I397" t="s">
        <v>315</v>
      </c>
      <c r="K397">
        <f t="shared" si="55"/>
        <v>0</v>
      </c>
      <c r="L397">
        <f t="shared" si="49"/>
        <v>0</v>
      </c>
      <c r="M397">
        <f t="shared" si="50"/>
        <v>1</v>
      </c>
      <c r="N397">
        <f t="shared" si="51"/>
        <v>0</v>
      </c>
      <c r="O397">
        <f t="shared" si="52"/>
        <v>1</v>
      </c>
      <c r="P397">
        <f t="shared" si="53"/>
        <v>0</v>
      </c>
      <c r="Q397">
        <f t="shared" si="54"/>
        <v>1</v>
      </c>
      <c r="R397" t="b">
        <v>0</v>
      </c>
      <c r="T397" s="10">
        <v>0.547222222222222</v>
      </c>
      <c r="U397" s="10">
        <v>0.593055555555556</v>
      </c>
      <c r="V397">
        <v>66</v>
      </c>
      <c r="W397" t="b">
        <v>0</v>
      </c>
    </row>
    <row r="398" spans="1:24">
      <c r="A398">
        <v>397</v>
      </c>
      <c r="B398" t="s">
        <v>642</v>
      </c>
      <c r="C398" t="s">
        <v>16</v>
      </c>
      <c r="D398" s="9">
        <v>33407</v>
      </c>
      <c r="E398" s="9" t="str">
        <f t="shared" si="48"/>
        <v>31-41</v>
      </c>
      <c r="F398">
        <v>33</v>
      </c>
      <c r="G398" t="s">
        <v>21</v>
      </c>
      <c r="H398">
        <v>3</v>
      </c>
      <c r="I398" t="s">
        <v>52</v>
      </c>
      <c r="K398">
        <f t="shared" si="55"/>
        <v>0</v>
      </c>
      <c r="L398">
        <f t="shared" si="49"/>
        <v>1</v>
      </c>
      <c r="M398">
        <f t="shared" si="50"/>
        <v>1</v>
      </c>
      <c r="N398">
        <f t="shared" si="51"/>
        <v>0</v>
      </c>
      <c r="O398">
        <f t="shared" si="52"/>
        <v>0</v>
      </c>
      <c r="P398">
        <f t="shared" si="53"/>
        <v>0</v>
      </c>
      <c r="Q398">
        <f t="shared" si="54"/>
        <v>1</v>
      </c>
      <c r="R398" t="b">
        <v>0</v>
      </c>
      <c r="T398" s="10">
        <v>0.365972222222222</v>
      </c>
      <c r="U398" s="10">
        <v>0.420138888888889</v>
      </c>
      <c r="V398">
        <v>78</v>
      </c>
      <c r="W398" t="b">
        <v>0</v>
      </c>
    </row>
    <row r="399" spans="1:24">
      <c r="A399">
        <v>398</v>
      </c>
      <c r="B399" t="s">
        <v>643</v>
      </c>
      <c r="C399" t="s">
        <v>16</v>
      </c>
      <c r="D399" s="9">
        <v>29034</v>
      </c>
      <c r="E399" s="9" t="str">
        <f t="shared" si="48"/>
        <v>41-50</v>
      </c>
      <c r="F399">
        <v>45</v>
      </c>
      <c r="G399" t="s">
        <v>17</v>
      </c>
      <c r="H399">
        <v>2</v>
      </c>
      <c r="I399" t="s">
        <v>306</v>
      </c>
      <c r="K399">
        <f t="shared" si="55"/>
        <v>1</v>
      </c>
      <c r="L399">
        <f t="shared" si="49"/>
        <v>0</v>
      </c>
      <c r="M399">
        <f t="shared" si="50"/>
        <v>0</v>
      </c>
      <c r="N399">
        <f t="shared" si="51"/>
        <v>0</v>
      </c>
      <c r="O399">
        <f t="shared" si="52"/>
        <v>1</v>
      </c>
      <c r="P399">
        <f t="shared" si="53"/>
        <v>0</v>
      </c>
      <c r="Q399">
        <f t="shared" si="54"/>
        <v>0</v>
      </c>
      <c r="R399" t="b">
        <v>1</v>
      </c>
      <c r="S399" t="s">
        <v>114</v>
      </c>
      <c r="T399" s="10">
        <v>0.442361111111111</v>
      </c>
      <c r="U399" s="10">
        <v>0.494444444444444</v>
      </c>
      <c r="V399">
        <v>75</v>
      </c>
      <c r="W399" t="b">
        <v>1</v>
      </c>
      <c r="X399" t="s">
        <v>50</v>
      </c>
    </row>
    <row r="400" spans="1:24">
      <c r="A400">
        <v>399</v>
      </c>
      <c r="B400" t="s">
        <v>644</v>
      </c>
      <c r="C400" t="s">
        <v>25</v>
      </c>
      <c r="D400" s="9">
        <v>39150</v>
      </c>
      <c r="E400" s="9" t="str">
        <f t="shared" si="48"/>
        <v>below 20</v>
      </c>
      <c r="F400">
        <v>17</v>
      </c>
      <c r="G400" t="s">
        <v>17</v>
      </c>
      <c r="H400">
        <v>2</v>
      </c>
      <c r="I400" t="s">
        <v>40</v>
      </c>
      <c r="K400">
        <f t="shared" si="55"/>
        <v>1</v>
      </c>
      <c r="L400">
        <f t="shared" si="49"/>
        <v>0</v>
      </c>
      <c r="M400">
        <f t="shared" si="50"/>
        <v>0</v>
      </c>
      <c r="N400">
        <f t="shared" si="51"/>
        <v>0</v>
      </c>
      <c r="O400">
        <f t="shared" si="52"/>
        <v>0</v>
      </c>
      <c r="P400">
        <f t="shared" si="53"/>
        <v>0</v>
      </c>
      <c r="Q400">
        <f t="shared" si="54"/>
        <v>1</v>
      </c>
      <c r="R400" t="b">
        <v>0</v>
      </c>
      <c r="T400" s="10">
        <v>0.359722222222222</v>
      </c>
      <c r="U400" s="10">
        <v>0.414583333333333</v>
      </c>
      <c r="V400">
        <v>79</v>
      </c>
      <c r="W400" t="b">
        <v>1</v>
      </c>
      <c r="X400" t="s">
        <v>28</v>
      </c>
    </row>
    <row r="401" spans="1:24">
      <c r="A401">
        <v>400</v>
      </c>
      <c r="B401" t="s">
        <v>645</v>
      </c>
      <c r="C401" t="s">
        <v>25</v>
      </c>
      <c r="D401" s="9">
        <v>34652</v>
      </c>
      <c r="E401" s="9" t="str">
        <f t="shared" si="48"/>
        <v>20-30</v>
      </c>
      <c r="F401">
        <v>29</v>
      </c>
      <c r="G401" t="s">
        <v>21</v>
      </c>
      <c r="H401">
        <v>3</v>
      </c>
      <c r="I401" t="s">
        <v>161</v>
      </c>
      <c r="K401">
        <f t="shared" si="55"/>
        <v>0</v>
      </c>
      <c r="L401">
        <f t="shared" si="49"/>
        <v>0</v>
      </c>
      <c r="M401">
        <f t="shared" si="50"/>
        <v>0</v>
      </c>
      <c r="N401">
        <f t="shared" si="51"/>
        <v>0</v>
      </c>
      <c r="O401">
        <f t="shared" si="52"/>
        <v>1</v>
      </c>
      <c r="P401">
        <f t="shared" si="53"/>
        <v>1</v>
      </c>
      <c r="Q401">
        <f t="shared" si="54"/>
        <v>1</v>
      </c>
      <c r="R401" t="b">
        <v>1</v>
      </c>
      <c r="S401" t="s">
        <v>646</v>
      </c>
      <c r="T401" s="10">
        <v>0.543055555555556</v>
      </c>
      <c r="U401" s="10">
        <v>0.631944444444444</v>
      </c>
      <c r="V401">
        <v>128</v>
      </c>
      <c r="W401" t="b">
        <v>0</v>
      </c>
    </row>
    <row r="402" spans="1:24">
      <c r="A402">
        <v>401</v>
      </c>
      <c r="B402" t="s">
        <v>647</v>
      </c>
      <c r="C402" t="s">
        <v>16</v>
      </c>
      <c r="D402" s="9">
        <v>38271</v>
      </c>
      <c r="E402" s="9" t="str">
        <f t="shared" si="48"/>
        <v>below 20</v>
      </c>
      <c r="F402">
        <v>19</v>
      </c>
      <c r="G402" t="s">
        <v>17</v>
      </c>
      <c r="H402">
        <v>1</v>
      </c>
      <c r="I402" t="s">
        <v>81</v>
      </c>
      <c r="K402">
        <f t="shared" si="55"/>
        <v>0</v>
      </c>
      <c r="L402">
        <f t="shared" si="49"/>
        <v>0</v>
      </c>
      <c r="M402">
        <f t="shared" si="50"/>
        <v>0</v>
      </c>
      <c r="N402">
        <f t="shared" si="51"/>
        <v>0</v>
      </c>
      <c r="O402">
        <f t="shared" si="52"/>
        <v>0</v>
      </c>
      <c r="P402">
        <f t="shared" si="53"/>
        <v>1</v>
      </c>
      <c r="Q402">
        <f t="shared" si="54"/>
        <v>0</v>
      </c>
      <c r="R402" t="b">
        <v>0</v>
      </c>
      <c r="T402" s="10">
        <v>0.744444444444444</v>
      </c>
      <c r="U402" s="10">
        <v>0.774305555555555</v>
      </c>
      <c r="V402">
        <v>43</v>
      </c>
      <c r="W402" t="b">
        <v>1</v>
      </c>
      <c r="X402" t="s">
        <v>50</v>
      </c>
    </row>
    <row r="403" spans="1:24">
      <c r="A403">
        <v>402</v>
      </c>
      <c r="B403" t="s">
        <v>648</v>
      </c>
      <c r="C403" t="s">
        <v>16</v>
      </c>
      <c r="D403" s="9">
        <v>39254</v>
      </c>
      <c r="E403" s="9" t="str">
        <f t="shared" si="48"/>
        <v>below 20</v>
      </c>
      <c r="F403">
        <v>17</v>
      </c>
      <c r="G403" t="s">
        <v>17</v>
      </c>
      <c r="H403">
        <v>2</v>
      </c>
      <c r="I403" t="s">
        <v>306</v>
      </c>
      <c r="K403">
        <f t="shared" si="55"/>
        <v>1</v>
      </c>
      <c r="L403">
        <f t="shared" si="49"/>
        <v>0</v>
      </c>
      <c r="M403">
        <f t="shared" si="50"/>
        <v>0</v>
      </c>
      <c r="N403">
        <f t="shared" si="51"/>
        <v>0</v>
      </c>
      <c r="O403">
        <f t="shared" si="52"/>
        <v>1</v>
      </c>
      <c r="P403">
        <f t="shared" si="53"/>
        <v>0</v>
      </c>
      <c r="Q403">
        <f t="shared" si="54"/>
        <v>0</v>
      </c>
      <c r="R403" t="b">
        <v>1</v>
      </c>
      <c r="S403" t="s">
        <v>649</v>
      </c>
      <c r="T403" s="10">
        <v>0.706944444444444</v>
      </c>
      <c r="U403" s="10">
        <v>0.757638888888889</v>
      </c>
      <c r="V403">
        <v>73</v>
      </c>
      <c r="W403" t="b">
        <v>0</v>
      </c>
    </row>
    <row r="404" spans="1:24">
      <c r="A404">
        <v>403</v>
      </c>
      <c r="B404" t="s">
        <v>650</v>
      </c>
      <c r="C404" t="s">
        <v>16</v>
      </c>
      <c r="D404" s="9">
        <v>39420</v>
      </c>
      <c r="E404" s="9" t="str">
        <f t="shared" si="48"/>
        <v>below 20</v>
      </c>
      <c r="F404">
        <v>16</v>
      </c>
      <c r="G404" t="s">
        <v>17</v>
      </c>
      <c r="H404">
        <v>3</v>
      </c>
      <c r="I404" t="s">
        <v>164</v>
      </c>
      <c r="K404">
        <f t="shared" si="55"/>
        <v>0</v>
      </c>
      <c r="L404">
        <f t="shared" si="49"/>
        <v>0</v>
      </c>
      <c r="M404">
        <f t="shared" si="50"/>
        <v>1</v>
      </c>
      <c r="N404">
        <f t="shared" si="51"/>
        <v>0</v>
      </c>
      <c r="O404">
        <f t="shared" si="52"/>
        <v>1</v>
      </c>
      <c r="P404">
        <f t="shared" si="53"/>
        <v>1</v>
      </c>
      <c r="Q404">
        <f t="shared" si="54"/>
        <v>0</v>
      </c>
      <c r="R404" t="b">
        <v>0</v>
      </c>
      <c r="T404" s="10">
        <v>0.635416666666667</v>
      </c>
      <c r="U404" s="10">
        <v>0.675694444444444</v>
      </c>
      <c r="V404">
        <v>58</v>
      </c>
      <c r="W404" t="b">
        <v>1</v>
      </c>
      <c r="X404" t="s">
        <v>23</v>
      </c>
    </row>
    <row r="405" spans="1:24">
      <c r="A405">
        <v>404</v>
      </c>
      <c r="B405" t="s">
        <v>651</v>
      </c>
      <c r="C405" t="s">
        <v>16</v>
      </c>
      <c r="D405" s="9">
        <v>40034</v>
      </c>
      <c r="E405" s="9" t="str">
        <f t="shared" si="48"/>
        <v>below 20</v>
      </c>
      <c r="F405">
        <v>15</v>
      </c>
      <c r="G405" t="s">
        <v>17</v>
      </c>
      <c r="H405">
        <v>3</v>
      </c>
      <c r="I405" t="s">
        <v>513</v>
      </c>
      <c r="K405">
        <f t="shared" si="55"/>
        <v>1</v>
      </c>
      <c r="L405">
        <f t="shared" si="49"/>
        <v>0</v>
      </c>
      <c r="M405">
        <f t="shared" si="50"/>
        <v>1</v>
      </c>
      <c r="N405">
        <f t="shared" si="51"/>
        <v>0</v>
      </c>
      <c r="O405">
        <f t="shared" si="52"/>
        <v>0</v>
      </c>
      <c r="P405">
        <f t="shared" si="53"/>
        <v>0</v>
      </c>
      <c r="Q405">
        <f t="shared" si="54"/>
        <v>1</v>
      </c>
      <c r="R405" t="b">
        <v>1</v>
      </c>
      <c r="S405" t="s">
        <v>552</v>
      </c>
      <c r="T405" s="10">
        <v>0.459722222222222</v>
      </c>
      <c r="U405" s="10">
        <v>0.488888888888889</v>
      </c>
      <c r="V405">
        <v>42</v>
      </c>
      <c r="W405" t="b">
        <v>1</v>
      </c>
      <c r="X405" t="s">
        <v>23</v>
      </c>
    </row>
    <row r="406" spans="1:24">
      <c r="A406">
        <v>405</v>
      </c>
      <c r="B406" t="s">
        <v>652</v>
      </c>
      <c r="C406" t="s">
        <v>25</v>
      </c>
      <c r="D406" s="9">
        <v>35525</v>
      </c>
      <c r="E406" s="9" t="str">
        <f t="shared" si="48"/>
        <v>20-30</v>
      </c>
      <c r="F406">
        <v>27</v>
      </c>
      <c r="G406" t="s">
        <v>17</v>
      </c>
      <c r="H406">
        <v>2</v>
      </c>
      <c r="I406" t="s">
        <v>210</v>
      </c>
      <c r="K406">
        <f t="shared" si="55"/>
        <v>0</v>
      </c>
      <c r="L406">
        <f t="shared" si="49"/>
        <v>1</v>
      </c>
      <c r="M406">
        <f t="shared" si="50"/>
        <v>0</v>
      </c>
      <c r="N406">
        <f t="shared" si="51"/>
        <v>0</v>
      </c>
      <c r="O406">
        <f t="shared" si="52"/>
        <v>0</v>
      </c>
      <c r="P406">
        <f t="shared" si="53"/>
        <v>1</v>
      </c>
      <c r="Q406">
        <f t="shared" si="54"/>
        <v>0</v>
      </c>
      <c r="R406" t="b">
        <v>1</v>
      </c>
      <c r="S406" t="s">
        <v>287</v>
      </c>
      <c r="T406" s="10">
        <v>0.690972222222222</v>
      </c>
      <c r="U406" s="10">
        <v>0.793055555555556</v>
      </c>
      <c r="V406">
        <v>147</v>
      </c>
      <c r="W406" t="b">
        <v>1</v>
      </c>
      <c r="X406" t="s">
        <v>47</v>
      </c>
    </row>
    <row r="407" spans="1:24">
      <c r="A407">
        <v>406</v>
      </c>
      <c r="B407" t="s">
        <v>653</v>
      </c>
      <c r="C407" t="s">
        <v>16</v>
      </c>
      <c r="D407" s="9">
        <v>35957</v>
      </c>
      <c r="E407" s="9" t="str">
        <f t="shared" si="48"/>
        <v>20-30</v>
      </c>
      <c r="F407">
        <v>26</v>
      </c>
      <c r="G407" t="s">
        <v>21</v>
      </c>
      <c r="H407">
        <v>4</v>
      </c>
      <c r="I407" t="s">
        <v>520</v>
      </c>
      <c r="K407">
        <f t="shared" si="55"/>
        <v>0</v>
      </c>
      <c r="L407">
        <f t="shared" si="49"/>
        <v>1</v>
      </c>
      <c r="M407">
        <f t="shared" si="50"/>
        <v>0</v>
      </c>
      <c r="N407">
        <f t="shared" si="51"/>
        <v>1</v>
      </c>
      <c r="O407">
        <f t="shared" si="52"/>
        <v>1</v>
      </c>
      <c r="P407">
        <f t="shared" si="53"/>
        <v>1</v>
      </c>
      <c r="Q407">
        <f t="shared" si="54"/>
        <v>0</v>
      </c>
      <c r="R407" t="b">
        <v>1</v>
      </c>
      <c r="S407" t="s">
        <v>654</v>
      </c>
      <c r="T407" s="10">
        <v>0.54375</v>
      </c>
      <c r="U407" s="10">
        <v>0.584027777777778</v>
      </c>
      <c r="V407">
        <v>58</v>
      </c>
      <c r="W407" t="b">
        <v>1</v>
      </c>
      <c r="X407" t="s">
        <v>23</v>
      </c>
    </row>
    <row r="408" spans="1:24">
      <c r="A408">
        <v>407</v>
      </c>
      <c r="B408" t="s">
        <v>655</v>
      </c>
      <c r="C408" t="s">
        <v>16</v>
      </c>
      <c r="D408" s="9">
        <v>37527</v>
      </c>
      <c r="E408" s="9" t="str">
        <f t="shared" si="48"/>
        <v>20-30</v>
      </c>
      <c r="F408">
        <v>22</v>
      </c>
      <c r="G408" t="s">
        <v>21</v>
      </c>
      <c r="H408">
        <v>3</v>
      </c>
      <c r="I408" t="s">
        <v>321</v>
      </c>
      <c r="K408">
        <f t="shared" si="55"/>
        <v>0</v>
      </c>
      <c r="L408">
        <f t="shared" si="49"/>
        <v>0</v>
      </c>
      <c r="M408">
        <f t="shared" si="50"/>
        <v>0</v>
      </c>
      <c r="N408">
        <f t="shared" si="51"/>
        <v>1</v>
      </c>
      <c r="O408">
        <f t="shared" si="52"/>
        <v>0</v>
      </c>
      <c r="P408">
        <f t="shared" si="53"/>
        <v>1</v>
      </c>
      <c r="Q408">
        <f t="shared" si="54"/>
        <v>1</v>
      </c>
      <c r="R408" t="b">
        <v>1</v>
      </c>
      <c r="S408" t="s">
        <v>626</v>
      </c>
      <c r="T408" s="10">
        <v>0.728472222222222</v>
      </c>
      <c r="U408" s="10">
        <v>0.805555555555555</v>
      </c>
      <c r="V408">
        <v>111</v>
      </c>
      <c r="W408" t="b">
        <v>0</v>
      </c>
    </row>
    <row r="409" spans="1:24">
      <c r="A409">
        <v>408</v>
      </c>
      <c r="B409" t="s">
        <v>584</v>
      </c>
      <c r="C409" t="s">
        <v>25</v>
      </c>
      <c r="D409" s="9">
        <v>37248</v>
      </c>
      <c r="E409" s="9" t="str">
        <f t="shared" si="48"/>
        <v>20-30</v>
      </c>
      <c r="F409">
        <v>22</v>
      </c>
      <c r="G409" t="s">
        <v>17</v>
      </c>
      <c r="H409">
        <v>1</v>
      </c>
      <c r="I409" t="s">
        <v>26</v>
      </c>
      <c r="K409">
        <f t="shared" si="55"/>
        <v>1</v>
      </c>
      <c r="L409">
        <f t="shared" si="49"/>
        <v>0</v>
      </c>
      <c r="M409">
        <f t="shared" si="50"/>
        <v>0</v>
      </c>
      <c r="N409">
        <f t="shared" si="51"/>
        <v>0</v>
      </c>
      <c r="O409">
        <f t="shared" si="52"/>
        <v>0</v>
      </c>
      <c r="P409">
        <f t="shared" si="53"/>
        <v>0</v>
      </c>
      <c r="Q409">
        <f t="shared" si="54"/>
        <v>0</v>
      </c>
      <c r="R409" t="b">
        <v>0</v>
      </c>
      <c r="T409" s="10">
        <v>0.479861111111111</v>
      </c>
      <c r="U409" s="10">
        <v>0.525694444444444</v>
      </c>
      <c r="V409">
        <v>66</v>
      </c>
      <c r="W409" t="b">
        <v>1</v>
      </c>
      <c r="X409" t="s">
        <v>23</v>
      </c>
    </row>
    <row r="410" spans="1:24">
      <c r="A410">
        <v>409</v>
      </c>
      <c r="B410" t="s">
        <v>656</v>
      </c>
      <c r="C410" t="s">
        <v>16</v>
      </c>
      <c r="D410" s="9">
        <v>38340</v>
      </c>
      <c r="E410" s="9" t="str">
        <f t="shared" si="48"/>
        <v>below 20</v>
      </c>
      <c r="F410">
        <v>19</v>
      </c>
      <c r="G410" t="s">
        <v>21</v>
      </c>
      <c r="H410">
        <v>3</v>
      </c>
      <c r="I410" t="s">
        <v>79</v>
      </c>
      <c r="K410">
        <f t="shared" si="55"/>
        <v>0</v>
      </c>
      <c r="L410">
        <f t="shared" si="49"/>
        <v>1</v>
      </c>
      <c r="M410">
        <f t="shared" si="50"/>
        <v>0</v>
      </c>
      <c r="N410">
        <f t="shared" si="51"/>
        <v>0</v>
      </c>
      <c r="O410">
        <f t="shared" si="52"/>
        <v>0</v>
      </c>
      <c r="P410">
        <f t="shared" si="53"/>
        <v>1</v>
      </c>
      <c r="Q410">
        <f t="shared" si="54"/>
        <v>1</v>
      </c>
      <c r="R410" t="b">
        <v>0</v>
      </c>
      <c r="T410" s="10">
        <v>0.754861111111111</v>
      </c>
      <c r="U410" s="10">
        <v>0.838888888888889</v>
      </c>
      <c r="V410">
        <v>121</v>
      </c>
      <c r="W410" t="b">
        <v>1</v>
      </c>
      <c r="X410" t="s">
        <v>47</v>
      </c>
    </row>
    <row r="411" spans="1:24">
      <c r="A411">
        <v>410</v>
      </c>
      <c r="B411" t="s">
        <v>657</v>
      </c>
      <c r="C411" t="s">
        <v>25</v>
      </c>
      <c r="D411" s="9">
        <v>28946</v>
      </c>
      <c r="E411" s="9" t="str">
        <f t="shared" si="48"/>
        <v>41-50</v>
      </c>
      <c r="F411">
        <v>45</v>
      </c>
      <c r="G411" t="s">
        <v>17</v>
      </c>
      <c r="H411">
        <v>3</v>
      </c>
      <c r="I411" t="s">
        <v>241</v>
      </c>
      <c r="K411">
        <f t="shared" si="55"/>
        <v>0</v>
      </c>
      <c r="L411">
        <f t="shared" si="49"/>
        <v>0</v>
      </c>
      <c r="M411">
        <f t="shared" si="50"/>
        <v>1</v>
      </c>
      <c r="N411">
        <f t="shared" si="51"/>
        <v>1</v>
      </c>
      <c r="O411">
        <f t="shared" si="52"/>
        <v>1</v>
      </c>
      <c r="P411">
        <f t="shared" si="53"/>
        <v>0</v>
      </c>
      <c r="Q411">
        <f t="shared" si="54"/>
        <v>0</v>
      </c>
      <c r="R411" t="b">
        <v>0</v>
      </c>
      <c r="T411" s="10">
        <v>0.472222222222222</v>
      </c>
      <c r="U411" s="10">
        <v>0.506944444444444</v>
      </c>
      <c r="V411">
        <v>50</v>
      </c>
      <c r="W411" t="b">
        <v>1</v>
      </c>
      <c r="X411" t="s">
        <v>28</v>
      </c>
    </row>
    <row r="412" spans="1:24">
      <c r="A412">
        <v>411</v>
      </c>
      <c r="B412" t="s">
        <v>658</v>
      </c>
      <c r="C412" t="s">
        <v>16</v>
      </c>
      <c r="D412" s="9">
        <v>29460</v>
      </c>
      <c r="E412" s="9" t="str">
        <f t="shared" si="48"/>
        <v>41-50</v>
      </c>
      <c r="F412">
        <v>44</v>
      </c>
      <c r="G412" t="s">
        <v>21</v>
      </c>
      <c r="H412">
        <v>2</v>
      </c>
      <c r="I412" t="s">
        <v>111</v>
      </c>
      <c r="K412">
        <f t="shared" si="55"/>
        <v>0</v>
      </c>
      <c r="L412">
        <f t="shared" si="49"/>
        <v>1</v>
      </c>
      <c r="M412">
        <f t="shared" si="50"/>
        <v>0</v>
      </c>
      <c r="N412">
        <f t="shared" si="51"/>
        <v>0</v>
      </c>
      <c r="O412">
        <f t="shared" si="52"/>
        <v>0</v>
      </c>
      <c r="P412">
        <f t="shared" si="53"/>
        <v>0</v>
      </c>
      <c r="Q412">
        <f t="shared" si="54"/>
        <v>1</v>
      </c>
      <c r="R412" t="b">
        <v>0</v>
      </c>
      <c r="T412" s="10">
        <v>0.495138888888889</v>
      </c>
      <c r="U412" s="10">
        <v>0.615277777777778</v>
      </c>
      <c r="V412">
        <v>173</v>
      </c>
      <c r="W412" t="b">
        <v>0</v>
      </c>
    </row>
    <row r="413" spans="1:24">
      <c r="A413">
        <v>412</v>
      </c>
      <c r="B413" t="s">
        <v>659</v>
      </c>
      <c r="C413" t="s">
        <v>25</v>
      </c>
      <c r="D413" s="9">
        <v>31025</v>
      </c>
      <c r="E413" s="9" t="str">
        <f t="shared" si="48"/>
        <v>31-41</v>
      </c>
      <c r="F413">
        <v>39</v>
      </c>
      <c r="G413" t="s">
        <v>21</v>
      </c>
      <c r="H413">
        <v>2</v>
      </c>
      <c r="I413" t="s">
        <v>306</v>
      </c>
      <c r="K413">
        <f t="shared" si="55"/>
        <v>1</v>
      </c>
      <c r="L413">
        <f t="shared" si="49"/>
        <v>0</v>
      </c>
      <c r="M413">
        <f t="shared" si="50"/>
        <v>0</v>
      </c>
      <c r="N413">
        <f t="shared" si="51"/>
        <v>0</v>
      </c>
      <c r="O413">
        <f t="shared" si="52"/>
        <v>1</v>
      </c>
      <c r="P413">
        <f t="shared" si="53"/>
        <v>0</v>
      </c>
      <c r="Q413">
        <f t="shared" si="54"/>
        <v>0</v>
      </c>
      <c r="R413" t="b">
        <v>1</v>
      </c>
      <c r="S413" t="s">
        <v>660</v>
      </c>
      <c r="T413" s="10">
        <v>0.793055555555556</v>
      </c>
      <c r="U413" s="10">
        <v>0.819444444444445</v>
      </c>
      <c r="V413">
        <v>38</v>
      </c>
      <c r="W413" t="b">
        <v>1</v>
      </c>
      <c r="X413" t="s">
        <v>23</v>
      </c>
    </row>
    <row r="414" spans="1:24">
      <c r="A414">
        <v>413</v>
      </c>
      <c r="B414" t="s">
        <v>661</v>
      </c>
      <c r="C414" t="s">
        <v>25</v>
      </c>
      <c r="D414" s="9">
        <v>34268</v>
      </c>
      <c r="E414" s="9" t="str">
        <f t="shared" si="48"/>
        <v>20-30</v>
      </c>
      <c r="F414">
        <v>30</v>
      </c>
      <c r="G414" t="s">
        <v>17</v>
      </c>
      <c r="H414">
        <v>1</v>
      </c>
      <c r="I414" t="s">
        <v>81</v>
      </c>
      <c r="K414">
        <f t="shared" si="55"/>
        <v>0</v>
      </c>
      <c r="L414">
        <f t="shared" si="49"/>
        <v>0</v>
      </c>
      <c r="M414">
        <f t="shared" si="50"/>
        <v>0</v>
      </c>
      <c r="N414">
        <f t="shared" si="51"/>
        <v>0</v>
      </c>
      <c r="O414">
        <f t="shared" si="52"/>
        <v>0</v>
      </c>
      <c r="P414">
        <f t="shared" si="53"/>
        <v>1</v>
      </c>
      <c r="Q414">
        <f t="shared" si="54"/>
        <v>0</v>
      </c>
      <c r="R414" t="b">
        <v>1</v>
      </c>
      <c r="S414" t="s">
        <v>662</v>
      </c>
      <c r="T414" s="10">
        <v>0.359722222222222</v>
      </c>
      <c r="U414" s="10">
        <v>0.461805555555556</v>
      </c>
      <c r="V414">
        <v>147</v>
      </c>
      <c r="W414" t="b">
        <v>1</v>
      </c>
      <c r="X414" t="s">
        <v>28</v>
      </c>
    </row>
    <row r="415" spans="1:24">
      <c r="A415">
        <v>414</v>
      </c>
      <c r="B415" t="s">
        <v>663</v>
      </c>
      <c r="C415" t="s">
        <v>16</v>
      </c>
      <c r="D415" s="9">
        <v>34700</v>
      </c>
      <c r="E415" s="9" t="str">
        <f t="shared" si="48"/>
        <v>20-30</v>
      </c>
      <c r="F415">
        <v>29</v>
      </c>
      <c r="G415" t="s">
        <v>21</v>
      </c>
      <c r="H415">
        <v>1</v>
      </c>
      <c r="I415" t="s">
        <v>185</v>
      </c>
      <c r="K415">
        <f t="shared" si="55"/>
        <v>0</v>
      </c>
      <c r="L415">
        <f t="shared" si="49"/>
        <v>0</v>
      </c>
      <c r="M415">
        <f t="shared" si="50"/>
        <v>0</v>
      </c>
      <c r="N415">
        <f t="shared" si="51"/>
        <v>1</v>
      </c>
      <c r="O415">
        <f t="shared" si="52"/>
        <v>0</v>
      </c>
      <c r="P415">
        <f t="shared" si="53"/>
        <v>0</v>
      </c>
      <c r="Q415">
        <f t="shared" si="54"/>
        <v>0</v>
      </c>
      <c r="R415" t="b">
        <v>1</v>
      </c>
      <c r="S415" t="s">
        <v>664</v>
      </c>
      <c r="T415" s="10">
        <v>0.518055555555556</v>
      </c>
      <c r="U415" s="10">
        <v>0.596527777777778</v>
      </c>
      <c r="V415">
        <v>113</v>
      </c>
      <c r="W415" t="b">
        <v>0</v>
      </c>
    </row>
    <row r="416" spans="1:24">
      <c r="A416">
        <v>415</v>
      </c>
      <c r="B416" t="s">
        <v>625</v>
      </c>
      <c r="C416" t="s">
        <v>16</v>
      </c>
      <c r="D416" s="9">
        <v>34694</v>
      </c>
      <c r="E416" s="9" t="str">
        <f t="shared" si="48"/>
        <v>20-30</v>
      </c>
      <c r="F416">
        <v>29</v>
      </c>
      <c r="G416" t="s">
        <v>17</v>
      </c>
      <c r="H416">
        <v>1</v>
      </c>
      <c r="I416" t="s">
        <v>26</v>
      </c>
      <c r="K416">
        <f t="shared" si="55"/>
        <v>1</v>
      </c>
      <c r="L416">
        <f t="shared" si="49"/>
        <v>0</v>
      </c>
      <c r="M416">
        <f t="shared" si="50"/>
        <v>0</v>
      </c>
      <c r="N416">
        <f t="shared" si="51"/>
        <v>0</v>
      </c>
      <c r="O416">
        <f t="shared" si="52"/>
        <v>0</v>
      </c>
      <c r="P416">
        <f t="shared" si="53"/>
        <v>0</v>
      </c>
      <c r="Q416">
        <f t="shared" si="54"/>
        <v>0</v>
      </c>
      <c r="R416" t="b">
        <v>0</v>
      </c>
      <c r="T416" s="10">
        <v>0.704166666666667</v>
      </c>
      <c r="U416" s="10">
        <v>0.775694444444444</v>
      </c>
      <c r="V416">
        <v>103</v>
      </c>
      <c r="W416" t="b">
        <v>1</v>
      </c>
      <c r="X416" t="s">
        <v>23</v>
      </c>
    </row>
    <row r="417" spans="1:24">
      <c r="A417">
        <v>416</v>
      </c>
      <c r="B417" t="s">
        <v>665</v>
      </c>
      <c r="C417" t="s">
        <v>25</v>
      </c>
      <c r="D417" s="9">
        <v>32154</v>
      </c>
      <c r="E417" s="9" t="str">
        <f t="shared" si="48"/>
        <v>31-41</v>
      </c>
      <c r="F417">
        <v>36</v>
      </c>
      <c r="G417" t="s">
        <v>17</v>
      </c>
      <c r="H417">
        <v>3</v>
      </c>
      <c r="I417" t="s">
        <v>325</v>
      </c>
      <c r="K417">
        <f t="shared" si="55"/>
        <v>1</v>
      </c>
      <c r="L417">
        <f t="shared" si="49"/>
        <v>0</v>
      </c>
      <c r="M417">
        <f t="shared" si="50"/>
        <v>0</v>
      </c>
      <c r="N417">
        <f t="shared" si="51"/>
        <v>1</v>
      </c>
      <c r="O417">
        <f t="shared" si="52"/>
        <v>0</v>
      </c>
      <c r="P417">
        <f t="shared" si="53"/>
        <v>0</v>
      </c>
      <c r="Q417">
        <f t="shared" si="54"/>
        <v>1</v>
      </c>
      <c r="R417" t="b">
        <v>1</v>
      </c>
      <c r="S417" t="s">
        <v>666</v>
      </c>
      <c r="T417" s="10">
        <v>0.817361111111111</v>
      </c>
      <c r="U417" s="10">
        <v>0.863888888888889</v>
      </c>
      <c r="V417">
        <v>67</v>
      </c>
      <c r="W417" t="b">
        <v>0</v>
      </c>
    </row>
    <row r="418" spans="1:24">
      <c r="A418">
        <v>417</v>
      </c>
      <c r="B418" t="s">
        <v>667</v>
      </c>
      <c r="C418" t="s">
        <v>16</v>
      </c>
      <c r="D418" s="9">
        <v>39388</v>
      </c>
      <c r="E418" s="9" t="str">
        <f t="shared" si="48"/>
        <v>below 20</v>
      </c>
      <c r="F418">
        <v>16</v>
      </c>
      <c r="G418" t="s">
        <v>21</v>
      </c>
      <c r="H418">
        <v>3</v>
      </c>
      <c r="I418" t="s">
        <v>161</v>
      </c>
      <c r="K418">
        <f t="shared" si="55"/>
        <v>0</v>
      </c>
      <c r="L418">
        <f t="shared" si="49"/>
        <v>0</v>
      </c>
      <c r="M418">
        <f t="shared" si="50"/>
        <v>0</v>
      </c>
      <c r="N418">
        <f t="shared" si="51"/>
        <v>0</v>
      </c>
      <c r="O418">
        <f t="shared" si="52"/>
        <v>1</v>
      </c>
      <c r="P418">
        <f t="shared" si="53"/>
        <v>1</v>
      </c>
      <c r="Q418">
        <f t="shared" si="54"/>
        <v>1</v>
      </c>
      <c r="R418" t="b">
        <v>1</v>
      </c>
      <c r="S418" t="s">
        <v>598</v>
      </c>
      <c r="T418" s="10">
        <v>0.620138888888889</v>
      </c>
      <c r="U418" s="10">
        <v>0.686111111111111</v>
      </c>
      <c r="V418">
        <v>95</v>
      </c>
      <c r="W418" t="b">
        <v>0</v>
      </c>
    </row>
    <row r="419" spans="1:24">
      <c r="A419">
        <v>418</v>
      </c>
      <c r="B419" t="s">
        <v>668</v>
      </c>
      <c r="C419" t="s">
        <v>16</v>
      </c>
      <c r="D419" s="9">
        <v>27662</v>
      </c>
      <c r="E419" s="9" t="str">
        <f t="shared" si="48"/>
        <v>41-50</v>
      </c>
      <c r="F419">
        <v>49</v>
      </c>
      <c r="G419" t="s">
        <v>17</v>
      </c>
      <c r="H419">
        <v>3</v>
      </c>
      <c r="I419" t="s">
        <v>247</v>
      </c>
      <c r="K419">
        <f t="shared" si="55"/>
        <v>0</v>
      </c>
      <c r="L419">
        <f t="shared" si="49"/>
        <v>0</v>
      </c>
      <c r="M419">
        <f t="shared" si="50"/>
        <v>1</v>
      </c>
      <c r="N419">
        <f t="shared" si="51"/>
        <v>1</v>
      </c>
      <c r="O419">
        <f t="shared" si="52"/>
        <v>0</v>
      </c>
      <c r="P419">
        <f t="shared" si="53"/>
        <v>1</v>
      </c>
      <c r="Q419">
        <f t="shared" si="54"/>
        <v>0</v>
      </c>
      <c r="R419" t="b">
        <v>0</v>
      </c>
      <c r="T419" s="10">
        <v>0.817361111111111</v>
      </c>
      <c r="U419" s="10">
        <v>0.886111111111111</v>
      </c>
      <c r="V419">
        <v>99</v>
      </c>
      <c r="W419" t="b">
        <v>0</v>
      </c>
    </row>
    <row r="420" spans="1:24">
      <c r="A420">
        <v>419</v>
      </c>
      <c r="B420" t="s">
        <v>569</v>
      </c>
      <c r="C420" t="s">
        <v>16</v>
      </c>
      <c r="D420" s="9">
        <v>38317</v>
      </c>
      <c r="E420" s="9" t="str">
        <f t="shared" si="48"/>
        <v>below 20</v>
      </c>
      <c r="F420">
        <v>19</v>
      </c>
      <c r="G420" t="s">
        <v>17</v>
      </c>
      <c r="H420">
        <v>3</v>
      </c>
      <c r="I420" t="s">
        <v>43</v>
      </c>
      <c r="K420">
        <f t="shared" si="55"/>
        <v>0</v>
      </c>
      <c r="L420">
        <f t="shared" si="49"/>
        <v>1</v>
      </c>
      <c r="M420">
        <f t="shared" si="50"/>
        <v>1</v>
      </c>
      <c r="N420">
        <f t="shared" si="51"/>
        <v>1</v>
      </c>
      <c r="O420">
        <f t="shared" si="52"/>
        <v>0</v>
      </c>
      <c r="P420">
        <f t="shared" si="53"/>
        <v>0</v>
      </c>
      <c r="Q420">
        <f t="shared" si="54"/>
        <v>0</v>
      </c>
      <c r="R420" t="b">
        <v>1</v>
      </c>
      <c r="S420" t="s">
        <v>19</v>
      </c>
      <c r="T420" s="10">
        <v>0.439583333333333</v>
      </c>
      <c r="U420" s="10">
        <v>0.511805555555556</v>
      </c>
      <c r="V420">
        <v>104</v>
      </c>
      <c r="W420" t="b">
        <v>0</v>
      </c>
    </row>
    <row r="421" spans="1:24">
      <c r="A421">
        <v>420</v>
      </c>
      <c r="B421" t="s">
        <v>669</v>
      </c>
      <c r="C421" t="s">
        <v>25</v>
      </c>
      <c r="D421" s="9">
        <v>28548</v>
      </c>
      <c r="E421" s="9" t="str">
        <f t="shared" si="48"/>
        <v>41-50</v>
      </c>
      <c r="F421">
        <v>46</v>
      </c>
      <c r="G421" t="s">
        <v>17</v>
      </c>
      <c r="H421">
        <v>2</v>
      </c>
      <c r="I421" t="s">
        <v>509</v>
      </c>
      <c r="K421">
        <f t="shared" si="55"/>
        <v>0</v>
      </c>
      <c r="L421">
        <f t="shared" si="49"/>
        <v>0</v>
      </c>
      <c r="M421">
        <f t="shared" si="50"/>
        <v>1</v>
      </c>
      <c r="N421">
        <f t="shared" si="51"/>
        <v>0</v>
      </c>
      <c r="O421">
        <f t="shared" si="52"/>
        <v>0</v>
      </c>
      <c r="P421">
        <f t="shared" si="53"/>
        <v>0</v>
      </c>
      <c r="Q421">
        <f t="shared" si="54"/>
        <v>1</v>
      </c>
      <c r="R421" t="b">
        <v>0</v>
      </c>
      <c r="T421" s="10">
        <v>0.477083333333333</v>
      </c>
      <c r="U421" s="10">
        <v>0.588888888888889</v>
      </c>
      <c r="V421">
        <v>161</v>
      </c>
      <c r="W421" t="b">
        <v>1</v>
      </c>
      <c r="X421" t="s">
        <v>50</v>
      </c>
    </row>
    <row r="422" spans="1:24">
      <c r="A422">
        <v>421</v>
      </c>
      <c r="B422" t="s">
        <v>670</v>
      </c>
      <c r="C422" t="s">
        <v>16</v>
      </c>
      <c r="D422" s="9">
        <v>35804</v>
      </c>
      <c r="E422" s="9" t="str">
        <f t="shared" si="48"/>
        <v>20-30</v>
      </c>
      <c r="F422">
        <v>26</v>
      </c>
      <c r="G422" t="s">
        <v>21</v>
      </c>
      <c r="H422">
        <v>3</v>
      </c>
      <c r="I422" t="s">
        <v>318</v>
      </c>
      <c r="K422">
        <f t="shared" si="55"/>
        <v>1</v>
      </c>
      <c r="L422">
        <f t="shared" si="49"/>
        <v>0</v>
      </c>
      <c r="M422">
        <f t="shared" si="50"/>
        <v>1</v>
      </c>
      <c r="N422">
        <f t="shared" si="51"/>
        <v>0</v>
      </c>
      <c r="O422">
        <f t="shared" si="52"/>
        <v>1</v>
      </c>
      <c r="P422">
        <f t="shared" si="53"/>
        <v>0</v>
      </c>
      <c r="Q422">
        <f t="shared" si="54"/>
        <v>0</v>
      </c>
      <c r="R422" t="b">
        <v>0</v>
      </c>
      <c r="T422" s="10">
        <v>0.620833333333333</v>
      </c>
      <c r="U422" s="10">
        <v>0.699305555555556</v>
      </c>
      <c r="V422">
        <v>113</v>
      </c>
      <c r="W422" t="b">
        <v>1</v>
      </c>
      <c r="X422" t="s">
        <v>23</v>
      </c>
    </row>
    <row r="423" spans="1:24">
      <c r="A423">
        <v>422</v>
      </c>
      <c r="B423" t="s">
        <v>671</v>
      </c>
      <c r="C423" t="s">
        <v>16</v>
      </c>
      <c r="D423" s="9">
        <v>33014</v>
      </c>
      <c r="E423" s="9" t="str">
        <f t="shared" si="48"/>
        <v>31-41</v>
      </c>
      <c r="F423">
        <v>34</v>
      </c>
      <c r="G423" t="s">
        <v>21</v>
      </c>
      <c r="H423">
        <v>4</v>
      </c>
      <c r="I423" t="s">
        <v>672</v>
      </c>
      <c r="K423">
        <f t="shared" si="55"/>
        <v>0</v>
      </c>
      <c r="L423">
        <f t="shared" si="49"/>
        <v>0</v>
      </c>
      <c r="M423">
        <f t="shared" si="50"/>
        <v>1</v>
      </c>
      <c r="N423">
        <f t="shared" si="51"/>
        <v>1</v>
      </c>
      <c r="O423">
        <f t="shared" si="52"/>
        <v>1</v>
      </c>
      <c r="P423">
        <f t="shared" si="53"/>
        <v>1</v>
      </c>
      <c r="Q423">
        <f t="shared" si="54"/>
        <v>0</v>
      </c>
      <c r="R423" t="b">
        <v>0</v>
      </c>
      <c r="T423" s="10">
        <v>0.531944444444444</v>
      </c>
      <c r="U423" s="10">
        <v>0.622222222222222</v>
      </c>
      <c r="V423">
        <v>130</v>
      </c>
      <c r="W423" t="b">
        <v>0</v>
      </c>
    </row>
    <row r="424" spans="1:24">
      <c r="A424">
        <v>423</v>
      </c>
      <c r="B424" t="s">
        <v>673</v>
      </c>
      <c r="C424" t="s">
        <v>16</v>
      </c>
      <c r="D424" s="9">
        <v>31885</v>
      </c>
      <c r="E424" s="9" t="str">
        <f t="shared" si="48"/>
        <v>31-41</v>
      </c>
      <c r="F424">
        <v>37</v>
      </c>
      <c r="G424" t="s">
        <v>17</v>
      </c>
      <c r="H424">
        <v>5</v>
      </c>
      <c r="I424" t="s">
        <v>368</v>
      </c>
      <c r="K424">
        <f t="shared" si="55"/>
        <v>0</v>
      </c>
      <c r="L424">
        <f t="shared" si="49"/>
        <v>1</v>
      </c>
      <c r="M424">
        <f t="shared" si="50"/>
        <v>1</v>
      </c>
      <c r="N424">
        <f t="shared" si="51"/>
        <v>1</v>
      </c>
      <c r="O424">
        <f t="shared" si="52"/>
        <v>1</v>
      </c>
      <c r="P424">
        <f t="shared" si="53"/>
        <v>1</v>
      </c>
      <c r="Q424">
        <f t="shared" si="54"/>
        <v>0</v>
      </c>
      <c r="R424" t="b">
        <v>1</v>
      </c>
      <c r="S424" t="s">
        <v>674</v>
      </c>
      <c r="T424" s="10">
        <v>0.783333333333333</v>
      </c>
      <c r="U424" s="10">
        <v>0.814583333333333</v>
      </c>
      <c r="V424">
        <v>45</v>
      </c>
      <c r="W424" t="b">
        <v>1</v>
      </c>
      <c r="X424" t="s">
        <v>23</v>
      </c>
    </row>
    <row r="425" spans="1:24">
      <c r="A425">
        <v>424</v>
      </c>
      <c r="B425" t="s">
        <v>76</v>
      </c>
      <c r="C425" t="s">
        <v>16</v>
      </c>
      <c r="D425" s="9">
        <v>37348</v>
      </c>
      <c r="E425" s="9" t="str">
        <f t="shared" si="48"/>
        <v>20-30</v>
      </c>
      <c r="F425">
        <v>22</v>
      </c>
      <c r="G425" t="s">
        <v>17</v>
      </c>
      <c r="H425">
        <v>1</v>
      </c>
      <c r="I425" t="s">
        <v>49</v>
      </c>
      <c r="K425">
        <f t="shared" si="55"/>
        <v>0</v>
      </c>
      <c r="L425">
        <f t="shared" si="49"/>
        <v>0</v>
      </c>
      <c r="M425">
        <f t="shared" si="50"/>
        <v>0</v>
      </c>
      <c r="N425">
        <f t="shared" si="51"/>
        <v>0</v>
      </c>
      <c r="O425">
        <f t="shared" si="52"/>
        <v>1</v>
      </c>
      <c r="P425">
        <f t="shared" si="53"/>
        <v>0</v>
      </c>
      <c r="Q425">
        <f t="shared" si="54"/>
        <v>0</v>
      </c>
      <c r="R425" t="b">
        <v>1</v>
      </c>
      <c r="S425" t="s">
        <v>67</v>
      </c>
      <c r="T425" s="10">
        <v>0.51875</v>
      </c>
      <c r="U425" s="10">
        <v>0.599305555555556</v>
      </c>
      <c r="V425">
        <v>116</v>
      </c>
      <c r="W425" t="b">
        <v>0</v>
      </c>
    </row>
    <row r="426" spans="1:24">
      <c r="A426">
        <v>425</v>
      </c>
      <c r="B426" t="s">
        <v>675</v>
      </c>
      <c r="C426" t="s">
        <v>25</v>
      </c>
      <c r="D426" s="9">
        <v>30439</v>
      </c>
      <c r="E426" s="9" t="str">
        <f t="shared" si="48"/>
        <v>41-50</v>
      </c>
      <c r="F426">
        <v>41</v>
      </c>
      <c r="G426" t="s">
        <v>17</v>
      </c>
      <c r="H426">
        <v>5</v>
      </c>
      <c r="I426" t="s">
        <v>456</v>
      </c>
      <c r="K426">
        <f t="shared" si="55"/>
        <v>0</v>
      </c>
      <c r="L426">
        <f t="shared" si="49"/>
        <v>1</v>
      </c>
      <c r="M426">
        <f t="shared" si="50"/>
        <v>1</v>
      </c>
      <c r="N426">
        <f t="shared" si="51"/>
        <v>1</v>
      </c>
      <c r="O426">
        <f t="shared" si="52"/>
        <v>1</v>
      </c>
      <c r="P426">
        <f t="shared" si="53"/>
        <v>0</v>
      </c>
      <c r="Q426">
        <f t="shared" si="54"/>
        <v>1</v>
      </c>
      <c r="R426" t="b">
        <v>0</v>
      </c>
      <c r="T426" s="10">
        <v>0.68125</v>
      </c>
      <c r="U426" s="10">
        <v>0.769444444444444</v>
      </c>
      <c r="V426">
        <v>127</v>
      </c>
      <c r="W426" t="b">
        <v>1</v>
      </c>
      <c r="X426" t="s">
        <v>23</v>
      </c>
    </row>
    <row r="427" spans="1:24">
      <c r="A427">
        <v>426</v>
      </c>
      <c r="B427" t="s">
        <v>676</v>
      </c>
      <c r="C427" t="s">
        <v>16</v>
      </c>
      <c r="D427" s="9">
        <v>31237</v>
      </c>
      <c r="E427" s="9" t="str">
        <f t="shared" si="48"/>
        <v>31-41</v>
      </c>
      <c r="F427">
        <v>39</v>
      </c>
      <c r="G427" t="s">
        <v>17</v>
      </c>
      <c r="H427">
        <v>2</v>
      </c>
      <c r="I427" t="s">
        <v>32</v>
      </c>
      <c r="K427">
        <f t="shared" si="55"/>
        <v>0</v>
      </c>
      <c r="L427">
        <f t="shared" si="49"/>
        <v>0</v>
      </c>
      <c r="M427">
        <f t="shared" si="50"/>
        <v>1</v>
      </c>
      <c r="N427">
        <f t="shared" si="51"/>
        <v>0</v>
      </c>
      <c r="O427">
        <f t="shared" si="52"/>
        <v>1</v>
      </c>
      <c r="P427">
        <f t="shared" si="53"/>
        <v>0</v>
      </c>
      <c r="Q427">
        <f t="shared" si="54"/>
        <v>0</v>
      </c>
      <c r="R427" t="b">
        <v>0</v>
      </c>
      <c r="T427" s="10">
        <v>0.836111111111111</v>
      </c>
      <c r="U427" s="10">
        <v>0.913888888888889</v>
      </c>
      <c r="V427">
        <v>112</v>
      </c>
      <c r="W427" t="b">
        <v>0</v>
      </c>
    </row>
    <row r="428" spans="1:24">
      <c r="A428">
        <v>427</v>
      </c>
      <c r="B428" t="s">
        <v>677</v>
      </c>
      <c r="C428" t="s">
        <v>25</v>
      </c>
      <c r="D428" s="9">
        <v>40300</v>
      </c>
      <c r="E428" s="9" t="str">
        <f t="shared" si="48"/>
        <v>below 20</v>
      </c>
      <c r="F428">
        <v>14</v>
      </c>
      <c r="G428" t="s">
        <v>17</v>
      </c>
      <c r="H428">
        <v>3</v>
      </c>
      <c r="I428" t="s">
        <v>65</v>
      </c>
      <c r="K428">
        <f t="shared" si="55"/>
        <v>1</v>
      </c>
      <c r="L428">
        <f t="shared" si="49"/>
        <v>0</v>
      </c>
      <c r="M428">
        <f t="shared" si="50"/>
        <v>0</v>
      </c>
      <c r="N428">
        <f t="shared" si="51"/>
        <v>1</v>
      </c>
      <c r="O428">
        <f t="shared" si="52"/>
        <v>1</v>
      </c>
      <c r="P428">
        <f t="shared" si="53"/>
        <v>0</v>
      </c>
      <c r="Q428">
        <f t="shared" si="54"/>
        <v>0</v>
      </c>
      <c r="R428" t="b">
        <v>0</v>
      </c>
      <c r="T428" s="10">
        <v>0.670138888888889</v>
      </c>
      <c r="U428" s="10">
        <v>0.74375</v>
      </c>
      <c r="V428">
        <v>106</v>
      </c>
      <c r="W428" t="b">
        <v>1</v>
      </c>
      <c r="X428" t="s">
        <v>28</v>
      </c>
    </row>
    <row r="429" spans="1:24">
      <c r="A429">
        <v>428</v>
      </c>
      <c r="B429" t="s">
        <v>678</v>
      </c>
      <c r="C429" t="s">
        <v>16</v>
      </c>
      <c r="D429" s="9">
        <v>39651</v>
      </c>
      <c r="E429" s="9" t="str">
        <f t="shared" si="48"/>
        <v>below 20</v>
      </c>
      <c r="F429">
        <v>16</v>
      </c>
      <c r="G429" t="s">
        <v>21</v>
      </c>
      <c r="H429">
        <v>3</v>
      </c>
      <c r="I429" t="s">
        <v>161</v>
      </c>
      <c r="K429">
        <f t="shared" si="55"/>
        <v>0</v>
      </c>
      <c r="L429">
        <f t="shared" si="49"/>
        <v>0</v>
      </c>
      <c r="M429">
        <f t="shared" si="50"/>
        <v>0</v>
      </c>
      <c r="N429">
        <f t="shared" si="51"/>
        <v>0</v>
      </c>
      <c r="O429">
        <f t="shared" si="52"/>
        <v>1</v>
      </c>
      <c r="P429">
        <f t="shared" si="53"/>
        <v>1</v>
      </c>
      <c r="Q429">
        <f t="shared" si="54"/>
        <v>1</v>
      </c>
      <c r="R429" t="b">
        <v>1</v>
      </c>
      <c r="S429" t="s">
        <v>67</v>
      </c>
      <c r="T429" s="10">
        <v>0.5875</v>
      </c>
      <c r="U429" s="10">
        <v>0.623611111111111</v>
      </c>
      <c r="V429">
        <v>52</v>
      </c>
      <c r="W429" t="b">
        <v>0</v>
      </c>
    </row>
    <row r="430" spans="1:24">
      <c r="A430">
        <v>429</v>
      </c>
      <c r="B430" t="s">
        <v>679</v>
      </c>
      <c r="C430" t="s">
        <v>25</v>
      </c>
      <c r="D430" s="9">
        <v>34078</v>
      </c>
      <c r="E430" s="9" t="str">
        <f t="shared" si="48"/>
        <v>31-41</v>
      </c>
      <c r="F430">
        <v>31</v>
      </c>
      <c r="G430" t="s">
        <v>21</v>
      </c>
      <c r="H430">
        <v>2</v>
      </c>
      <c r="I430" t="s">
        <v>133</v>
      </c>
      <c r="K430">
        <f t="shared" si="55"/>
        <v>1</v>
      </c>
      <c r="L430">
        <f t="shared" si="49"/>
        <v>0</v>
      </c>
      <c r="M430">
        <f t="shared" si="50"/>
        <v>1</v>
      </c>
      <c r="N430">
        <f t="shared" si="51"/>
        <v>0</v>
      </c>
      <c r="O430">
        <f t="shared" si="52"/>
        <v>0</v>
      </c>
      <c r="P430">
        <f t="shared" si="53"/>
        <v>0</v>
      </c>
      <c r="Q430">
        <f t="shared" si="54"/>
        <v>0</v>
      </c>
      <c r="R430" t="b">
        <v>1</v>
      </c>
      <c r="S430" t="s">
        <v>201</v>
      </c>
      <c r="T430" s="10">
        <v>0.747916666666667</v>
      </c>
      <c r="U430" s="10">
        <v>0.794444444444444</v>
      </c>
      <c r="V430">
        <v>67</v>
      </c>
      <c r="W430" t="b">
        <v>1</v>
      </c>
      <c r="X430" t="s">
        <v>47</v>
      </c>
    </row>
    <row r="431" spans="1:24">
      <c r="A431">
        <v>430</v>
      </c>
      <c r="B431" t="s">
        <v>680</v>
      </c>
      <c r="C431" t="s">
        <v>16</v>
      </c>
      <c r="D431" s="9">
        <v>36135</v>
      </c>
      <c r="E431" s="9" t="str">
        <f t="shared" si="48"/>
        <v>20-30</v>
      </c>
      <c r="F431">
        <v>25</v>
      </c>
      <c r="G431" t="s">
        <v>21</v>
      </c>
      <c r="H431">
        <v>2</v>
      </c>
      <c r="I431" t="s">
        <v>166</v>
      </c>
      <c r="K431">
        <f t="shared" si="55"/>
        <v>0</v>
      </c>
      <c r="L431">
        <f t="shared" si="49"/>
        <v>1</v>
      </c>
      <c r="M431">
        <f t="shared" si="50"/>
        <v>0</v>
      </c>
      <c r="N431">
        <f t="shared" si="51"/>
        <v>1</v>
      </c>
      <c r="O431">
        <f t="shared" si="52"/>
        <v>0</v>
      </c>
      <c r="P431">
        <f t="shared" si="53"/>
        <v>0</v>
      </c>
      <c r="Q431">
        <f t="shared" si="54"/>
        <v>0</v>
      </c>
      <c r="R431" t="b">
        <v>0</v>
      </c>
      <c r="T431" s="10">
        <v>0.633333333333333</v>
      </c>
      <c r="U431" s="10">
        <v>0.74375</v>
      </c>
      <c r="V431">
        <v>159</v>
      </c>
      <c r="W431" t="b">
        <v>1</v>
      </c>
      <c r="X431" t="s">
        <v>23</v>
      </c>
    </row>
    <row r="432" spans="1:24">
      <c r="A432">
        <v>431</v>
      </c>
      <c r="B432" t="s">
        <v>681</v>
      </c>
      <c r="C432" t="s">
        <v>25</v>
      </c>
      <c r="D432" s="9">
        <v>34166</v>
      </c>
      <c r="E432" s="9" t="str">
        <f t="shared" si="48"/>
        <v>31-41</v>
      </c>
      <c r="F432">
        <v>31</v>
      </c>
      <c r="G432" t="s">
        <v>17</v>
      </c>
      <c r="H432">
        <v>2</v>
      </c>
      <c r="I432" t="s">
        <v>189</v>
      </c>
      <c r="K432">
        <f t="shared" si="55"/>
        <v>0</v>
      </c>
      <c r="L432">
        <f t="shared" si="49"/>
        <v>1</v>
      </c>
      <c r="M432">
        <f t="shared" si="50"/>
        <v>1</v>
      </c>
      <c r="N432">
        <f t="shared" si="51"/>
        <v>0</v>
      </c>
      <c r="O432">
        <f t="shared" si="52"/>
        <v>0</v>
      </c>
      <c r="P432">
        <f t="shared" si="53"/>
        <v>0</v>
      </c>
      <c r="Q432">
        <f t="shared" si="54"/>
        <v>0</v>
      </c>
      <c r="R432" t="b">
        <v>1</v>
      </c>
      <c r="S432" t="s">
        <v>174</v>
      </c>
      <c r="T432" s="10">
        <v>0.667361111111111</v>
      </c>
      <c r="U432" s="10">
        <v>0.727083333333333</v>
      </c>
      <c r="V432">
        <v>86</v>
      </c>
      <c r="W432" t="b">
        <v>0</v>
      </c>
    </row>
    <row r="433" spans="1:24">
      <c r="A433">
        <v>432</v>
      </c>
      <c r="B433" t="s">
        <v>582</v>
      </c>
      <c r="C433" t="s">
        <v>25</v>
      </c>
      <c r="D433" s="9">
        <v>34344</v>
      </c>
      <c r="E433" s="9" t="str">
        <f t="shared" si="48"/>
        <v>20-30</v>
      </c>
      <c r="F433">
        <v>30</v>
      </c>
      <c r="G433" t="s">
        <v>21</v>
      </c>
      <c r="H433">
        <v>5</v>
      </c>
      <c r="I433" t="s">
        <v>347</v>
      </c>
      <c r="K433">
        <f t="shared" si="55"/>
        <v>0</v>
      </c>
      <c r="L433">
        <f t="shared" si="49"/>
        <v>1</v>
      </c>
      <c r="M433">
        <f t="shared" si="50"/>
        <v>1</v>
      </c>
      <c r="N433">
        <f t="shared" si="51"/>
        <v>0</v>
      </c>
      <c r="O433">
        <f t="shared" si="52"/>
        <v>1</v>
      </c>
      <c r="P433">
        <f t="shared" si="53"/>
        <v>1</v>
      </c>
      <c r="Q433">
        <f t="shared" si="54"/>
        <v>1</v>
      </c>
      <c r="R433" t="b">
        <v>1</v>
      </c>
      <c r="S433" t="s">
        <v>131</v>
      </c>
      <c r="T433" s="10">
        <v>0.455555555555556</v>
      </c>
      <c r="U433" s="10">
        <v>0.563194444444444</v>
      </c>
      <c r="V433">
        <v>155</v>
      </c>
      <c r="W433" t="b">
        <v>1</v>
      </c>
      <c r="X433" t="s">
        <v>47</v>
      </c>
    </row>
    <row r="434" spans="1:24">
      <c r="A434">
        <v>433</v>
      </c>
      <c r="B434" t="s">
        <v>682</v>
      </c>
      <c r="C434" t="s">
        <v>16</v>
      </c>
      <c r="D434" s="9">
        <v>28153</v>
      </c>
      <c r="E434" s="9" t="str">
        <f t="shared" si="48"/>
        <v>41-50</v>
      </c>
      <c r="F434">
        <v>47</v>
      </c>
      <c r="G434" t="s">
        <v>17</v>
      </c>
      <c r="H434">
        <v>3</v>
      </c>
      <c r="I434" t="s">
        <v>245</v>
      </c>
      <c r="K434">
        <f t="shared" si="55"/>
        <v>1</v>
      </c>
      <c r="L434">
        <f t="shared" si="49"/>
        <v>0</v>
      </c>
      <c r="M434">
        <f t="shared" si="50"/>
        <v>1</v>
      </c>
      <c r="N434">
        <f t="shared" si="51"/>
        <v>0</v>
      </c>
      <c r="O434">
        <f t="shared" si="52"/>
        <v>0</v>
      </c>
      <c r="P434">
        <f t="shared" si="53"/>
        <v>1</v>
      </c>
      <c r="Q434">
        <f t="shared" si="54"/>
        <v>0</v>
      </c>
      <c r="R434" t="b">
        <v>0</v>
      </c>
      <c r="T434" s="10">
        <v>0.61875</v>
      </c>
      <c r="U434" s="10">
        <v>0.721527777777778</v>
      </c>
      <c r="V434">
        <v>148</v>
      </c>
      <c r="W434" t="b">
        <v>0</v>
      </c>
    </row>
    <row r="435" spans="1:24">
      <c r="A435">
        <v>434</v>
      </c>
      <c r="B435" t="s">
        <v>683</v>
      </c>
      <c r="C435" t="s">
        <v>16</v>
      </c>
      <c r="D435" s="9">
        <v>34818</v>
      </c>
      <c r="E435" s="9" t="str">
        <f t="shared" si="48"/>
        <v>20-30</v>
      </c>
      <c r="F435">
        <v>29</v>
      </c>
      <c r="G435" t="s">
        <v>21</v>
      </c>
      <c r="H435">
        <v>5</v>
      </c>
      <c r="I435" t="s">
        <v>127</v>
      </c>
      <c r="K435">
        <f t="shared" si="55"/>
        <v>1</v>
      </c>
      <c r="L435">
        <f t="shared" si="49"/>
        <v>0</v>
      </c>
      <c r="M435">
        <f t="shared" si="50"/>
        <v>1</v>
      </c>
      <c r="N435">
        <f t="shared" si="51"/>
        <v>1</v>
      </c>
      <c r="O435">
        <f t="shared" si="52"/>
        <v>1</v>
      </c>
      <c r="P435">
        <f t="shared" si="53"/>
        <v>1</v>
      </c>
      <c r="Q435">
        <f t="shared" si="54"/>
        <v>0</v>
      </c>
      <c r="R435" t="b">
        <v>0</v>
      </c>
      <c r="T435" s="10">
        <v>0.759722222222222</v>
      </c>
      <c r="U435" s="10">
        <v>0.880555555555556</v>
      </c>
      <c r="V435">
        <v>174</v>
      </c>
      <c r="W435" t="b">
        <v>0</v>
      </c>
    </row>
    <row r="436" spans="1:24">
      <c r="A436">
        <v>435</v>
      </c>
      <c r="B436" t="s">
        <v>684</v>
      </c>
      <c r="C436" t="s">
        <v>16</v>
      </c>
      <c r="D436" s="9">
        <v>29696</v>
      </c>
      <c r="E436" s="9" t="str">
        <f t="shared" si="48"/>
        <v>41-50</v>
      </c>
      <c r="F436">
        <v>43</v>
      </c>
      <c r="G436" t="s">
        <v>21</v>
      </c>
      <c r="H436">
        <v>1</v>
      </c>
      <c r="I436" t="s">
        <v>59</v>
      </c>
      <c r="K436">
        <f t="shared" si="55"/>
        <v>0</v>
      </c>
      <c r="L436">
        <f t="shared" si="49"/>
        <v>0</v>
      </c>
      <c r="M436">
        <f t="shared" si="50"/>
        <v>0</v>
      </c>
      <c r="N436">
        <f t="shared" si="51"/>
        <v>0</v>
      </c>
      <c r="O436">
        <f t="shared" si="52"/>
        <v>0</v>
      </c>
      <c r="P436">
        <f t="shared" si="53"/>
        <v>0</v>
      </c>
      <c r="Q436">
        <f t="shared" si="54"/>
        <v>1</v>
      </c>
      <c r="R436" t="b">
        <v>1</v>
      </c>
      <c r="S436" t="s">
        <v>201</v>
      </c>
      <c r="T436" s="10">
        <v>0.613888888888889</v>
      </c>
      <c r="U436" s="10">
        <v>0.721527777777778</v>
      </c>
      <c r="V436">
        <v>155</v>
      </c>
      <c r="W436" t="b">
        <v>1</v>
      </c>
      <c r="X436" t="s">
        <v>23</v>
      </c>
    </row>
    <row r="437" spans="1:24">
      <c r="A437">
        <v>436</v>
      </c>
      <c r="B437" t="s">
        <v>685</v>
      </c>
      <c r="C437" t="s">
        <v>25</v>
      </c>
      <c r="D437" s="9">
        <v>37013</v>
      </c>
      <c r="E437" s="9" t="str">
        <f t="shared" si="48"/>
        <v>20-30</v>
      </c>
      <c r="F437">
        <v>23</v>
      </c>
      <c r="G437" t="s">
        <v>21</v>
      </c>
      <c r="H437">
        <v>1</v>
      </c>
      <c r="I437" t="s">
        <v>26</v>
      </c>
      <c r="K437">
        <f t="shared" si="55"/>
        <v>1</v>
      </c>
      <c r="L437">
        <f t="shared" si="49"/>
        <v>0</v>
      </c>
      <c r="M437">
        <f t="shared" si="50"/>
        <v>0</v>
      </c>
      <c r="N437">
        <f t="shared" si="51"/>
        <v>0</v>
      </c>
      <c r="O437">
        <f t="shared" si="52"/>
        <v>0</v>
      </c>
      <c r="P437">
        <f t="shared" si="53"/>
        <v>0</v>
      </c>
      <c r="Q437">
        <f t="shared" si="54"/>
        <v>0</v>
      </c>
      <c r="R437" t="b">
        <v>0</v>
      </c>
      <c r="T437" s="10">
        <v>0.477777777777778</v>
      </c>
      <c r="U437" s="10">
        <v>0.54375</v>
      </c>
      <c r="V437">
        <v>95</v>
      </c>
      <c r="W437" t="b">
        <v>1</v>
      </c>
      <c r="X437" t="s">
        <v>28</v>
      </c>
    </row>
    <row r="438" spans="1:24">
      <c r="A438">
        <v>437</v>
      </c>
      <c r="B438" t="s">
        <v>686</v>
      </c>
      <c r="C438" t="s">
        <v>25</v>
      </c>
      <c r="D438" s="9">
        <v>35665</v>
      </c>
      <c r="E438" s="9" t="str">
        <f t="shared" si="48"/>
        <v>20-30</v>
      </c>
      <c r="F438">
        <v>27</v>
      </c>
      <c r="G438" t="s">
        <v>17</v>
      </c>
      <c r="H438">
        <v>2</v>
      </c>
      <c r="I438" t="s">
        <v>40</v>
      </c>
      <c r="K438">
        <f t="shared" si="55"/>
        <v>1</v>
      </c>
      <c r="L438">
        <f t="shared" si="49"/>
        <v>0</v>
      </c>
      <c r="M438">
        <f t="shared" si="50"/>
        <v>0</v>
      </c>
      <c r="N438">
        <f t="shared" si="51"/>
        <v>0</v>
      </c>
      <c r="O438">
        <f t="shared" si="52"/>
        <v>0</v>
      </c>
      <c r="P438">
        <f t="shared" si="53"/>
        <v>0</v>
      </c>
      <c r="Q438">
        <f t="shared" si="54"/>
        <v>1</v>
      </c>
      <c r="R438" t="b">
        <v>1</v>
      </c>
      <c r="S438" t="s">
        <v>687</v>
      </c>
      <c r="T438" s="10">
        <v>0.686805555555556</v>
      </c>
      <c r="U438" s="10">
        <v>0.79375</v>
      </c>
      <c r="V438">
        <v>154</v>
      </c>
      <c r="W438" t="b">
        <v>0</v>
      </c>
    </row>
    <row r="439" spans="1:24">
      <c r="A439">
        <v>438</v>
      </c>
      <c r="B439" t="s">
        <v>688</v>
      </c>
      <c r="C439" t="s">
        <v>25</v>
      </c>
      <c r="D439" s="9">
        <v>32926</v>
      </c>
      <c r="E439" s="9" t="str">
        <f t="shared" si="48"/>
        <v>31-41</v>
      </c>
      <c r="F439">
        <v>34</v>
      </c>
      <c r="G439" t="s">
        <v>17</v>
      </c>
      <c r="H439">
        <v>2</v>
      </c>
      <c r="I439" t="s">
        <v>259</v>
      </c>
      <c r="K439">
        <f t="shared" si="55"/>
        <v>0</v>
      </c>
      <c r="L439">
        <f t="shared" si="49"/>
        <v>1</v>
      </c>
      <c r="M439">
        <f t="shared" si="50"/>
        <v>0</v>
      </c>
      <c r="N439">
        <f t="shared" si="51"/>
        <v>0</v>
      </c>
      <c r="O439">
        <f t="shared" si="52"/>
        <v>1</v>
      </c>
      <c r="P439">
        <f t="shared" si="53"/>
        <v>0</v>
      </c>
      <c r="Q439">
        <f t="shared" si="54"/>
        <v>0</v>
      </c>
      <c r="R439" t="b">
        <v>0</v>
      </c>
      <c r="T439" s="10">
        <v>0.720833333333333</v>
      </c>
      <c r="U439" s="10">
        <v>0.832638888888889</v>
      </c>
      <c r="V439">
        <v>161</v>
      </c>
      <c r="W439" t="b">
        <v>1</v>
      </c>
      <c r="X439" t="s">
        <v>28</v>
      </c>
    </row>
    <row r="440" spans="1:24">
      <c r="A440">
        <v>439</v>
      </c>
      <c r="B440" t="s">
        <v>689</v>
      </c>
      <c r="C440" t="s">
        <v>25</v>
      </c>
      <c r="D440" s="9">
        <v>40897</v>
      </c>
      <c r="E440" s="9" t="str">
        <f t="shared" si="48"/>
        <v>below 20</v>
      </c>
      <c r="F440">
        <v>12</v>
      </c>
      <c r="G440" t="s">
        <v>21</v>
      </c>
      <c r="H440">
        <v>2</v>
      </c>
      <c r="I440" t="s">
        <v>69</v>
      </c>
      <c r="K440">
        <f t="shared" si="55"/>
        <v>0</v>
      </c>
      <c r="L440">
        <f t="shared" si="49"/>
        <v>0</v>
      </c>
      <c r="M440">
        <f t="shared" si="50"/>
        <v>0</v>
      </c>
      <c r="N440">
        <f t="shared" si="51"/>
        <v>1</v>
      </c>
      <c r="O440">
        <f t="shared" si="52"/>
        <v>0</v>
      </c>
      <c r="P440">
        <f t="shared" si="53"/>
        <v>0</v>
      </c>
      <c r="Q440">
        <f t="shared" si="54"/>
        <v>1</v>
      </c>
      <c r="R440" t="b">
        <v>1</v>
      </c>
      <c r="S440" t="s">
        <v>19</v>
      </c>
      <c r="T440" s="10">
        <v>0.581944444444444</v>
      </c>
      <c r="U440" s="10">
        <v>0.672916666666667</v>
      </c>
      <c r="V440">
        <v>131</v>
      </c>
      <c r="W440" t="b">
        <v>1</v>
      </c>
      <c r="X440" t="s">
        <v>23</v>
      </c>
    </row>
    <row r="441" spans="1:24">
      <c r="A441">
        <v>440</v>
      </c>
      <c r="B441" t="s">
        <v>690</v>
      </c>
      <c r="C441" t="s">
        <v>25</v>
      </c>
      <c r="D441" s="9">
        <v>32047</v>
      </c>
      <c r="E441" s="9" t="str">
        <f t="shared" si="48"/>
        <v>31-41</v>
      </c>
      <c r="F441">
        <v>37</v>
      </c>
      <c r="G441" t="s">
        <v>17</v>
      </c>
      <c r="H441">
        <v>1</v>
      </c>
      <c r="I441" t="s">
        <v>81</v>
      </c>
      <c r="K441">
        <f t="shared" si="55"/>
        <v>0</v>
      </c>
      <c r="L441">
        <f t="shared" si="49"/>
        <v>0</v>
      </c>
      <c r="M441">
        <f t="shared" si="50"/>
        <v>0</v>
      </c>
      <c r="N441">
        <f t="shared" si="51"/>
        <v>0</v>
      </c>
      <c r="O441">
        <f t="shared" si="52"/>
        <v>0</v>
      </c>
      <c r="P441">
        <f t="shared" si="53"/>
        <v>1</v>
      </c>
      <c r="Q441">
        <f t="shared" si="54"/>
        <v>0</v>
      </c>
      <c r="R441" t="b">
        <v>1</v>
      </c>
      <c r="S441" t="s">
        <v>691</v>
      </c>
      <c r="T441" s="10">
        <v>0.548611111111111</v>
      </c>
      <c r="U441" s="10">
        <v>0.652083333333333</v>
      </c>
      <c r="V441">
        <v>149</v>
      </c>
      <c r="W441" t="b">
        <v>0</v>
      </c>
    </row>
    <row r="442" spans="1:24">
      <c r="A442">
        <v>441</v>
      </c>
      <c r="B442" t="s">
        <v>692</v>
      </c>
      <c r="C442" t="s">
        <v>16</v>
      </c>
      <c r="D442" s="9">
        <v>31495</v>
      </c>
      <c r="E442" s="9" t="str">
        <f t="shared" si="48"/>
        <v>31-41</v>
      </c>
      <c r="F442">
        <v>38</v>
      </c>
      <c r="G442" t="s">
        <v>21</v>
      </c>
      <c r="H442">
        <v>3</v>
      </c>
      <c r="I442" t="s">
        <v>130</v>
      </c>
      <c r="K442">
        <f t="shared" si="55"/>
        <v>0</v>
      </c>
      <c r="L442">
        <f t="shared" si="49"/>
        <v>1</v>
      </c>
      <c r="M442">
        <f t="shared" si="50"/>
        <v>0</v>
      </c>
      <c r="N442">
        <f t="shared" si="51"/>
        <v>1</v>
      </c>
      <c r="O442">
        <f t="shared" si="52"/>
        <v>1</v>
      </c>
      <c r="P442">
        <f t="shared" si="53"/>
        <v>0</v>
      </c>
      <c r="Q442">
        <f t="shared" si="54"/>
        <v>0</v>
      </c>
      <c r="R442" t="b">
        <v>1</v>
      </c>
      <c r="S442" t="s">
        <v>693</v>
      </c>
      <c r="T442" s="10">
        <v>0.695138888888889</v>
      </c>
      <c r="U442" s="10">
        <v>0.817361111111111</v>
      </c>
      <c r="V442">
        <v>176</v>
      </c>
      <c r="W442" t="b">
        <v>0</v>
      </c>
    </row>
    <row r="443" spans="1:24">
      <c r="A443">
        <v>442</v>
      </c>
      <c r="B443" t="s">
        <v>694</v>
      </c>
      <c r="C443" t="s">
        <v>16</v>
      </c>
      <c r="D443" s="9">
        <v>34471</v>
      </c>
      <c r="E443" s="9" t="str">
        <f t="shared" si="48"/>
        <v>20-30</v>
      </c>
      <c r="F443">
        <v>30</v>
      </c>
      <c r="G443" t="s">
        <v>21</v>
      </c>
      <c r="H443">
        <v>1</v>
      </c>
      <c r="I443" t="s">
        <v>81</v>
      </c>
      <c r="K443">
        <f t="shared" si="55"/>
        <v>0</v>
      </c>
      <c r="L443">
        <f t="shared" si="49"/>
        <v>0</v>
      </c>
      <c r="M443">
        <f t="shared" si="50"/>
        <v>0</v>
      </c>
      <c r="N443">
        <f t="shared" si="51"/>
        <v>0</v>
      </c>
      <c r="O443">
        <f t="shared" si="52"/>
        <v>0</v>
      </c>
      <c r="P443">
        <f t="shared" si="53"/>
        <v>1</v>
      </c>
      <c r="Q443">
        <f t="shared" si="54"/>
        <v>0</v>
      </c>
      <c r="R443" t="b">
        <v>0</v>
      </c>
      <c r="T443" s="10">
        <v>0.588888888888889</v>
      </c>
      <c r="U443" s="10">
        <v>0.667361111111111</v>
      </c>
      <c r="V443">
        <v>113</v>
      </c>
      <c r="W443" t="b">
        <v>1</v>
      </c>
      <c r="X443" t="s">
        <v>50</v>
      </c>
    </row>
    <row r="444" spans="1:24">
      <c r="A444">
        <v>443</v>
      </c>
      <c r="B444" t="s">
        <v>695</v>
      </c>
      <c r="C444" t="s">
        <v>16</v>
      </c>
      <c r="D444" s="9">
        <v>36110</v>
      </c>
      <c r="E444" s="9" t="str">
        <f t="shared" si="48"/>
        <v>20-30</v>
      </c>
      <c r="F444">
        <v>25</v>
      </c>
      <c r="G444" t="s">
        <v>21</v>
      </c>
      <c r="H444">
        <v>2</v>
      </c>
      <c r="I444" t="s">
        <v>306</v>
      </c>
      <c r="K444">
        <f t="shared" si="55"/>
        <v>1</v>
      </c>
      <c r="L444">
        <f t="shared" si="49"/>
        <v>0</v>
      </c>
      <c r="M444">
        <f t="shared" si="50"/>
        <v>0</v>
      </c>
      <c r="N444">
        <f t="shared" si="51"/>
        <v>0</v>
      </c>
      <c r="O444">
        <f t="shared" si="52"/>
        <v>1</v>
      </c>
      <c r="P444">
        <f t="shared" si="53"/>
        <v>0</v>
      </c>
      <c r="Q444">
        <f t="shared" si="54"/>
        <v>0</v>
      </c>
      <c r="R444" t="b">
        <v>1</v>
      </c>
      <c r="S444" t="s">
        <v>691</v>
      </c>
      <c r="T444" s="10">
        <v>0.582638888888889</v>
      </c>
      <c r="U444" s="10">
        <v>0.613194444444444</v>
      </c>
      <c r="V444">
        <v>44</v>
      </c>
      <c r="W444" t="b">
        <v>1</v>
      </c>
      <c r="X444" t="s">
        <v>47</v>
      </c>
    </row>
    <row r="445" spans="1:24">
      <c r="A445">
        <v>444</v>
      </c>
      <c r="B445" t="s">
        <v>696</v>
      </c>
      <c r="C445" t="s">
        <v>25</v>
      </c>
      <c r="D445" s="9">
        <v>27448</v>
      </c>
      <c r="E445" s="9" t="str">
        <f t="shared" si="48"/>
        <v>41-50</v>
      </c>
      <c r="F445">
        <v>49</v>
      </c>
      <c r="G445" t="s">
        <v>21</v>
      </c>
      <c r="H445">
        <v>2</v>
      </c>
      <c r="I445" t="s">
        <v>461</v>
      </c>
      <c r="K445">
        <f t="shared" si="55"/>
        <v>0</v>
      </c>
      <c r="L445">
        <f t="shared" si="49"/>
        <v>0</v>
      </c>
      <c r="M445">
        <f t="shared" si="50"/>
        <v>0</v>
      </c>
      <c r="N445">
        <f t="shared" si="51"/>
        <v>0</v>
      </c>
      <c r="O445">
        <f t="shared" si="52"/>
        <v>1</v>
      </c>
      <c r="P445">
        <f t="shared" si="53"/>
        <v>1</v>
      </c>
      <c r="Q445">
        <f t="shared" si="54"/>
        <v>0</v>
      </c>
      <c r="R445" t="b">
        <v>0</v>
      </c>
      <c r="T445" s="10">
        <v>0.777777777777778</v>
      </c>
      <c r="U445" s="10">
        <v>0.885416666666667</v>
      </c>
      <c r="V445">
        <v>155</v>
      </c>
      <c r="W445" t="b">
        <v>1</v>
      </c>
      <c r="X445" t="s">
        <v>50</v>
      </c>
    </row>
    <row r="446" spans="1:24">
      <c r="A446">
        <v>445</v>
      </c>
      <c r="B446" t="s">
        <v>697</v>
      </c>
      <c r="C446" t="s">
        <v>16</v>
      </c>
      <c r="D446" s="9">
        <v>32609</v>
      </c>
      <c r="E446" s="9" t="str">
        <f t="shared" si="48"/>
        <v>31-41</v>
      </c>
      <c r="F446">
        <v>35</v>
      </c>
      <c r="G446" t="s">
        <v>17</v>
      </c>
      <c r="H446">
        <v>1</v>
      </c>
      <c r="I446" t="s">
        <v>26</v>
      </c>
      <c r="K446">
        <f t="shared" si="55"/>
        <v>1</v>
      </c>
      <c r="L446">
        <f t="shared" si="49"/>
        <v>0</v>
      </c>
      <c r="M446">
        <f t="shared" si="50"/>
        <v>0</v>
      </c>
      <c r="N446">
        <f t="shared" si="51"/>
        <v>0</v>
      </c>
      <c r="O446">
        <f t="shared" si="52"/>
        <v>0</v>
      </c>
      <c r="P446">
        <f t="shared" si="53"/>
        <v>0</v>
      </c>
      <c r="Q446">
        <f t="shared" si="54"/>
        <v>0</v>
      </c>
      <c r="R446" t="b">
        <v>0</v>
      </c>
      <c r="T446" s="10">
        <v>0.508333333333333</v>
      </c>
      <c r="U446" s="10">
        <v>0.60625</v>
      </c>
      <c r="V446">
        <v>141</v>
      </c>
      <c r="W446" t="b">
        <v>0</v>
      </c>
    </row>
    <row r="447" spans="1:24">
      <c r="A447">
        <v>446</v>
      </c>
      <c r="B447" t="s">
        <v>698</v>
      </c>
      <c r="C447" t="s">
        <v>16</v>
      </c>
      <c r="D447" s="9">
        <v>30290</v>
      </c>
      <c r="E447" s="9" t="str">
        <f t="shared" si="48"/>
        <v>41-50</v>
      </c>
      <c r="F447">
        <v>41</v>
      </c>
      <c r="G447" t="s">
        <v>21</v>
      </c>
      <c r="H447">
        <v>2</v>
      </c>
      <c r="I447" t="s">
        <v>189</v>
      </c>
      <c r="K447">
        <f t="shared" si="55"/>
        <v>0</v>
      </c>
      <c r="L447">
        <f t="shared" si="49"/>
        <v>1</v>
      </c>
      <c r="M447">
        <f t="shared" si="50"/>
        <v>1</v>
      </c>
      <c r="N447">
        <f t="shared" si="51"/>
        <v>0</v>
      </c>
      <c r="O447">
        <f t="shared" si="52"/>
        <v>0</v>
      </c>
      <c r="P447">
        <f t="shared" si="53"/>
        <v>0</v>
      </c>
      <c r="Q447">
        <f t="shared" si="54"/>
        <v>0</v>
      </c>
      <c r="R447" t="b">
        <v>1</v>
      </c>
      <c r="S447" t="s">
        <v>699</v>
      </c>
      <c r="T447" s="10">
        <v>0.5875</v>
      </c>
      <c r="U447" s="10">
        <v>0.706944444444444</v>
      </c>
      <c r="V447">
        <v>172</v>
      </c>
      <c r="W447" t="b">
        <v>1</v>
      </c>
      <c r="X447" t="s">
        <v>47</v>
      </c>
    </row>
    <row r="448" spans="1:24">
      <c r="A448">
        <v>447</v>
      </c>
      <c r="B448" t="s">
        <v>700</v>
      </c>
      <c r="C448" t="s">
        <v>25</v>
      </c>
      <c r="D448" s="9">
        <v>33337</v>
      </c>
      <c r="E448" s="9" t="str">
        <f t="shared" si="48"/>
        <v>31-41</v>
      </c>
      <c r="F448">
        <v>33</v>
      </c>
      <c r="G448" t="s">
        <v>17</v>
      </c>
      <c r="H448">
        <v>3</v>
      </c>
      <c r="I448" t="s">
        <v>57</v>
      </c>
      <c r="K448">
        <f t="shared" si="55"/>
        <v>1</v>
      </c>
      <c r="L448">
        <f t="shared" si="49"/>
        <v>1</v>
      </c>
      <c r="M448">
        <f t="shared" si="50"/>
        <v>0</v>
      </c>
      <c r="N448">
        <f t="shared" si="51"/>
        <v>1</v>
      </c>
      <c r="O448">
        <f t="shared" si="52"/>
        <v>0</v>
      </c>
      <c r="P448">
        <f t="shared" si="53"/>
        <v>0</v>
      </c>
      <c r="Q448">
        <f t="shared" si="54"/>
        <v>0</v>
      </c>
      <c r="R448" t="b">
        <v>0</v>
      </c>
      <c r="T448" s="10">
        <v>0.384722222222222</v>
      </c>
      <c r="U448" s="10">
        <v>0.433333333333333</v>
      </c>
      <c r="V448">
        <v>70</v>
      </c>
      <c r="W448" t="b">
        <v>0</v>
      </c>
    </row>
    <row r="449" spans="1:24">
      <c r="A449">
        <v>448</v>
      </c>
      <c r="B449" t="s">
        <v>701</v>
      </c>
      <c r="C449" t="s">
        <v>16</v>
      </c>
      <c r="D449" s="9">
        <v>35624</v>
      </c>
      <c r="E449" s="9" t="str">
        <f t="shared" si="48"/>
        <v>20-30</v>
      </c>
      <c r="F449">
        <v>27</v>
      </c>
      <c r="G449" t="s">
        <v>17</v>
      </c>
      <c r="H449">
        <v>2</v>
      </c>
      <c r="I449" t="s">
        <v>461</v>
      </c>
      <c r="K449">
        <f t="shared" si="55"/>
        <v>0</v>
      </c>
      <c r="L449">
        <f t="shared" si="49"/>
        <v>0</v>
      </c>
      <c r="M449">
        <f t="shared" si="50"/>
        <v>0</v>
      </c>
      <c r="N449">
        <f t="shared" si="51"/>
        <v>0</v>
      </c>
      <c r="O449">
        <f t="shared" si="52"/>
        <v>1</v>
      </c>
      <c r="P449">
        <f t="shared" si="53"/>
        <v>1</v>
      </c>
      <c r="Q449">
        <f t="shared" si="54"/>
        <v>0</v>
      </c>
      <c r="R449" t="b">
        <v>0</v>
      </c>
      <c r="T449" s="10">
        <v>0.723611111111111</v>
      </c>
      <c r="U449" s="10">
        <v>0.752777777777778</v>
      </c>
      <c r="V449">
        <v>42</v>
      </c>
      <c r="W449" t="b">
        <v>0</v>
      </c>
    </row>
    <row r="450" spans="1:24">
      <c r="A450">
        <v>449</v>
      </c>
      <c r="B450" t="s">
        <v>702</v>
      </c>
      <c r="C450" t="s">
        <v>16</v>
      </c>
      <c r="D450" s="9">
        <v>38921</v>
      </c>
      <c r="E450" s="9" t="str">
        <f t="shared" ref="E450:E513" si="56">IF(F450&lt;20,"below 20",IF(F450&lt;=30,"20-30",IF(F450&lt;=40,"31-41",IF(F450&lt;=50,"41-50","above 50"))))</f>
        <v>below 20</v>
      </c>
      <c r="F450">
        <v>18</v>
      </c>
      <c r="G450" t="s">
        <v>21</v>
      </c>
      <c r="H450">
        <v>3</v>
      </c>
      <c r="I450" t="s">
        <v>266</v>
      </c>
      <c r="K450">
        <f t="shared" si="55"/>
        <v>1</v>
      </c>
      <c r="L450">
        <f t="shared" si="49"/>
        <v>0</v>
      </c>
      <c r="M450">
        <f t="shared" si="50"/>
        <v>0</v>
      </c>
      <c r="N450">
        <f t="shared" si="51"/>
        <v>0</v>
      </c>
      <c r="O450">
        <f t="shared" si="52"/>
        <v>1</v>
      </c>
      <c r="P450">
        <f t="shared" si="53"/>
        <v>1</v>
      </c>
      <c r="Q450">
        <f t="shared" si="54"/>
        <v>0</v>
      </c>
      <c r="R450" t="b">
        <v>1</v>
      </c>
      <c r="S450" t="s">
        <v>83</v>
      </c>
      <c r="T450" s="10">
        <v>0.779861111111111</v>
      </c>
      <c r="U450" s="10">
        <v>0.870138888888889</v>
      </c>
      <c r="V450">
        <v>130</v>
      </c>
      <c r="W450" t="b">
        <v>0</v>
      </c>
    </row>
    <row r="451" spans="1:24">
      <c r="A451">
        <v>450</v>
      </c>
      <c r="B451" t="s">
        <v>703</v>
      </c>
      <c r="C451" t="s">
        <v>25</v>
      </c>
      <c r="D451" s="9">
        <v>38892</v>
      </c>
      <c r="E451" s="9" t="str">
        <f t="shared" si="56"/>
        <v>below 20</v>
      </c>
      <c r="F451">
        <v>18</v>
      </c>
      <c r="G451" t="s">
        <v>17</v>
      </c>
      <c r="H451">
        <v>4</v>
      </c>
      <c r="I451" t="s">
        <v>704</v>
      </c>
      <c r="K451">
        <f t="shared" si="55"/>
        <v>0</v>
      </c>
      <c r="L451">
        <f t="shared" ref="L451:L514" si="57">--ISNUMBER(SEARCH("Mon",I451))</f>
        <v>0</v>
      </c>
      <c r="M451">
        <f t="shared" ref="M451:M514" si="58">--ISNUMBER(SEARCH("Tue",I451))</f>
        <v>1</v>
      </c>
      <c r="N451">
        <f t="shared" ref="N451:N514" si="59">--ISNUMBER(SEARCH("Wed",I451))</f>
        <v>1</v>
      </c>
      <c r="O451">
        <f t="shared" ref="O451:O514" si="60">--ISNUMBER(SEARCH("Thu",I451))</f>
        <v>0</v>
      </c>
      <c r="P451">
        <f t="shared" ref="P451:P514" si="61">--ISNUMBER(SEARCH("Fri",I451))</f>
        <v>1</v>
      </c>
      <c r="Q451">
        <f t="shared" ref="Q451:Q514" si="62">--ISNUMBER(SEARCH("Sat",I451))</f>
        <v>1</v>
      </c>
      <c r="R451" t="b">
        <v>1</v>
      </c>
      <c r="S451" t="s">
        <v>705</v>
      </c>
      <c r="T451" s="10">
        <v>0.797222222222222</v>
      </c>
      <c r="U451" s="10">
        <v>0.847916666666667</v>
      </c>
      <c r="V451">
        <v>73</v>
      </c>
      <c r="W451" t="b">
        <v>0</v>
      </c>
    </row>
    <row r="452" spans="1:24">
      <c r="A452">
        <v>451</v>
      </c>
      <c r="B452" t="s">
        <v>706</v>
      </c>
      <c r="C452" t="s">
        <v>16</v>
      </c>
      <c r="D452" s="9">
        <v>34433</v>
      </c>
      <c r="E452" s="9" t="str">
        <f t="shared" si="56"/>
        <v>20-30</v>
      </c>
      <c r="F452">
        <v>30</v>
      </c>
      <c r="G452" t="s">
        <v>17</v>
      </c>
      <c r="H452">
        <v>4</v>
      </c>
      <c r="I452" t="s">
        <v>18</v>
      </c>
      <c r="K452">
        <f t="shared" si="55"/>
        <v>0</v>
      </c>
      <c r="L452">
        <f t="shared" si="57"/>
        <v>1</v>
      </c>
      <c r="M452">
        <f t="shared" si="58"/>
        <v>1</v>
      </c>
      <c r="N452">
        <f t="shared" si="59"/>
        <v>1</v>
      </c>
      <c r="O452">
        <f t="shared" si="60"/>
        <v>0</v>
      </c>
      <c r="P452">
        <f t="shared" si="61"/>
        <v>0</v>
      </c>
      <c r="Q452">
        <f t="shared" si="62"/>
        <v>1</v>
      </c>
      <c r="R452" t="b">
        <v>1</v>
      </c>
      <c r="S452" t="s">
        <v>44</v>
      </c>
      <c r="T452" s="10">
        <v>0.602083333333333</v>
      </c>
      <c r="U452" s="10">
        <v>0.709027777777778</v>
      </c>
      <c r="V452">
        <v>154</v>
      </c>
      <c r="W452" t="b">
        <v>1</v>
      </c>
      <c r="X452" t="s">
        <v>47</v>
      </c>
    </row>
    <row r="453" spans="1:24">
      <c r="A453">
        <v>452</v>
      </c>
      <c r="B453" t="s">
        <v>707</v>
      </c>
      <c r="C453" t="s">
        <v>16</v>
      </c>
      <c r="D453" s="9">
        <v>31214</v>
      </c>
      <c r="E453" s="9" t="str">
        <f t="shared" si="56"/>
        <v>31-41</v>
      </c>
      <c r="F453">
        <v>39</v>
      </c>
      <c r="G453" t="s">
        <v>21</v>
      </c>
      <c r="H453">
        <v>4</v>
      </c>
      <c r="I453" t="s">
        <v>593</v>
      </c>
      <c r="K453">
        <f t="shared" ref="K453:K516" si="63">--ISNUMBER(SEARCH("Sun",I453))</f>
        <v>0</v>
      </c>
      <c r="L453">
        <f t="shared" si="57"/>
        <v>0</v>
      </c>
      <c r="M453">
        <f t="shared" si="58"/>
        <v>1</v>
      </c>
      <c r="N453">
        <f t="shared" si="59"/>
        <v>1</v>
      </c>
      <c r="O453">
        <f t="shared" si="60"/>
        <v>1</v>
      </c>
      <c r="P453">
        <f t="shared" si="61"/>
        <v>0</v>
      </c>
      <c r="Q453">
        <f t="shared" si="62"/>
        <v>1</v>
      </c>
      <c r="R453" t="b">
        <v>1</v>
      </c>
      <c r="S453" t="s">
        <v>708</v>
      </c>
      <c r="T453" s="10">
        <v>0.68125</v>
      </c>
      <c r="U453" s="10">
        <v>0.79375</v>
      </c>
      <c r="V453">
        <v>162</v>
      </c>
      <c r="W453" t="b">
        <v>1</v>
      </c>
      <c r="X453" t="s">
        <v>47</v>
      </c>
    </row>
    <row r="454" spans="1:24">
      <c r="A454">
        <v>453</v>
      </c>
      <c r="B454" t="s">
        <v>709</v>
      </c>
      <c r="C454" t="s">
        <v>16</v>
      </c>
      <c r="D454" s="9">
        <v>34418</v>
      </c>
      <c r="E454" s="9" t="str">
        <f t="shared" si="56"/>
        <v>20-30</v>
      </c>
      <c r="F454">
        <v>30</v>
      </c>
      <c r="G454" t="s">
        <v>21</v>
      </c>
      <c r="H454">
        <v>3</v>
      </c>
      <c r="I454" t="s">
        <v>150</v>
      </c>
      <c r="K454">
        <f t="shared" si="63"/>
        <v>0</v>
      </c>
      <c r="L454">
        <f t="shared" si="57"/>
        <v>1</v>
      </c>
      <c r="M454">
        <f t="shared" si="58"/>
        <v>0</v>
      </c>
      <c r="N454">
        <f t="shared" si="59"/>
        <v>1</v>
      </c>
      <c r="O454">
        <f t="shared" si="60"/>
        <v>0</v>
      </c>
      <c r="P454">
        <f t="shared" si="61"/>
        <v>0</v>
      </c>
      <c r="Q454">
        <f t="shared" si="62"/>
        <v>1</v>
      </c>
      <c r="R454" t="b">
        <v>1</v>
      </c>
      <c r="S454" t="s">
        <v>710</v>
      </c>
      <c r="T454" s="10">
        <v>0.775</v>
      </c>
      <c r="U454" s="10">
        <v>0.815972222222222</v>
      </c>
      <c r="V454">
        <v>59</v>
      </c>
      <c r="W454" t="b">
        <v>1</v>
      </c>
      <c r="X454" t="s">
        <v>47</v>
      </c>
    </row>
    <row r="455" spans="1:24">
      <c r="A455">
        <v>454</v>
      </c>
      <c r="B455" t="s">
        <v>711</v>
      </c>
      <c r="C455" t="s">
        <v>16</v>
      </c>
      <c r="D455" s="9">
        <v>36170</v>
      </c>
      <c r="E455" s="9" t="str">
        <f t="shared" si="56"/>
        <v>20-30</v>
      </c>
      <c r="F455">
        <v>25</v>
      </c>
      <c r="G455" t="s">
        <v>17</v>
      </c>
      <c r="H455">
        <v>4</v>
      </c>
      <c r="I455" t="s">
        <v>439</v>
      </c>
      <c r="K455">
        <f t="shared" si="63"/>
        <v>0</v>
      </c>
      <c r="L455">
        <f t="shared" si="57"/>
        <v>1</v>
      </c>
      <c r="M455">
        <f t="shared" si="58"/>
        <v>1</v>
      </c>
      <c r="N455">
        <f t="shared" si="59"/>
        <v>1</v>
      </c>
      <c r="O455">
        <f t="shared" si="60"/>
        <v>1</v>
      </c>
      <c r="P455">
        <f t="shared" si="61"/>
        <v>0</v>
      </c>
      <c r="Q455">
        <f t="shared" si="62"/>
        <v>0</v>
      </c>
      <c r="R455" t="b">
        <v>1</v>
      </c>
      <c r="S455" t="s">
        <v>217</v>
      </c>
      <c r="T455" s="10">
        <v>0.759722222222222</v>
      </c>
      <c r="U455" s="10">
        <v>0.872222222222222</v>
      </c>
      <c r="V455">
        <v>162</v>
      </c>
      <c r="W455" t="b">
        <v>1</v>
      </c>
      <c r="X455" t="s">
        <v>23</v>
      </c>
    </row>
    <row r="456" spans="1:24">
      <c r="A456">
        <v>455</v>
      </c>
      <c r="B456" t="s">
        <v>712</v>
      </c>
      <c r="C456" t="s">
        <v>16</v>
      </c>
      <c r="D456" s="9">
        <v>39587</v>
      </c>
      <c r="E456" s="9" t="str">
        <f t="shared" si="56"/>
        <v>below 20</v>
      </c>
      <c r="F456">
        <v>16</v>
      </c>
      <c r="G456" t="s">
        <v>21</v>
      </c>
      <c r="H456">
        <v>1</v>
      </c>
      <c r="I456" t="s">
        <v>59</v>
      </c>
      <c r="K456">
        <f t="shared" si="63"/>
        <v>0</v>
      </c>
      <c r="L456">
        <f t="shared" si="57"/>
        <v>0</v>
      </c>
      <c r="M456">
        <f t="shared" si="58"/>
        <v>0</v>
      </c>
      <c r="N456">
        <f t="shared" si="59"/>
        <v>0</v>
      </c>
      <c r="O456">
        <f t="shared" si="60"/>
        <v>0</v>
      </c>
      <c r="P456">
        <f t="shared" si="61"/>
        <v>0</v>
      </c>
      <c r="Q456">
        <f t="shared" si="62"/>
        <v>1</v>
      </c>
      <c r="R456" t="b">
        <v>1</v>
      </c>
      <c r="S456" t="s">
        <v>89</v>
      </c>
      <c r="T456" s="10">
        <v>0.834722222222222</v>
      </c>
      <c r="U456" s="10">
        <v>0.886805555555556</v>
      </c>
      <c r="V456">
        <v>75</v>
      </c>
      <c r="W456" t="b">
        <v>1</v>
      </c>
      <c r="X456" t="s">
        <v>28</v>
      </c>
    </row>
    <row r="457" spans="1:24">
      <c r="A457">
        <v>456</v>
      </c>
      <c r="B457" t="s">
        <v>713</v>
      </c>
      <c r="C457" t="s">
        <v>25</v>
      </c>
      <c r="D457" s="9">
        <v>34329</v>
      </c>
      <c r="E457" s="9" t="str">
        <f t="shared" si="56"/>
        <v>20-30</v>
      </c>
      <c r="F457">
        <v>30</v>
      </c>
      <c r="G457" t="s">
        <v>21</v>
      </c>
      <c r="H457">
        <v>3</v>
      </c>
      <c r="I457" t="s">
        <v>116</v>
      </c>
      <c r="K457">
        <f t="shared" si="63"/>
        <v>0</v>
      </c>
      <c r="L457">
        <f t="shared" si="57"/>
        <v>0</v>
      </c>
      <c r="M457">
        <f t="shared" si="58"/>
        <v>0</v>
      </c>
      <c r="N457">
        <f t="shared" si="59"/>
        <v>1</v>
      </c>
      <c r="O457">
        <f t="shared" si="60"/>
        <v>1</v>
      </c>
      <c r="P457">
        <f t="shared" si="61"/>
        <v>0</v>
      </c>
      <c r="Q457">
        <f t="shared" si="62"/>
        <v>1</v>
      </c>
      <c r="R457" t="b">
        <v>1</v>
      </c>
      <c r="S457" t="s">
        <v>714</v>
      </c>
      <c r="T457" s="10">
        <v>0.621527777777778</v>
      </c>
      <c r="U457" s="10">
        <v>0.64375</v>
      </c>
      <c r="V457">
        <v>32</v>
      </c>
      <c r="W457" t="b">
        <v>1</v>
      </c>
      <c r="X457" t="s">
        <v>23</v>
      </c>
    </row>
    <row r="458" spans="1:24">
      <c r="A458">
        <v>457</v>
      </c>
      <c r="B458" t="s">
        <v>715</v>
      </c>
      <c r="C458" t="s">
        <v>16</v>
      </c>
      <c r="D458" s="9">
        <v>30394</v>
      </c>
      <c r="E458" s="9" t="str">
        <f t="shared" si="56"/>
        <v>41-50</v>
      </c>
      <c r="F458">
        <v>41</v>
      </c>
      <c r="G458" t="s">
        <v>17</v>
      </c>
      <c r="H458">
        <v>1</v>
      </c>
      <c r="I458" t="s">
        <v>59</v>
      </c>
      <c r="K458">
        <f t="shared" si="63"/>
        <v>0</v>
      </c>
      <c r="L458">
        <f t="shared" si="57"/>
        <v>0</v>
      </c>
      <c r="M458">
        <f t="shared" si="58"/>
        <v>0</v>
      </c>
      <c r="N458">
        <f t="shared" si="59"/>
        <v>0</v>
      </c>
      <c r="O458">
        <f t="shared" si="60"/>
        <v>0</v>
      </c>
      <c r="P458">
        <f t="shared" si="61"/>
        <v>0</v>
      </c>
      <c r="Q458">
        <f t="shared" si="62"/>
        <v>1</v>
      </c>
      <c r="R458" t="b">
        <v>0</v>
      </c>
      <c r="T458" s="10">
        <v>0.68125</v>
      </c>
      <c r="U458" s="10">
        <v>0.713194444444444</v>
      </c>
      <c r="V458">
        <v>46</v>
      </c>
      <c r="W458" t="b">
        <v>1</v>
      </c>
      <c r="X458" t="s">
        <v>50</v>
      </c>
    </row>
    <row r="459" spans="1:24">
      <c r="A459">
        <v>458</v>
      </c>
      <c r="B459" t="s">
        <v>716</v>
      </c>
      <c r="C459" t="s">
        <v>16</v>
      </c>
      <c r="D459" s="9">
        <v>31457</v>
      </c>
      <c r="E459" s="9" t="str">
        <f t="shared" si="56"/>
        <v>31-41</v>
      </c>
      <c r="F459">
        <v>38</v>
      </c>
      <c r="G459" t="s">
        <v>21</v>
      </c>
      <c r="H459">
        <v>3</v>
      </c>
      <c r="I459" t="s">
        <v>164</v>
      </c>
      <c r="K459">
        <f t="shared" si="63"/>
        <v>0</v>
      </c>
      <c r="L459">
        <f t="shared" si="57"/>
        <v>0</v>
      </c>
      <c r="M459">
        <f t="shared" si="58"/>
        <v>1</v>
      </c>
      <c r="N459">
        <f t="shared" si="59"/>
        <v>0</v>
      </c>
      <c r="O459">
        <f t="shared" si="60"/>
        <v>1</v>
      </c>
      <c r="P459">
        <f t="shared" si="61"/>
        <v>1</v>
      </c>
      <c r="Q459">
        <f t="shared" si="62"/>
        <v>0</v>
      </c>
      <c r="R459" t="b">
        <v>1</v>
      </c>
      <c r="S459" t="s">
        <v>717</v>
      </c>
      <c r="T459" s="10">
        <v>0.484027777777778</v>
      </c>
      <c r="U459" s="10">
        <v>0.542361111111111</v>
      </c>
      <c r="V459">
        <v>84</v>
      </c>
      <c r="W459" t="b">
        <v>1</v>
      </c>
      <c r="X459" t="s">
        <v>47</v>
      </c>
    </row>
    <row r="460" spans="1:24">
      <c r="A460">
        <v>459</v>
      </c>
      <c r="B460" t="s">
        <v>718</v>
      </c>
      <c r="C460" t="s">
        <v>25</v>
      </c>
      <c r="D460" s="9">
        <v>28551</v>
      </c>
      <c r="E460" s="9" t="str">
        <f t="shared" si="56"/>
        <v>41-50</v>
      </c>
      <c r="F460">
        <v>46</v>
      </c>
      <c r="G460" t="s">
        <v>21</v>
      </c>
      <c r="H460">
        <v>3</v>
      </c>
      <c r="I460" t="s">
        <v>130</v>
      </c>
      <c r="K460">
        <f t="shared" si="63"/>
        <v>0</v>
      </c>
      <c r="L460">
        <f t="shared" si="57"/>
        <v>1</v>
      </c>
      <c r="M460">
        <f t="shared" si="58"/>
        <v>0</v>
      </c>
      <c r="N460">
        <f t="shared" si="59"/>
        <v>1</v>
      </c>
      <c r="O460">
        <f t="shared" si="60"/>
        <v>1</v>
      </c>
      <c r="P460">
        <f t="shared" si="61"/>
        <v>0</v>
      </c>
      <c r="Q460">
        <f t="shared" si="62"/>
        <v>0</v>
      </c>
      <c r="R460" t="b">
        <v>0</v>
      </c>
      <c r="T460" s="10">
        <v>0.769444444444444</v>
      </c>
      <c r="U460" s="10">
        <v>0.873611111111111</v>
      </c>
      <c r="V460">
        <v>150</v>
      </c>
      <c r="W460" t="b">
        <v>1</v>
      </c>
      <c r="X460" t="s">
        <v>47</v>
      </c>
    </row>
    <row r="461" spans="1:24">
      <c r="A461">
        <v>460</v>
      </c>
      <c r="B461" t="s">
        <v>719</v>
      </c>
      <c r="C461" t="s">
        <v>16</v>
      </c>
      <c r="D461" s="9">
        <v>35053</v>
      </c>
      <c r="E461" s="9" t="str">
        <f t="shared" si="56"/>
        <v>20-30</v>
      </c>
      <c r="F461">
        <v>28</v>
      </c>
      <c r="G461" t="s">
        <v>17</v>
      </c>
      <c r="H461">
        <v>4</v>
      </c>
      <c r="I461" t="s">
        <v>430</v>
      </c>
      <c r="K461">
        <f t="shared" si="63"/>
        <v>1</v>
      </c>
      <c r="L461">
        <f t="shared" si="57"/>
        <v>1</v>
      </c>
      <c r="M461">
        <f t="shared" si="58"/>
        <v>0</v>
      </c>
      <c r="N461">
        <f t="shared" si="59"/>
        <v>0</v>
      </c>
      <c r="O461">
        <f t="shared" si="60"/>
        <v>1</v>
      </c>
      <c r="P461">
        <f t="shared" si="61"/>
        <v>1</v>
      </c>
      <c r="Q461">
        <f t="shared" si="62"/>
        <v>0</v>
      </c>
      <c r="R461" t="b">
        <v>0</v>
      </c>
      <c r="T461" s="10">
        <v>0.390277777777778</v>
      </c>
      <c r="U461" s="10">
        <v>0.478472222222222</v>
      </c>
      <c r="V461">
        <v>127</v>
      </c>
      <c r="W461" t="b">
        <v>1</v>
      </c>
      <c r="X461" t="s">
        <v>47</v>
      </c>
    </row>
    <row r="462" spans="1:24">
      <c r="A462">
        <v>461</v>
      </c>
      <c r="B462" t="s">
        <v>720</v>
      </c>
      <c r="C462" t="s">
        <v>25</v>
      </c>
      <c r="D462" s="9">
        <v>39987</v>
      </c>
      <c r="E462" s="9" t="str">
        <f t="shared" si="56"/>
        <v>below 20</v>
      </c>
      <c r="F462">
        <v>15</v>
      </c>
      <c r="G462" t="s">
        <v>17</v>
      </c>
      <c r="H462">
        <v>2</v>
      </c>
      <c r="I462" t="s">
        <v>166</v>
      </c>
      <c r="K462">
        <f t="shared" si="63"/>
        <v>0</v>
      </c>
      <c r="L462">
        <f t="shared" si="57"/>
        <v>1</v>
      </c>
      <c r="M462">
        <f t="shared" si="58"/>
        <v>0</v>
      </c>
      <c r="N462">
        <f t="shared" si="59"/>
        <v>1</v>
      </c>
      <c r="O462">
        <f t="shared" si="60"/>
        <v>0</v>
      </c>
      <c r="P462">
        <f t="shared" si="61"/>
        <v>0</v>
      </c>
      <c r="Q462">
        <f t="shared" si="62"/>
        <v>0</v>
      </c>
      <c r="R462" t="b">
        <v>1</v>
      </c>
      <c r="S462" t="s">
        <v>721</v>
      </c>
      <c r="T462" s="10">
        <v>0.796527777777778</v>
      </c>
      <c r="U462" s="10">
        <v>0.846527777777778</v>
      </c>
      <c r="V462">
        <v>72</v>
      </c>
      <c r="W462" t="b">
        <v>0</v>
      </c>
    </row>
    <row r="463" spans="1:24">
      <c r="A463">
        <v>462</v>
      </c>
      <c r="B463" t="s">
        <v>722</v>
      </c>
      <c r="C463" t="s">
        <v>25</v>
      </c>
      <c r="D463" s="9">
        <v>36312</v>
      </c>
      <c r="E463" s="9" t="str">
        <f t="shared" si="56"/>
        <v>20-30</v>
      </c>
      <c r="F463">
        <v>25</v>
      </c>
      <c r="G463" t="s">
        <v>17</v>
      </c>
      <c r="H463">
        <v>2</v>
      </c>
      <c r="I463" t="s">
        <v>133</v>
      </c>
      <c r="K463">
        <f t="shared" si="63"/>
        <v>1</v>
      </c>
      <c r="L463">
        <f t="shared" si="57"/>
        <v>0</v>
      </c>
      <c r="M463">
        <f t="shared" si="58"/>
        <v>1</v>
      </c>
      <c r="N463">
        <f t="shared" si="59"/>
        <v>0</v>
      </c>
      <c r="O463">
        <f t="shared" si="60"/>
        <v>0</v>
      </c>
      <c r="P463">
        <f t="shared" si="61"/>
        <v>0</v>
      </c>
      <c r="Q463">
        <f t="shared" si="62"/>
        <v>0</v>
      </c>
      <c r="R463" t="b">
        <v>0</v>
      </c>
      <c r="T463" s="10">
        <v>0.454861111111111</v>
      </c>
      <c r="U463" s="10">
        <v>0.577083333333333</v>
      </c>
      <c r="V463">
        <v>176</v>
      </c>
      <c r="W463" t="b">
        <v>0</v>
      </c>
    </row>
    <row r="464" spans="1:24">
      <c r="A464">
        <v>463</v>
      </c>
      <c r="B464" t="s">
        <v>723</v>
      </c>
      <c r="C464" t="s">
        <v>16</v>
      </c>
      <c r="D464" s="9">
        <v>38829</v>
      </c>
      <c r="E464" s="9" t="str">
        <f t="shared" si="56"/>
        <v>below 20</v>
      </c>
      <c r="F464">
        <v>18</v>
      </c>
      <c r="G464" t="s">
        <v>21</v>
      </c>
      <c r="H464">
        <v>2</v>
      </c>
      <c r="I464" t="s">
        <v>461</v>
      </c>
      <c r="K464">
        <f t="shared" si="63"/>
        <v>0</v>
      </c>
      <c r="L464">
        <f t="shared" si="57"/>
        <v>0</v>
      </c>
      <c r="M464">
        <f t="shared" si="58"/>
        <v>0</v>
      </c>
      <c r="N464">
        <f t="shared" si="59"/>
        <v>0</v>
      </c>
      <c r="O464">
        <f t="shared" si="60"/>
        <v>1</v>
      </c>
      <c r="P464">
        <f t="shared" si="61"/>
        <v>1</v>
      </c>
      <c r="Q464">
        <f t="shared" si="62"/>
        <v>0</v>
      </c>
      <c r="R464" t="b">
        <v>0</v>
      </c>
      <c r="T464" s="10">
        <v>0.760416666666667</v>
      </c>
      <c r="U464" s="10">
        <v>0.788194444444445</v>
      </c>
      <c r="V464">
        <v>40</v>
      </c>
      <c r="W464" t="b">
        <v>0</v>
      </c>
    </row>
    <row r="465" spans="1:24">
      <c r="A465">
        <v>464</v>
      </c>
      <c r="B465" t="s">
        <v>724</v>
      </c>
      <c r="C465" t="s">
        <v>16</v>
      </c>
      <c r="D465" s="9">
        <v>31675</v>
      </c>
      <c r="E465" s="9" t="str">
        <f t="shared" si="56"/>
        <v>31-41</v>
      </c>
      <c r="F465">
        <v>38</v>
      </c>
      <c r="G465" t="s">
        <v>17</v>
      </c>
      <c r="H465">
        <v>4</v>
      </c>
      <c r="I465" t="s">
        <v>725</v>
      </c>
      <c r="K465">
        <f t="shared" si="63"/>
        <v>1</v>
      </c>
      <c r="L465">
        <f t="shared" si="57"/>
        <v>0</v>
      </c>
      <c r="M465">
        <f t="shared" si="58"/>
        <v>1</v>
      </c>
      <c r="N465">
        <f t="shared" si="59"/>
        <v>0</v>
      </c>
      <c r="O465">
        <f t="shared" si="60"/>
        <v>1</v>
      </c>
      <c r="P465">
        <f t="shared" si="61"/>
        <v>0</v>
      </c>
      <c r="Q465">
        <f t="shared" si="62"/>
        <v>1</v>
      </c>
      <c r="R465" t="b">
        <v>1</v>
      </c>
      <c r="S465" t="s">
        <v>139</v>
      </c>
      <c r="T465" s="10">
        <v>0.870833333333333</v>
      </c>
      <c r="U465" s="10">
        <v>0.904861111111111</v>
      </c>
      <c r="V465">
        <v>49</v>
      </c>
      <c r="W465" t="b">
        <v>1</v>
      </c>
      <c r="X465" t="s">
        <v>50</v>
      </c>
    </row>
    <row r="466" spans="1:24">
      <c r="A466">
        <v>465</v>
      </c>
      <c r="B466" t="s">
        <v>726</v>
      </c>
      <c r="C466" t="s">
        <v>16</v>
      </c>
      <c r="D466" s="9">
        <v>37193</v>
      </c>
      <c r="E466" s="9" t="str">
        <f t="shared" si="56"/>
        <v>20-30</v>
      </c>
      <c r="F466">
        <v>22</v>
      </c>
      <c r="G466" t="s">
        <v>21</v>
      </c>
      <c r="H466">
        <v>4</v>
      </c>
      <c r="I466" t="s">
        <v>506</v>
      </c>
      <c r="K466">
        <f t="shared" si="63"/>
        <v>0</v>
      </c>
      <c r="L466">
        <f t="shared" si="57"/>
        <v>1</v>
      </c>
      <c r="M466">
        <f t="shared" si="58"/>
        <v>0</v>
      </c>
      <c r="N466">
        <f t="shared" si="59"/>
        <v>0</v>
      </c>
      <c r="O466">
        <f t="shared" si="60"/>
        <v>1</v>
      </c>
      <c r="P466">
        <f t="shared" si="61"/>
        <v>1</v>
      </c>
      <c r="Q466">
        <f t="shared" si="62"/>
        <v>1</v>
      </c>
      <c r="R466" t="b">
        <v>0</v>
      </c>
      <c r="T466" s="10">
        <v>0.60625</v>
      </c>
      <c r="U466" s="10">
        <v>0.667361111111111</v>
      </c>
      <c r="V466">
        <v>88</v>
      </c>
      <c r="W466" t="b">
        <v>0</v>
      </c>
    </row>
    <row r="467" spans="1:24">
      <c r="A467">
        <v>466</v>
      </c>
      <c r="B467" t="s">
        <v>727</v>
      </c>
      <c r="C467" t="s">
        <v>16</v>
      </c>
      <c r="D467" s="9">
        <v>29233</v>
      </c>
      <c r="E467" s="9" t="str">
        <f t="shared" si="56"/>
        <v>41-50</v>
      </c>
      <c r="F467">
        <v>44</v>
      </c>
      <c r="G467" t="s">
        <v>17</v>
      </c>
      <c r="H467">
        <v>3</v>
      </c>
      <c r="I467" t="s">
        <v>74</v>
      </c>
      <c r="K467">
        <f t="shared" si="63"/>
        <v>1</v>
      </c>
      <c r="L467">
        <f t="shared" si="57"/>
        <v>1</v>
      </c>
      <c r="M467">
        <f t="shared" si="58"/>
        <v>0</v>
      </c>
      <c r="N467">
        <f t="shared" si="59"/>
        <v>0</v>
      </c>
      <c r="O467">
        <f t="shared" si="60"/>
        <v>0</v>
      </c>
      <c r="P467">
        <f t="shared" si="61"/>
        <v>1</v>
      </c>
      <c r="Q467">
        <f t="shared" si="62"/>
        <v>0</v>
      </c>
      <c r="R467" t="b">
        <v>0</v>
      </c>
      <c r="T467" s="10">
        <v>0.740972222222222</v>
      </c>
      <c r="U467" s="10">
        <v>0.854166666666667</v>
      </c>
      <c r="V467">
        <v>163</v>
      </c>
      <c r="W467" t="b">
        <v>1</v>
      </c>
      <c r="X467" t="s">
        <v>47</v>
      </c>
    </row>
    <row r="468" spans="1:24">
      <c r="A468">
        <v>467</v>
      </c>
      <c r="B468" t="s">
        <v>728</v>
      </c>
      <c r="C468" t="s">
        <v>25</v>
      </c>
      <c r="D468" s="9">
        <v>40205</v>
      </c>
      <c r="E468" s="9" t="str">
        <f t="shared" si="56"/>
        <v>below 20</v>
      </c>
      <c r="F468">
        <v>14</v>
      </c>
      <c r="G468" t="s">
        <v>17</v>
      </c>
      <c r="H468">
        <v>5</v>
      </c>
      <c r="I468" t="s">
        <v>104</v>
      </c>
      <c r="K468">
        <f t="shared" si="63"/>
        <v>0</v>
      </c>
      <c r="L468">
        <f t="shared" si="57"/>
        <v>0</v>
      </c>
      <c r="M468">
        <f t="shared" si="58"/>
        <v>1</v>
      </c>
      <c r="N468">
        <f t="shared" si="59"/>
        <v>1</v>
      </c>
      <c r="O468">
        <f t="shared" si="60"/>
        <v>1</v>
      </c>
      <c r="P468">
        <f t="shared" si="61"/>
        <v>1</v>
      </c>
      <c r="Q468">
        <f t="shared" si="62"/>
        <v>1</v>
      </c>
      <c r="R468" t="b">
        <v>1</v>
      </c>
      <c r="S468" t="s">
        <v>729</v>
      </c>
      <c r="T468" s="10">
        <v>0.350694444444444</v>
      </c>
      <c r="U468" s="10">
        <v>0.43125</v>
      </c>
      <c r="V468">
        <v>116</v>
      </c>
      <c r="W468" t="b">
        <v>1</v>
      </c>
      <c r="X468" t="s">
        <v>28</v>
      </c>
    </row>
    <row r="469" spans="1:24">
      <c r="A469">
        <v>468</v>
      </c>
      <c r="B469" t="s">
        <v>730</v>
      </c>
      <c r="C469" t="s">
        <v>16</v>
      </c>
      <c r="D469" s="9">
        <v>30344</v>
      </c>
      <c r="E469" s="9" t="str">
        <f t="shared" si="56"/>
        <v>41-50</v>
      </c>
      <c r="F469">
        <v>41</v>
      </c>
      <c r="G469" t="s">
        <v>17</v>
      </c>
      <c r="H469">
        <v>3</v>
      </c>
      <c r="I469" t="s">
        <v>159</v>
      </c>
      <c r="K469">
        <f t="shared" si="63"/>
        <v>0</v>
      </c>
      <c r="L469">
        <f t="shared" si="57"/>
        <v>1</v>
      </c>
      <c r="M469">
        <f t="shared" si="58"/>
        <v>0</v>
      </c>
      <c r="N469">
        <f t="shared" si="59"/>
        <v>0</v>
      </c>
      <c r="O469">
        <f t="shared" si="60"/>
        <v>1</v>
      </c>
      <c r="P469">
        <f t="shared" si="61"/>
        <v>0</v>
      </c>
      <c r="Q469">
        <f t="shared" si="62"/>
        <v>1</v>
      </c>
      <c r="R469" t="b">
        <v>0</v>
      </c>
      <c r="T469" s="10">
        <v>0.413888888888889</v>
      </c>
      <c r="U469" s="10">
        <v>0.444444444444444</v>
      </c>
      <c r="V469">
        <v>44</v>
      </c>
      <c r="W469" t="b">
        <v>1</v>
      </c>
      <c r="X469" t="s">
        <v>23</v>
      </c>
    </row>
    <row r="470" spans="1:24">
      <c r="A470">
        <v>469</v>
      </c>
      <c r="B470" t="s">
        <v>731</v>
      </c>
      <c r="C470" t="s">
        <v>25</v>
      </c>
      <c r="D470" s="9">
        <v>33045</v>
      </c>
      <c r="E470" s="9" t="str">
        <f t="shared" si="56"/>
        <v>31-41</v>
      </c>
      <c r="F470">
        <v>34</v>
      </c>
      <c r="G470" t="s">
        <v>17</v>
      </c>
      <c r="H470">
        <v>2</v>
      </c>
      <c r="I470" t="s">
        <v>55</v>
      </c>
      <c r="K470">
        <f t="shared" si="63"/>
        <v>1</v>
      </c>
      <c r="L470">
        <f t="shared" si="57"/>
        <v>0</v>
      </c>
      <c r="M470">
        <f t="shared" si="58"/>
        <v>0</v>
      </c>
      <c r="N470">
        <f t="shared" si="59"/>
        <v>1</v>
      </c>
      <c r="O470">
        <f t="shared" si="60"/>
        <v>0</v>
      </c>
      <c r="P470">
        <f t="shared" si="61"/>
        <v>0</v>
      </c>
      <c r="Q470">
        <f t="shared" si="62"/>
        <v>0</v>
      </c>
      <c r="R470" t="b">
        <v>1</v>
      </c>
      <c r="S470" t="s">
        <v>660</v>
      </c>
      <c r="T470" s="10">
        <v>0.56875</v>
      </c>
      <c r="U470" s="10">
        <v>0.681944444444444</v>
      </c>
      <c r="V470">
        <v>163</v>
      </c>
      <c r="W470" t="b">
        <v>1</v>
      </c>
      <c r="X470" t="s">
        <v>47</v>
      </c>
    </row>
    <row r="471" spans="1:24">
      <c r="A471">
        <v>470</v>
      </c>
      <c r="B471" t="s">
        <v>732</v>
      </c>
      <c r="C471" t="s">
        <v>25</v>
      </c>
      <c r="D471" s="9">
        <v>36075</v>
      </c>
      <c r="E471" s="9" t="str">
        <f t="shared" si="56"/>
        <v>20-30</v>
      </c>
      <c r="F471">
        <v>25</v>
      </c>
      <c r="G471" t="s">
        <v>17</v>
      </c>
      <c r="H471">
        <v>1</v>
      </c>
      <c r="I471" t="s">
        <v>59</v>
      </c>
      <c r="K471">
        <f t="shared" si="63"/>
        <v>0</v>
      </c>
      <c r="L471">
        <f t="shared" si="57"/>
        <v>0</v>
      </c>
      <c r="M471">
        <f t="shared" si="58"/>
        <v>0</v>
      </c>
      <c r="N471">
        <f t="shared" si="59"/>
        <v>0</v>
      </c>
      <c r="O471">
        <f t="shared" si="60"/>
        <v>0</v>
      </c>
      <c r="P471">
        <f t="shared" si="61"/>
        <v>0</v>
      </c>
      <c r="Q471">
        <f t="shared" si="62"/>
        <v>1</v>
      </c>
      <c r="R471" t="b">
        <v>1</v>
      </c>
      <c r="S471" t="s">
        <v>654</v>
      </c>
      <c r="T471" s="10">
        <v>0.53125</v>
      </c>
      <c r="U471" s="10">
        <v>0.586805555555556</v>
      </c>
      <c r="V471">
        <v>80</v>
      </c>
      <c r="W471" t="b">
        <v>1</v>
      </c>
      <c r="X471" t="s">
        <v>23</v>
      </c>
    </row>
    <row r="472" spans="1:24">
      <c r="A472">
        <v>471</v>
      </c>
      <c r="B472" t="s">
        <v>733</v>
      </c>
      <c r="C472" t="s">
        <v>16</v>
      </c>
      <c r="D472" s="9">
        <v>27873</v>
      </c>
      <c r="E472" s="9" t="str">
        <f t="shared" si="56"/>
        <v>41-50</v>
      </c>
      <c r="F472">
        <v>48</v>
      </c>
      <c r="G472" t="s">
        <v>21</v>
      </c>
      <c r="H472">
        <v>1</v>
      </c>
      <c r="I472" t="s">
        <v>26</v>
      </c>
      <c r="K472">
        <f t="shared" si="63"/>
        <v>1</v>
      </c>
      <c r="L472">
        <f t="shared" si="57"/>
        <v>0</v>
      </c>
      <c r="M472">
        <f t="shared" si="58"/>
        <v>0</v>
      </c>
      <c r="N472">
        <f t="shared" si="59"/>
        <v>0</v>
      </c>
      <c r="O472">
        <f t="shared" si="60"/>
        <v>0</v>
      </c>
      <c r="P472">
        <f t="shared" si="61"/>
        <v>0</v>
      </c>
      <c r="Q472">
        <f t="shared" si="62"/>
        <v>0</v>
      </c>
      <c r="R472" t="b">
        <v>0</v>
      </c>
      <c r="T472" s="10">
        <v>0.445833333333333</v>
      </c>
      <c r="U472" s="10">
        <v>0.541666666666667</v>
      </c>
      <c r="V472">
        <v>138</v>
      </c>
      <c r="W472" t="b">
        <v>1</v>
      </c>
      <c r="X472" t="s">
        <v>23</v>
      </c>
    </row>
    <row r="473" spans="1:24">
      <c r="A473">
        <v>472</v>
      </c>
      <c r="B473" t="s">
        <v>734</v>
      </c>
      <c r="C473" t="s">
        <v>25</v>
      </c>
      <c r="D473" s="9">
        <v>28857</v>
      </c>
      <c r="E473" s="9" t="str">
        <f t="shared" si="56"/>
        <v>41-50</v>
      </c>
      <c r="F473">
        <v>45</v>
      </c>
      <c r="G473" t="s">
        <v>21</v>
      </c>
      <c r="H473">
        <v>1</v>
      </c>
      <c r="I473" t="s">
        <v>35</v>
      </c>
      <c r="K473">
        <f t="shared" si="63"/>
        <v>0</v>
      </c>
      <c r="L473">
        <f t="shared" si="57"/>
        <v>0</v>
      </c>
      <c r="M473">
        <f t="shared" si="58"/>
        <v>1</v>
      </c>
      <c r="N473">
        <f t="shared" si="59"/>
        <v>0</v>
      </c>
      <c r="O473">
        <f t="shared" si="60"/>
        <v>0</v>
      </c>
      <c r="P473">
        <f t="shared" si="61"/>
        <v>0</v>
      </c>
      <c r="Q473">
        <f t="shared" si="62"/>
        <v>0</v>
      </c>
      <c r="R473" t="b">
        <v>1</v>
      </c>
      <c r="S473" t="s">
        <v>610</v>
      </c>
      <c r="T473" s="10">
        <v>0.396527777777778</v>
      </c>
      <c r="U473" s="10">
        <v>0.423611111111111</v>
      </c>
      <c r="V473">
        <v>39</v>
      </c>
      <c r="W473" t="b">
        <v>0</v>
      </c>
    </row>
    <row r="474" spans="1:24">
      <c r="A474">
        <v>473</v>
      </c>
      <c r="B474" t="s">
        <v>735</v>
      </c>
      <c r="C474" t="s">
        <v>25</v>
      </c>
      <c r="D474" s="9">
        <v>37943</v>
      </c>
      <c r="E474" s="9" t="str">
        <f t="shared" si="56"/>
        <v>20-30</v>
      </c>
      <c r="F474">
        <v>20</v>
      </c>
      <c r="G474" t="s">
        <v>21</v>
      </c>
      <c r="H474">
        <v>4</v>
      </c>
      <c r="I474" t="s">
        <v>672</v>
      </c>
      <c r="K474">
        <f t="shared" si="63"/>
        <v>0</v>
      </c>
      <c r="L474">
        <f t="shared" si="57"/>
        <v>0</v>
      </c>
      <c r="M474">
        <f t="shared" si="58"/>
        <v>1</v>
      </c>
      <c r="N474">
        <f t="shared" si="59"/>
        <v>1</v>
      </c>
      <c r="O474">
        <f t="shared" si="60"/>
        <v>1</v>
      </c>
      <c r="P474">
        <f t="shared" si="61"/>
        <v>1</v>
      </c>
      <c r="Q474">
        <f t="shared" si="62"/>
        <v>0</v>
      </c>
      <c r="R474" t="b">
        <v>1</v>
      </c>
      <c r="S474" t="s">
        <v>736</v>
      </c>
      <c r="T474" s="10">
        <v>0.406944444444444</v>
      </c>
      <c r="U474" s="10">
        <v>0.488194444444444</v>
      </c>
      <c r="V474">
        <v>117</v>
      </c>
      <c r="W474" t="b">
        <v>1</v>
      </c>
      <c r="X474" t="s">
        <v>28</v>
      </c>
    </row>
    <row r="475" spans="1:24">
      <c r="A475">
        <v>474</v>
      </c>
      <c r="B475" t="s">
        <v>737</v>
      </c>
      <c r="C475" t="s">
        <v>25</v>
      </c>
      <c r="D475" s="9">
        <v>33453</v>
      </c>
      <c r="E475" s="9" t="str">
        <f t="shared" si="56"/>
        <v>31-41</v>
      </c>
      <c r="F475">
        <v>33</v>
      </c>
      <c r="G475" t="s">
        <v>21</v>
      </c>
      <c r="H475">
        <v>3</v>
      </c>
      <c r="I475" t="s">
        <v>504</v>
      </c>
      <c r="K475">
        <f t="shared" si="63"/>
        <v>0</v>
      </c>
      <c r="L475">
        <f t="shared" si="57"/>
        <v>0</v>
      </c>
      <c r="M475">
        <f t="shared" si="58"/>
        <v>1</v>
      </c>
      <c r="N475">
        <f t="shared" si="59"/>
        <v>1</v>
      </c>
      <c r="O475">
        <f t="shared" si="60"/>
        <v>0</v>
      </c>
      <c r="P475">
        <f t="shared" si="61"/>
        <v>0</v>
      </c>
      <c r="Q475">
        <f t="shared" si="62"/>
        <v>1</v>
      </c>
      <c r="R475" t="b">
        <v>1</v>
      </c>
      <c r="S475" t="s">
        <v>738</v>
      </c>
      <c r="T475" s="10">
        <v>0.707638888888889</v>
      </c>
      <c r="U475" s="10">
        <v>0.809027777777778</v>
      </c>
      <c r="V475">
        <v>146</v>
      </c>
      <c r="W475" t="b">
        <v>1</v>
      </c>
      <c r="X475" t="s">
        <v>47</v>
      </c>
    </row>
    <row r="476" spans="1:24">
      <c r="A476">
        <v>475</v>
      </c>
      <c r="B476" t="s">
        <v>739</v>
      </c>
      <c r="C476" t="s">
        <v>25</v>
      </c>
      <c r="D476" s="9">
        <v>36985</v>
      </c>
      <c r="E476" s="9" t="str">
        <f t="shared" si="56"/>
        <v>20-30</v>
      </c>
      <c r="F476">
        <v>23</v>
      </c>
      <c r="G476" t="s">
        <v>21</v>
      </c>
      <c r="H476">
        <v>2</v>
      </c>
      <c r="I476" t="s">
        <v>187</v>
      </c>
      <c r="K476">
        <f t="shared" si="63"/>
        <v>0</v>
      </c>
      <c r="L476">
        <f t="shared" si="57"/>
        <v>0</v>
      </c>
      <c r="M476">
        <f t="shared" si="58"/>
        <v>0</v>
      </c>
      <c r="N476">
        <f t="shared" si="59"/>
        <v>1</v>
      </c>
      <c r="O476">
        <f t="shared" si="60"/>
        <v>1</v>
      </c>
      <c r="P476">
        <f t="shared" si="61"/>
        <v>0</v>
      </c>
      <c r="Q476">
        <f t="shared" si="62"/>
        <v>0</v>
      </c>
      <c r="R476" t="b">
        <v>0</v>
      </c>
      <c r="T476" s="10">
        <v>0.497222222222222</v>
      </c>
      <c r="U476" s="10">
        <v>0.542361111111111</v>
      </c>
      <c r="V476">
        <v>65</v>
      </c>
      <c r="W476" t="b">
        <v>1</v>
      </c>
      <c r="X476" t="s">
        <v>47</v>
      </c>
    </row>
    <row r="477" spans="1:24">
      <c r="A477">
        <v>476</v>
      </c>
      <c r="B477" t="s">
        <v>740</v>
      </c>
      <c r="C477" t="s">
        <v>25</v>
      </c>
      <c r="D477" s="9">
        <v>37081</v>
      </c>
      <c r="E477" s="9" t="str">
        <f t="shared" si="56"/>
        <v>20-30</v>
      </c>
      <c r="F477">
        <v>23</v>
      </c>
      <c r="G477" t="s">
        <v>21</v>
      </c>
      <c r="H477">
        <v>2</v>
      </c>
      <c r="I477" t="s">
        <v>272</v>
      </c>
      <c r="K477">
        <f t="shared" si="63"/>
        <v>0</v>
      </c>
      <c r="L477">
        <f t="shared" si="57"/>
        <v>0</v>
      </c>
      <c r="M477">
        <f t="shared" si="58"/>
        <v>1</v>
      </c>
      <c r="N477">
        <f t="shared" si="59"/>
        <v>1</v>
      </c>
      <c r="O477">
        <f t="shared" si="60"/>
        <v>0</v>
      </c>
      <c r="P477">
        <f t="shared" si="61"/>
        <v>0</v>
      </c>
      <c r="Q477">
        <f t="shared" si="62"/>
        <v>0</v>
      </c>
      <c r="R477" t="b">
        <v>1</v>
      </c>
      <c r="S477" t="s">
        <v>741</v>
      </c>
      <c r="T477" s="10">
        <v>0.734027777777778</v>
      </c>
      <c r="U477" s="10">
        <v>0.823611111111111</v>
      </c>
      <c r="V477">
        <v>129</v>
      </c>
      <c r="W477" t="b">
        <v>1</v>
      </c>
      <c r="X477" t="s">
        <v>28</v>
      </c>
    </row>
    <row r="478" spans="1:24">
      <c r="A478">
        <v>477</v>
      </c>
      <c r="B478" t="s">
        <v>742</v>
      </c>
      <c r="C478" t="s">
        <v>16</v>
      </c>
      <c r="D478" s="9">
        <v>37324</v>
      </c>
      <c r="E478" s="9" t="str">
        <f t="shared" si="56"/>
        <v>20-30</v>
      </c>
      <c r="F478">
        <v>22</v>
      </c>
      <c r="G478" t="s">
        <v>17</v>
      </c>
      <c r="H478">
        <v>1</v>
      </c>
      <c r="I478" t="s">
        <v>26</v>
      </c>
      <c r="K478">
        <f t="shared" si="63"/>
        <v>1</v>
      </c>
      <c r="L478">
        <f t="shared" si="57"/>
        <v>0</v>
      </c>
      <c r="M478">
        <f t="shared" si="58"/>
        <v>0</v>
      </c>
      <c r="N478">
        <f t="shared" si="59"/>
        <v>0</v>
      </c>
      <c r="O478">
        <f t="shared" si="60"/>
        <v>0</v>
      </c>
      <c r="P478">
        <f t="shared" si="61"/>
        <v>0</v>
      </c>
      <c r="Q478">
        <f t="shared" si="62"/>
        <v>0</v>
      </c>
      <c r="R478" t="b">
        <v>0</v>
      </c>
      <c r="T478" s="10">
        <v>0.404861111111111</v>
      </c>
      <c r="U478" s="10">
        <v>0.520138888888889</v>
      </c>
      <c r="V478">
        <v>166</v>
      </c>
      <c r="W478" t="b">
        <v>0</v>
      </c>
    </row>
    <row r="479" spans="1:24">
      <c r="A479">
        <v>478</v>
      </c>
      <c r="B479" t="s">
        <v>743</v>
      </c>
      <c r="C479" t="s">
        <v>16</v>
      </c>
      <c r="D479" s="9">
        <v>29525</v>
      </c>
      <c r="E479" s="9" t="str">
        <f t="shared" si="56"/>
        <v>41-50</v>
      </c>
      <c r="F479">
        <v>43</v>
      </c>
      <c r="G479" t="s">
        <v>21</v>
      </c>
      <c r="H479">
        <v>3</v>
      </c>
      <c r="I479" t="s">
        <v>92</v>
      </c>
      <c r="K479">
        <f t="shared" si="63"/>
        <v>0</v>
      </c>
      <c r="L479">
        <f t="shared" si="57"/>
        <v>1</v>
      </c>
      <c r="M479">
        <f t="shared" si="58"/>
        <v>0</v>
      </c>
      <c r="N479">
        <f t="shared" si="59"/>
        <v>1</v>
      </c>
      <c r="O479">
        <f t="shared" si="60"/>
        <v>0</v>
      </c>
      <c r="P479">
        <f t="shared" si="61"/>
        <v>1</v>
      </c>
      <c r="Q479">
        <f t="shared" si="62"/>
        <v>0</v>
      </c>
      <c r="R479" t="b">
        <v>0</v>
      </c>
      <c r="T479" s="10">
        <v>0.497222222222222</v>
      </c>
      <c r="U479" s="10">
        <v>0.530555555555556</v>
      </c>
      <c r="V479">
        <v>48</v>
      </c>
      <c r="W479" t="b">
        <v>1</v>
      </c>
      <c r="X479" t="s">
        <v>28</v>
      </c>
    </row>
    <row r="480" spans="1:24">
      <c r="A480">
        <v>479</v>
      </c>
      <c r="B480" t="s">
        <v>744</v>
      </c>
      <c r="C480" t="s">
        <v>25</v>
      </c>
      <c r="D480" s="9">
        <v>40260</v>
      </c>
      <c r="E480" s="9" t="str">
        <f t="shared" si="56"/>
        <v>below 20</v>
      </c>
      <c r="F480">
        <v>14</v>
      </c>
      <c r="G480" t="s">
        <v>17</v>
      </c>
      <c r="H480">
        <v>2</v>
      </c>
      <c r="I480" t="s">
        <v>306</v>
      </c>
      <c r="K480">
        <f t="shared" si="63"/>
        <v>1</v>
      </c>
      <c r="L480">
        <f t="shared" si="57"/>
        <v>0</v>
      </c>
      <c r="M480">
        <f t="shared" si="58"/>
        <v>0</v>
      </c>
      <c r="N480">
        <f t="shared" si="59"/>
        <v>0</v>
      </c>
      <c r="O480">
        <f t="shared" si="60"/>
        <v>1</v>
      </c>
      <c r="P480">
        <f t="shared" si="61"/>
        <v>0</v>
      </c>
      <c r="Q480">
        <f t="shared" si="62"/>
        <v>0</v>
      </c>
      <c r="R480" t="b">
        <v>0</v>
      </c>
      <c r="T480" s="10">
        <v>0.515972222222222</v>
      </c>
      <c r="U480" s="10">
        <v>0.621527777777778</v>
      </c>
      <c r="V480">
        <v>152</v>
      </c>
      <c r="W480" t="b">
        <v>1</v>
      </c>
      <c r="X480" t="s">
        <v>23</v>
      </c>
    </row>
    <row r="481" spans="1:24">
      <c r="A481">
        <v>480</v>
      </c>
      <c r="B481" t="s">
        <v>745</v>
      </c>
      <c r="C481" t="s">
        <v>25</v>
      </c>
      <c r="D481" s="9">
        <v>36732</v>
      </c>
      <c r="E481" s="9" t="str">
        <f t="shared" si="56"/>
        <v>20-30</v>
      </c>
      <c r="F481">
        <v>24</v>
      </c>
      <c r="G481" t="s">
        <v>17</v>
      </c>
      <c r="H481">
        <v>2</v>
      </c>
      <c r="I481" t="s">
        <v>203</v>
      </c>
      <c r="K481">
        <f t="shared" si="63"/>
        <v>1</v>
      </c>
      <c r="L481">
        <f t="shared" si="57"/>
        <v>0</v>
      </c>
      <c r="M481">
        <f t="shared" si="58"/>
        <v>0</v>
      </c>
      <c r="N481">
        <f t="shared" si="59"/>
        <v>0</v>
      </c>
      <c r="O481">
        <f t="shared" si="60"/>
        <v>0</v>
      </c>
      <c r="P481">
        <f t="shared" si="61"/>
        <v>1</v>
      </c>
      <c r="Q481">
        <f t="shared" si="62"/>
        <v>0</v>
      </c>
      <c r="R481" t="b">
        <v>1</v>
      </c>
      <c r="S481" t="s">
        <v>746</v>
      </c>
      <c r="T481" s="10">
        <v>0.490277777777778</v>
      </c>
      <c r="U481" s="10">
        <v>0.578472222222222</v>
      </c>
      <c r="V481">
        <v>127</v>
      </c>
      <c r="W481" t="b">
        <v>0</v>
      </c>
    </row>
    <row r="482" spans="1:24">
      <c r="A482">
        <v>481</v>
      </c>
      <c r="B482" t="s">
        <v>747</v>
      </c>
      <c r="C482" t="s">
        <v>16</v>
      </c>
      <c r="D482" s="9">
        <v>28940</v>
      </c>
      <c r="E482" s="9" t="str">
        <f t="shared" si="56"/>
        <v>41-50</v>
      </c>
      <c r="F482">
        <v>45</v>
      </c>
      <c r="G482" t="s">
        <v>21</v>
      </c>
      <c r="H482">
        <v>1</v>
      </c>
      <c r="I482" t="s">
        <v>26</v>
      </c>
      <c r="K482">
        <f t="shared" si="63"/>
        <v>1</v>
      </c>
      <c r="L482">
        <f t="shared" si="57"/>
        <v>0</v>
      </c>
      <c r="M482">
        <f t="shared" si="58"/>
        <v>0</v>
      </c>
      <c r="N482">
        <f t="shared" si="59"/>
        <v>0</v>
      </c>
      <c r="O482">
        <f t="shared" si="60"/>
        <v>0</v>
      </c>
      <c r="P482">
        <f t="shared" si="61"/>
        <v>0</v>
      </c>
      <c r="Q482">
        <f t="shared" si="62"/>
        <v>0</v>
      </c>
      <c r="R482" t="b">
        <v>0</v>
      </c>
      <c r="T482" s="10">
        <v>0.861111111111111</v>
      </c>
      <c r="U482" s="10">
        <v>0.936111111111111</v>
      </c>
      <c r="V482">
        <v>108</v>
      </c>
      <c r="W482" t="b">
        <v>0</v>
      </c>
    </row>
    <row r="483" spans="1:24">
      <c r="A483">
        <v>482</v>
      </c>
      <c r="B483" t="s">
        <v>748</v>
      </c>
      <c r="C483" t="s">
        <v>25</v>
      </c>
      <c r="D483" s="9">
        <v>38560</v>
      </c>
      <c r="E483" s="9" t="str">
        <f t="shared" si="56"/>
        <v>below 20</v>
      </c>
      <c r="F483">
        <v>19</v>
      </c>
      <c r="G483" t="s">
        <v>17</v>
      </c>
      <c r="H483">
        <v>2</v>
      </c>
      <c r="I483" t="s">
        <v>189</v>
      </c>
      <c r="K483">
        <f t="shared" si="63"/>
        <v>0</v>
      </c>
      <c r="L483">
        <f t="shared" si="57"/>
        <v>1</v>
      </c>
      <c r="M483">
        <f t="shared" si="58"/>
        <v>1</v>
      </c>
      <c r="N483">
        <f t="shared" si="59"/>
        <v>0</v>
      </c>
      <c r="O483">
        <f t="shared" si="60"/>
        <v>0</v>
      </c>
      <c r="P483">
        <f t="shared" si="61"/>
        <v>0</v>
      </c>
      <c r="Q483">
        <f t="shared" si="62"/>
        <v>0</v>
      </c>
      <c r="R483" t="b">
        <v>1</v>
      </c>
      <c r="S483" t="s">
        <v>114</v>
      </c>
      <c r="T483" s="10">
        <v>0.534722222222222</v>
      </c>
      <c r="U483" s="10">
        <v>0.561805555555556</v>
      </c>
      <c r="V483">
        <v>39</v>
      </c>
      <c r="W483" t="b">
        <v>0</v>
      </c>
    </row>
    <row r="484" spans="1:24">
      <c r="A484">
        <v>483</v>
      </c>
      <c r="B484" t="s">
        <v>611</v>
      </c>
      <c r="C484" t="s">
        <v>16</v>
      </c>
      <c r="D484" s="9">
        <v>35871</v>
      </c>
      <c r="E484" s="9" t="str">
        <f t="shared" si="56"/>
        <v>20-30</v>
      </c>
      <c r="F484">
        <v>26</v>
      </c>
      <c r="G484" t="s">
        <v>17</v>
      </c>
      <c r="H484">
        <v>3</v>
      </c>
      <c r="I484" t="s">
        <v>98</v>
      </c>
      <c r="K484">
        <f t="shared" si="63"/>
        <v>0</v>
      </c>
      <c r="L484">
        <f t="shared" si="57"/>
        <v>1</v>
      </c>
      <c r="M484">
        <f t="shared" si="58"/>
        <v>0</v>
      </c>
      <c r="N484">
        <f t="shared" si="59"/>
        <v>0</v>
      </c>
      <c r="O484">
        <f t="shared" si="60"/>
        <v>1</v>
      </c>
      <c r="P484">
        <f t="shared" si="61"/>
        <v>1</v>
      </c>
      <c r="Q484">
        <f t="shared" si="62"/>
        <v>0</v>
      </c>
      <c r="R484" t="b">
        <v>1</v>
      </c>
      <c r="S484" t="s">
        <v>83</v>
      </c>
      <c r="T484" s="10">
        <v>0.778472222222222</v>
      </c>
      <c r="U484" s="10">
        <v>0.822222222222222</v>
      </c>
      <c r="V484">
        <v>63</v>
      </c>
      <c r="W484" t="b">
        <v>1</v>
      </c>
      <c r="X484" t="s">
        <v>28</v>
      </c>
    </row>
    <row r="485" spans="1:24">
      <c r="A485">
        <v>484</v>
      </c>
      <c r="B485" t="s">
        <v>749</v>
      </c>
      <c r="C485" t="s">
        <v>25</v>
      </c>
      <c r="D485" s="9">
        <v>35188</v>
      </c>
      <c r="E485" s="9" t="str">
        <f t="shared" si="56"/>
        <v>20-30</v>
      </c>
      <c r="F485">
        <v>28</v>
      </c>
      <c r="G485" t="s">
        <v>21</v>
      </c>
      <c r="H485">
        <v>2</v>
      </c>
      <c r="I485" t="s">
        <v>166</v>
      </c>
      <c r="K485">
        <f t="shared" si="63"/>
        <v>0</v>
      </c>
      <c r="L485">
        <f t="shared" si="57"/>
        <v>1</v>
      </c>
      <c r="M485">
        <f t="shared" si="58"/>
        <v>0</v>
      </c>
      <c r="N485">
        <f t="shared" si="59"/>
        <v>1</v>
      </c>
      <c r="O485">
        <f t="shared" si="60"/>
        <v>0</v>
      </c>
      <c r="P485">
        <f t="shared" si="61"/>
        <v>0</v>
      </c>
      <c r="Q485">
        <f t="shared" si="62"/>
        <v>0</v>
      </c>
      <c r="R485" t="b">
        <v>0</v>
      </c>
      <c r="T485" s="10">
        <v>0.591666666666667</v>
      </c>
      <c r="U485" s="10">
        <v>0.6875</v>
      </c>
      <c r="V485">
        <v>138</v>
      </c>
      <c r="W485" t="b">
        <v>0</v>
      </c>
    </row>
    <row r="486" spans="1:24">
      <c r="A486">
        <v>485</v>
      </c>
      <c r="B486" t="s">
        <v>750</v>
      </c>
      <c r="C486" t="s">
        <v>25</v>
      </c>
      <c r="D486" s="9">
        <v>28945</v>
      </c>
      <c r="E486" s="9" t="str">
        <f t="shared" si="56"/>
        <v>41-50</v>
      </c>
      <c r="F486">
        <v>45</v>
      </c>
      <c r="G486" t="s">
        <v>21</v>
      </c>
      <c r="H486">
        <v>1</v>
      </c>
      <c r="I486" t="s">
        <v>35</v>
      </c>
      <c r="K486">
        <f t="shared" si="63"/>
        <v>0</v>
      </c>
      <c r="L486">
        <f t="shared" si="57"/>
        <v>0</v>
      </c>
      <c r="M486">
        <f t="shared" si="58"/>
        <v>1</v>
      </c>
      <c r="N486">
        <f t="shared" si="59"/>
        <v>0</v>
      </c>
      <c r="O486">
        <f t="shared" si="60"/>
        <v>0</v>
      </c>
      <c r="P486">
        <f t="shared" si="61"/>
        <v>0</v>
      </c>
      <c r="Q486">
        <f t="shared" si="62"/>
        <v>0</v>
      </c>
      <c r="R486" t="b">
        <v>1</v>
      </c>
      <c r="S486" t="s">
        <v>201</v>
      </c>
      <c r="T486" s="10">
        <v>0.754861111111111</v>
      </c>
      <c r="U486" s="10">
        <v>0.877777777777778</v>
      </c>
      <c r="V486">
        <v>177</v>
      </c>
      <c r="W486" t="b">
        <v>0</v>
      </c>
    </row>
    <row r="487" spans="1:24">
      <c r="A487">
        <v>486</v>
      </c>
      <c r="B487" t="s">
        <v>370</v>
      </c>
      <c r="C487" t="s">
        <v>25</v>
      </c>
      <c r="D487" s="9">
        <v>27653</v>
      </c>
      <c r="E487" s="9" t="str">
        <f t="shared" si="56"/>
        <v>41-50</v>
      </c>
      <c r="F487">
        <v>49</v>
      </c>
      <c r="G487" t="s">
        <v>21</v>
      </c>
      <c r="H487">
        <v>3</v>
      </c>
      <c r="I487" t="s">
        <v>57</v>
      </c>
      <c r="K487">
        <f t="shared" si="63"/>
        <v>1</v>
      </c>
      <c r="L487">
        <f t="shared" si="57"/>
        <v>1</v>
      </c>
      <c r="M487">
        <f t="shared" si="58"/>
        <v>0</v>
      </c>
      <c r="N487">
        <f t="shared" si="59"/>
        <v>1</v>
      </c>
      <c r="O487">
        <f t="shared" si="60"/>
        <v>0</v>
      </c>
      <c r="P487">
        <f t="shared" si="61"/>
        <v>0</v>
      </c>
      <c r="Q487">
        <f t="shared" si="62"/>
        <v>0</v>
      </c>
      <c r="R487" t="b">
        <v>1</v>
      </c>
      <c r="S487" t="s">
        <v>751</v>
      </c>
      <c r="T487" s="10">
        <v>0.715277777777778</v>
      </c>
      <c r="U487" s="10">
        <v>0.779861111111111</v>
      </c>
      <c r="V487">
        <v>93</v>
      </c>
      <c r="W487" t="b">
        <v>1</v>
      </c>
      <c r="X487" t="s">
        <v>28</v>
      </c>
    </row>
    <row r="488" spans="1:24">
      <c r="A488">
        <v>487</v>
      </c>
      <c r="B488" t="s">
        <v>752</v>
      </c>
      <c r="C488" t="s">
        <v>16</v>
      </c>
      <c r="D488" s="9">
        <v>35848</v>
      </c>
      <c r="E488" s="9" t="str">
        <f t="shared" si="56"/>
        <v>20-30</v>
      </c>
      <c r="F488">
        <v>26</v>
      </c>
      <c r="G488" t="s">
        <v>21</v>
      </c>
      <c r="H488">
        <v>2</v>
      </c>
      <c r="I488" t="s">
        <v>203</v>
      </c>
      <c r="K488">
        <f t="shared" si="63"/>
        <v>1</v>
      </c>
      <c r="L488">
        <f t="shared" si="57"/>
        <v>0</v>
      </c>
      <c r="M488">
        <f t="shared" si="58"/>
        <v>0</v>
      </c>
      <c r="N488">
        <f t="shared" si="59"/>
        <v>0</v>
      </c>
      <c r="O488">
        <f t="shared" si="60"/>
        <v>0</v>
      </c>
      <c r="P488">
        <f t="shared" si="61"/>
        <v>1</v>
      </c>
      <c r="Q488">
        <f t="shared" si="62"/>
        <v>0</v>
      </c>
      <c r="R488" t="b">
        <v>1</v>
      </c>
      <c r="S488" t="s">
        <v>753</v>
      </c>
      <c r="T488" s="10">
        <v>0.655555555555556</v>
      </c>
      <c r="U488" s="10">
        <v>0.780555555555556</v>
      </c>
      <c r="V488">
        <v>180</v>
      </c>
      <c r="W488" t="b">
        <v>1</v>
      </c>
      <c r="X488" t="s">
        <v>23</v>
      </c>
    </row>
    <row r="489" spans="1:24">
      <c r="A489">
        <v>488</v>
      </c>
      <c r="B489" t="s">
        <v>754</v>
      </c>
      <c r="C489" t="s">
        <v>25</v>
      </c>
      <c r="D489" s="9">
        <v>29701</v>
      </c>
      <c r="E489" s="9" t="str">
        <f t="shared" si="56"/>
        <v>41-50</v>
      </c>
      <c r="F489">
        <v>43</v>
      </c>
      <c r="G489" t="s">
        <v>17</v>
      </c>
      <c r="H489">
        <v>5</v>
      </c>
      <c r="I489" t="s">
        <v>96</v>
      </c>
      <c r="K489">
        <f t="shared" si="63"/>
        <v>1</v>
      </c>
      <c r="L489">
        <f t="shared" si="57"/>
        <v>1</v>
      </c>
      <c r="M489">
        <f t="shared" si="58"/>
        <v>0</v>
      </c>
      <c r="N489">
        <f t="shared" si="59"/>
        <v>1</v>
      </c>
      <c r="O489">
        <f t="shared" si="60"/>
        <v>0</v>
      </c>
      <c r="P489">
        <f t="shared" si="61"/>
        <v>1</v>
      </c>
      <c r="Q489">
        <f t="shared" si="62"/>
        <v>1</v>
      </c>
      <c r="R489" t="b">
        <v>0</v>
      </c>
      <c r="T489" s="10">
        <v>0.744444444444444</v>
      </c>
      <c r="U489" s="10">
        <v>0.822222222222222</v>
      </c>
      <c r="V489">
        <v>112</v>
      </c>
      <c r="W489" t="b">
        <v>1</v>
      </c>
      <c r="X489" t="s">
        <v>28</v>
      </c>
    </row>
    <row r="490" spans="1:24">
      <c r="A490">
        <v>489</v>
      </c>
      <c r="B490" t="s">
        <v>755</v>
      </c>
      <c r="C490" t="s">
        <v>25</v>
      </c>
      <c r="D490" s="9">
        <v>33519</v>
      </c>
      <c r="E490" s="9" t="str">
        <f t="shared" si="56"/>
        <v>31-41</v>
      </c>
      <c r="F490">
        <v>32</v>
      </c>
      <c r="G490" t="s">
        <v>17</v>
      </c>
      <c r="H490">
        <v>2</v>
      </c>
      <c r="I490" t="s">
        <v>195</v>
      </c>
      <c r="K490">
        <f t="shared" si="63"/>
        <v>1</v>
      </c>
      <c r="L490">
        <f t="shared" si="57"/>
        <v>1</v>
      </c>
      <c r="M490">
        <f t="shared" si="58"/>
        <v>0</v>
      </c>
      <c r="N490">
        <f t="shared" si="59"/>
        <v>0</v>
      </c>
      <c r="O490">
        <f t="shared" si="60"/>
        <v>0</v>
      </c>
      <c r="P490">
        <f t="shared" si="61"/>
        <v>0</v>
      </c>
      <c r="Q490">
        <f t="shared" si="62"/>
        <v>0</v>
      </c>
      <c r="R490" t="b">
        <v>0</v>
      </c>
      <c r="T490" s="10">
        <v>0.529166666666667</v>
      </c>
      <c r="U490" s="10">
        <v>0.628472222222222</v>
      </c>
      <c r="V490">
        <v>143</v>
      </c>
      <c r="W490" t="b">
        <v>1</v>
      </c>
      <c r="X490" t="s">
        <v>28</v>
      </c>
    </row>
    <row r="491" spans="1:24">
      <c r="A491">
        <v>490</v>
      </c>
      <c r="B491" t="s">
        <v>756</v>
      </c>
      <c r="C491" t="s">
        <v>16</v>
      </c>
      <c r="D491" s="9">
        <v>35230</v>
      </c>
      <c r="E491" s="9" t="str">
        <f t="shared" si="56"/>
        <v>20-30</v>
      </c>
      <c r="F491">
        <v>28</v>
      </c>
      <c r="G491" t="s">
        <v>21</v>
      </c>
      <c r="H491">
        <v>3</v>
      </c>
      <c r="I491" t="s">
        <v>266</v>
      </c>
      <c r="K491">
        <f t="shared" si="63"/>
        <v>1</v>
      </c>
      <c r="L491">
        <f t="shared" si="57"/>
        <v>0</v>
      </c>
      <c r="M491">
        <f t="shared" si="58"/>
        <v>0</v>
      </c>
      <c r="N491">
        <f t="shared" si="59"/>
        <v>0</v>
      </c>
      <c r="O491">
        <f t="shared" si="60"/>
        <v>1</v>
      </c>
      <c r="P491">
        <f t="shared" si="61"/>
        <v>1</v>
      </c>
      <c r="Q491">
        <f t="shared" si="62"/>
        <v>0</v>
      </c>
      <c r="R491" t="b">
        <v>0</v>
      </c>
      <c r="T491" s="10">
        <v>0.413194444444444</v>
      </c>
      <c r="U491" s="10">
        <v>0.507638888888889</v>
      </c>
      <c r="V491">
        <v>136</v>
      </c>
      <c r="W491" t="b">
        <v>1</v>
      </c>
      <c r="X491" t="s">
        <v>23</v>
      </c>
    </row>
    <row r="492" spans="1:24">
      <c r="A492">
        <v>491</v>
      </c>
      <c r="B492" t="s">
        <v>757</v>
      </c>
      <c r="C492" t="s">
        <v>16</v>
      </c>
      <c r="D492" s="9">
        <v>27593</v>
      </c>
      <c r="E492" s="9" t="str">
        <f t="shared" si="56"/>
        <v>41-50</v>
      </c>
      <c r="F492">
        <v>49</v>
      </c>
      <c r="G492" t="s">
        <v>17</v>
      </c>
      <c r="H492">
        <v>1</v>
      </c>
      <c r="I492" t="s">
        <v>26</v>
      </c>
      <c r="K492">
        <f t="shared" si="63"/>
        <v>1</v>
      </c>
      <c r="L492">
        <f t="shared" si="57"/>
        <v>0</v>
      </c>
      <c r="M492">
        <f t="shared" si="58"/>
        <v>0</v>
      </c>
      <c r="N492">
        <f t="shared" si="59"/>
        <v>0</v>
      </c>
      <c r="O492">
        <f t="shared" si="60"/>
        <v>0</v>
      </c>
      <c r="P492">
        <f t="shared" si="61"/>
        <v>0</v>
      </c>
      <c r="Q492">
        <f t="shared" si="62"/>
        <v>0</v>
      </c>
      <c r="R492" t="b">
        <v>1</v>
      </c>
      <c r="S492" t="s">
        <v>217</v>
      </c>
      <c r="T492" s="10">
        <v>0.3375</v>
      </c>
      <c r="U492" s="10">
        <v>0.364583333333333</v>
      </c>
      <c r="V492">
        <v>39</v>
      </c>
      <c r="W492" t="b">
        <v>1</v>
      </c>
      <c r="X492" t="s">
        <v>47</v>
      </c>
    </row>
    <row r="493" spans="1:24">
      <c r="A493">
        <v>492</v>
      </c>
      <c r="B493" t="s">
        <v>758</v>
      </c>
      <c r="C493" t="s">
        <v>25</v>
      </c>
      <c r="D493" s="9">
        <v>39405</v>
      </c>
      <c r="E493" s="9" t="str">
        <f t="shared" si="56"/>
        <v>below 20</v>
      </c>
      <c r="F493">
        <v>16</v>
      </c>
      <c r="G493" t="s">
        <v>21</v>
      </c>
      <c r="H493">
        <v>2</v>
      </c>
      <c r="I493" t="s">
        <v>72</v>
      </c>
      <c r="K493">
        <f t="shared" si="63"/>
        <v>0</v>
      </c>
      <c r="L493">
        <f t="shared" si="57"/>
        <v>0</v>
      </c>
      <c r="M493">
        <f t="shared" si="58"/>
        <v>0</v>
      </c>
      <c r="N493">
        <f t="shared" si="59"/>
        <v>0</v>
      </c>
      <c r="O493">
        <f t="shared" si="60"/>
        <v>1</v>
      </c>
      <c r="P493">
        <f t="shared" si="61"/>
        <v>0</v>
      </c>
      <c r="Q493">
        <f t="shared" si="62"/>
        <v>1</v>
      </c>
      <c r="R493" t="b">
        <v>0</v>
      </c>
      <c r="T493" s="10">
        <v>0.488194444444444</v>
      </c>
      <c r="U493" s="10">
        <v>0.597916666666667</v>
      </c>
      <c r="V493">
        <v>158</v>
      </c>
      <c r="W493" t="b">
        <v>0</v>
      </c>
    </row>
    <row r="494" spans="1:24">
      <c r="A494">
        <v>493</v>
      </c>
      <c r="B494" t="s">
        <v>759</v>
      </c>
      <c r="C494" t="s">
        <v>16</v>
      </c>
      <c r="D494" s="9">
        <v>31001</v>
      </c>
      <c r="E494" s="9" t="str">
        <f t="shared" si="56"/>
        <v>31-41</v>
      </c>
      <c r="F494">
        <v>39</v>
      </c>
      <c r="G494" t="s">
        <v>21</v>
      </c>
      <c r="H494">
        <v>2</v>
      </c>
      <c r="I494" t="s">
        <v>72</v>
      </c>
      <c r="K494">
        <f t="shared" si="63"/>
        <v>0</v>
      </c>
      <c r="L494">
        <f t="shared" si="57"/>
        <v>0</v>
      </c>
      <c r="M494">
        <f t="shared" si="58"/>
        <v>0</v>
      </c>
      <c r="N494">
        <f t="shared" si="59"/>
        <v>0</v>
      </c>
      <c r="O494">
        <f t="shared" si="60"/>
        <v>1</v>
      </c>
      <c r="P494">
        <f t="shared" si="61"/>
        <v>0</v>
      </c>
      <c r="Q494">
        <f t="shared" si="62"/>
        <v>1</v>
      </c>
      <c r="R494" t="b">
        <v>1</v>
      </c>
      <c r="S494" t="s">
        <v>760</v>
      </c>
      <c r="T494" s="10">
        <v>0.634722222222222</v>
      </c>
      <c r="U494" s="10">
        <v>0.71875</v>
      </c>
      <c r="V494">
        <v>121</v>
      </c>
      <c r="W494" t="b">
        <v>0</v>
      </c>
    </row>
    <row r="495" spans="1:24">
      <c r="A495">
        <v>494</v>
      </c>
      <c r="B495" t="s">
        <v>761</v>
      </c>
      <c r="C495" t="s">
        <v>16</v>
      </c>
      <c r="D495" s="9">
        <v>41112</v>
      </c>
      <c r="E495" s="9" t="str">
        <f t="shared" si="56"/>
        <v>below 20</v>
      </c>
      <c r="F495">
        <v>12</v>
      </c>
      <c r="G495" t="s">
        <v>21</v>
      </c>
      <c r="H495">
        <v>3</v>
      </c>
      <c r="I495" t="s">
        <v>92</v>
      </c>
      <c r="K495">
        <f t="shared" si="63"/>
        <v>0</v>
      </c>
      <c r="L495">
        <f t="shared" si="57"/>
        <v>1</v>
      </c>
      <c r="M495">
        <f t="shared" si="58"/>
        <v>0</v>
      </c>
      <c r="N495">
        <f t="shared" si="59"/>
        <v>1</v>
      </c>
      <c r="O495">
        <f t="shared" si="60"/>
        <v>0</v>
      </c>
      <c r="P495">
        <f t="shared" si="61"/>
        <v>1</v>
      </c>
      <c r="Q495">
        <f t="shared" si="62"/>
        <v>0</v>
      </c>
      <c r="R495" t="b">
        <v>1</v>
      </c>
      <c r="S495" t="s">
        <v>762</v>
      </c>
      <c r="T495" s="10">
        <v>0.493055555555556</v>
      </c>
      <c r="U495" s="10">
        <v>0.569444444444444</v>
      </c>
      <c r="V495">
        <v>110</v>
      </c>
      <c r="W495" t="b">
        <v>0</v>
      </c>
    </row>
    <row r="496" spans="1:24">
      <c r="A496">
        <v>495</v>
      </c>
      <c r="B496" t="s">
        <v>763</v>
      </c>
      <c r="C496" t="s">
        <v>25</v>
      </c>
      <c r="D496" s="9">
        <v>30771</v>
      </c>
      <c r="E496" s="9" t="str">
        <f t="shared" si="56"/>
        <v>31-41</v>
      </c>
      <c r="F496">
        <v>40</v>
      </c>
      <c r="G496" t="s">
        <v>21</v>
      </c>
      <c r="H496">
        <v>3</v>
      </c>
      <c r="I496" t="s">
        <v>85</v>
      </c>
      <c r="K496">
        <f t="shared" si="63"/>
        <v>0</v>
      </c>
      <c r="L496">
        <f t="shared" si="57"/>
        <v>1</v>
      </c>
      <c r="M496">
        <f t="shared" si="58"/>
        <v>1</v>
      </c>
      <c r="N496">
        <f t="shared" si="59"/>
        <v>0</v>
      </c>
      <c r="O496">
        <f t="shared" si="60"/>
        <v>1</v>
      </c>
      <c r="P496">
        <f t="shared" si="61"/>
        <v>0</v>
      </c>
      <c r="Q496">
        <f t="shared" si="62"/>
        <v>0</v>
      </c>
      <c r="R496" t="b">
        <v>0</v>
      </c>
      <c r="T496" s="10">
        <v>0.361805555555556</v>
      </c>
      <c r="U496" s="10">
        <v>0.394444444444444</v>
      </c>
      <c r="V496">
        <v>47</v>
      </c>
      <c r="W496" t="b">
        <v>0</v>
      </c>
    </row>
    <row r="497" spans="1:24">
      <c r="A497">
        <v>496</v>
      </c>
      <c r="B497" t="s">
        <v>764</v>
      </c>
      <c r="C497" t="s">
        <v>25</v>
      </c>
      <c r="D497" s="9">
        <v>29192</v>
      </c>
      <c r="E497" s="9" t="str">
        <f t="shared" si="56"/>
        <v>41-50</v>
      </c>
      <c r="F497">
        <v>44</v>
      </c>
      <c r="G497" t="s">
        <v>17</v>
      </c>
      <c r="H497">
        <v>1</v>
      </c>
      <c r="I497" t="s">
        <v>185</v>
      </c>
      <c r="K497">
        <f t="shared" si="63"/>
        <v>0</v>
      </c>
      <c r="L497">
        <f t="shared" si="57"/>
        <v>0</v>
      </c>
      <c r="M497">
        <f t="shared" si="58"/>
        <v>0</v>
      </c>
      <c r="N497">
        <f t="shared" si="59"/>
        <v>1</v>
      </c>
      <c r="O497">
        <f t="shared" si="60"/>
        <v>0</v>
      </c>
      <c r="P497">
        <f t="shared" si="61"/>
        <v>0</v>
      </c>
      <c r="Q497">
        <f t="shared" si="62"/>
        <v>0</v>
      </c>
      <c r="R497" t="b">
        <v>0</v>
      </c>
      <c r="T497" s="10">
        <v>0.648611111111111</v>
      </c>
      <c r="U497" s="10">
        <v>0.767361111111111</v>
      </c>
      <c r="V497">
        <v>171</v>
      </c>
      <c r="W497" t="b">
        <v>1</v>
      </c>
      <c r="X497" t="s">
        <v>47</v>
      </c>
    </row>
    <row r="498" spans="1:24">
      <c r="A498">
        <v>497</v>
      </c>
      <c r="B498" t="s">
        <v>765</v>
      </c>
      <c r="C498" t="s">
        <v>16</v>
      </c>
      <c r="D498" s="9">
        <v>41171</v>
      </c>
      <c r="E498" s="9" t="str">
        <f t="shared" si="56"/>
        <v>below 20</v>
      </c>
      <c r="F498">
        <v>12</v>
      </c>
      <c r="G498" t="s">
        <v>17</v>
      </c>
      <c r="H498">
        <v>2</v>
      </c>
      <c r="I498" t="s">
        <v>69</v>
      </c>
      <c r="K498">
        <f t="shared" si="63"/>
        <v>0</v>
      </c>
      <c r="L498">
        <f t="shared" si="57"/>
        <v>0</v>
      </c>
      <c r="M498">
        <f t="shared" si="58"/>
        <v>0</v>
      </c>
      <c r="N498">
        <f t="shared" si="59"/>
        <v>1</v>
      </c>
      <c r="O498">
        <f t="shared" si="60"/>
        <v>0</v>
      </c>
      <c r="P498">
        <f t="shared" si="61"/>
        <v>0</v>
      </c>
      <c r="Q498">
        <f t="shared" si="62"/>
        <v>1</v>
      </c>
      <c r="R498" t="b">
        <v>0</v>
      </c>
      <c r="T498" s="10">
        <v>0.336805555555556</v>
      </c>
      <c r="U498" s="10">
        <v>0.382638888888889</v>
      </c>
      <c r="V498">
        <v>66</v>
      </c>
      <c r="W498" t="b">
        <v>0</v>
      </c>
    </row>
    <row r="499" spans="1:24">
      <c r="A499">
        <v>498</v>
      </c>
      <c r="B499" t="s">
        <v>766</v>
      </c>
      <c r="C499" t="s">
        <v>25</v>
      </c>
      <c r="D499" s="9">
        <v>29805</v>
      </c>
      <c r="E499" s="9" t="str">
        <f t="shared" si="56"/>
        <v>41-50</v>
      </c>
      <c r="F499">
        <v>43</v>
      </c>
      <c r="G499" t="s">
        <v>17</v>
      </c>
      <c r="H499">
        <v>4</v>
      </c>
      <c r="I499" t="s">
        <v>767</v>
      </c>
      <c r="K499">
        <f t="shared" si="63"/>
        <v>0</v>
      </c>
      <c r="L499">
        <f t="shared" si="57"/>
        <v>0</v>
      </c>
      <c r="M499">
        <f t="shared" si="58"/>
        <v>0</v>
      </c>
      <c r="N499">
        <f t="shared" si="59"/>
        <v>1</v>
      </c>
      <c r="O499">
        <f t="shared" si="60"/>
        <v>1</v>
      </c>
      <c r="P499">
        <f t="shared" si="61"/>
        <v>1</v>
      </c>
      <c r="Q499">
        <f t="shared" si="62"/>
        <v>1</v>
      </c>
      <c r="R499" t="b">
        <v>1</v>
      </c>
      <c r="S499" t="s">
        <v>768</v>
      </c>
      <c r="T499" s="10">
        <v>0.443055555555556</v>
      </c>
      <c r="U499" s="10">
        <v>0.523611111111111</v>
      </c>
      <c r="V499">
        <v>116</v>
      </c>
      <c r="W499" t="b">
        <v>1</v>
      </c>
      <c r="X499" t="s">
        <v>47</v>
      </c>
    </row>
    <row r="500" spans="1:24">
      <c r="A500">
        <v>499</v>
      </c>
      <c r="B500" t="s">
        <v>769</v>
      </c>
      <c r="C500" t="s">
        <v>16</v>
      </c>
      <c r="D500" s="9">
        <v>34964</v>
      </c>
      <c r="E500" s="9" t="str">
        <f t="shared" si="56"/>
        <v>20-30</v>
      </c>
      <c r="F500">
        <v>29</v>
      </c>
      <c r="G500" t="s">
        <v>17</v>
      </c>
      <c r="H500">
        <v>3</v>
      </c>
      <c r="I500" t="s">
        <v>30</v>
      </c>
      <c r="K500">
        <f t="shared" si="63"/>
        <v>0</v>
      </c>
      <c r="L500">
        <f t="shared" si="57"/>
        <v>0</v>
      </c>
      <c r="M500">
        <f t="shared" si="58"/>
        <v>1</v>
      </c>
      <c r="N500">
        <f t="shared" si="59"/>
        <v>0</v>
      </c>
      <c r="O500">
        <f t="shared" si="60"/>
        <v>0</v>
      </c>
      <c r="P500">
        <f t="shared" si="61"/>
        <v>1</v>
      </c>
      <c r="Q500">
        <f t="shared" si="62"/>
        <v>1</v>
      </c>
      <c r="R500" t="b">
        <v>1</v>
      </c>
      <c r="S500" t="s">
        <v>770</v>
      </c>
      <c r="T500" s="10">
        <v>0.863194444444444</v>
      </c>
      <c r="U500" s="10">
        <v>0.8875</v>
      </c>
      <c r="V500">
        <v>35</v>
      </c>
      <c r="W500" t="b">
        <v>0</v>
      </c>
    </row>
    <row r="501" spans="1:24">
      <c r="A501">
        <v>500</v>
      </c>
      <c r="B501" t="s">
        <v>771</v>
      </c>
      <c r="C501" t="s">
        <v>25</v>
      </c>
      <c r="D501" s="9">
        <v>38639</v>
      </c>
      <c r="E501" s="9" t="str">
        <f t="shared" si="56"/>
        <v>below 20</v>
      </c>
      <c r="F501">
        <v>18</v>
      </c>
      <c r="G501" t="s">
        <v>21</v>
      </c>
      <c r="H501">
        <v>3</v>
      </c>
      <c r="I501" t="s">
        <v>43</v>
      </c>
      <c r="K501">
        <f t="shared" si="63"/>
        <v>0</v>
      </c>
      <c r="L501">
        <f t="shared" si="57"/>
        <v>1</v>
      </c>
      <c r="M501">
        <f t="shared" si="58"/>
        <v>1</v>
      </c>
      <c r="N501">
        <f t="shared" si="59"/>
        <v>1</v>
      </c>
      <c r="O501">
        <f t="shared" si="60"/>
        <v>0</v>
      </c>
      <c r="P501">
        <f t="shared" si="61"/>
        <v>0</v>
      </c>
      <c r="Q501">
        <f t="shared" si="62"/>
        <v>0</v>
      </c>
      <c r="R501" t="b">
        <v>0</v>
      </c>
      <c r="T501" s="10">
        <v>0.606944444444444</v>
      </c>
      <c r="U501" s="10">
        <v>0.648611111111111</v>
      </c>
      <c r="V501">
        <v>60</v>
      </c>
      <c r="W501" t="b">
        <v>0</v>
      </c>
    </row>
    <row r="502" spans="1:24">
      <c r="A502">
        <v>501</v>
      </c>
      <c r="B502" t="s">
        <v>772</v>
      </c>
      <c r="C502" t="s">
        <v>25</v>
      </c>
      <c r="D502" s="9">
        <v>38425</v>
      </c>
      <c r="E502" s="9" t="str">
        <f t="shared" si="56"/>
        <v>below 20</v>
      </c>
      <c r="F502">
        <v>19</v>
      </c>
      <c r="G502" t="s">
        <v>17</v>
      </c>
      <c r="H502">
        <v>2</v>
      </c>
      <c r="I502" t="s">
        <v>189</v>
      </c>
      <c r="K502">
        <f t="shared" si="63"/>
        <v>0</v>
      </c>
      <c r="L502">
        <f t="shared" si="57"/>
        <v>1</v>
      </c>
      <c r="M502">
        <f t="shared" si="58"/>
        <v>1</v>
      </c>
      <c r="N502">
        <f t="shared" si="59"/>
        <v>0</v>
      </c>
      <c r="O502">
        <f t="shared" si="60"/>
        <v>0</v>
      </c>
      <c r="P502">
        <f t="shared" si="61"/>
        <v>0</v>
      </c>
      <c r="Q502">
        <f t="shared" si="62"/>
        <v>0</v>
      </c>
      <c r="R502" t="b">
        <v>1</v>
      </c>
      <c r="S502" t="s">
        <v>773</v>
      </c>
      <c r="T502" s="10">
        <v>0.806944444444444</v>
      </c>
      <c r="U502" s="10">
        <v>0.864583333333333</v>
      </c>
      <c r="V502">
        <v>83</v>
      </c>
      <c r="W502" t="b">
        <v>0</v>
      </c>
    </row>
    <row r="503" spans="1:24">
      <c r="A503">
        <v>502</v>
      </c>
      <c r="B503" t="s">
        <v>344</v>
      </c>
      <c r="C503" t="s">
        <v>25</v>
      </c>
      <c r="D503" s="9">
        <v>40511</v>
      </c>
      <c r="E503" s="9" t="str">
        <f t="shared" si="56"/>
        <v>below 20</v>
      </c>
      <c r="F503">
        <v>13</v>
      </c>
      <c r="G503" t="s">
        <v>17</v>
      </c>
      <c r="H503">
        <v>1</v>
      </c>
      <c r="I503" t="s">
        <v>59</v>
      </c>
      <c r="K503">
        <f t="shared" si="63"/>
        <v>0</v>
      </c>
      <c r="L503">
        <f t="shared" si="57"/>
        <v>0</v>
      </c>
      <c r="M503">
        <f t="shared" si="58"/>
        <v>0</v>
      </c>
      <c r="N503">
        <f t="shared" si="59"/>
        <v>0</v>
      </c>
      <c r="O503">
        <f t="shared" si="60"/>
        <v>0</v>
      </c>
      <c r="P503">
        <f t="shared" si="61"/>
        <v>0</v>
      </c>
      <c r="Q503">
        <f t="shared" si="62"/>
        <v>1</v>
      </c>
      <c r="R503" t="b">
        <v>0</v>
      </c>
      <c r="T503" s="10">
        <v>0.673611111111111</v>
      </c>
      <c r="U503" s="10">
        <v>0.789583333333333</v>
      </c>
      <c r="V503">
        <v>167</v>
      </c>
      <c r="W503" t="b">
        <v>0</v>
      </c>
    </row>
    <row r="504" spans="1:24">
      <c r="A504">
        <v>503</v>
      </c>
      <c r="B504" t="s">
        <v>774</v>
      </c>
      <c r="C504" t="s">
        <v>16</v>
      </c>
      <c r="D504" s="9">
        <v>39374</v>
      </c>
      <c r="E504" s="9" t="str">
        <f t="shared" si="56"/>
        <v>below 20</v>
      </c>
      <c r="F504">
        <v>16</v>
      </c>
      <c r="G504" t="s">
        <v>21</v>
      </c>
      <c r="H504">
        <v>3</v>
      </c>
      <c r="I504" t="s">
        <v>504</v>
      </c>
      <c r="K504">
        <f t="shared" si="63"/>
        <v>0</v>
      </c>
      <c r="L504">
        <f t="shared" si="57"/>
        <v>0</v>
      </c>
      <c r="M504">
        <f t="shared" si="58"/>
        <v>1</v>
      </c>
      <c r="N504">
        <f t="shared" si="59"/>
        <v>1</v>
      </c>
      <c r="O504">
        <f t="shared" si="60"/>
        <v>0</v>
      </c>
      <c r="P504">
        <f t="shared" si="61"/>
        <v>0</v>
      </c>
      <c r="Q504">
        <f t="shared" si="62"/>
        <v>1</v>
      </c>
      <c r="R504" t="b">
        <v>0</v>
      </c>
      <c r="T504" s="10">
        <v>0.631944444444444</v>
      </c>
      <c r="U504" s="10">
        <v>0.713194444444444</v>
      </c>
      <c r="V504">
        <v>117</v>
      </c>
      <c r="W504" t="b">
        <v>1</v>
      </c>
      <c r="X504" t="s">
        <v>23</v>
      </c>
    </row>
    <row r="505" spans="1:24">
      <c r="A505">
        <v>504</v>
      </c>
      <c r="B505" t="s">
        <v>775</v>
      </c>
      <c r="C505" t="s">
        <v>16</v>
      </c>
      <c r="D505" s="9">
        <v>36861</v>
      </c>
      <c r="E505" s="9" t="str">
        <f t="shared" si="56"/>
        <v>20-30</v>
      </c>
      <c r="F505">
        <v>23</v>
      </c>
      <c r="G505" t="s">
        <v>21</v>
      </c>
      <c r="H505">
        <v>3</v>
      </c>
      <c r="I505" t="s">
        <v>321</v>
      </c>
      <c r="K505">
        <f t="shared" si="63"/>
        <v>0</v>
      </c>
      <c r="L505">
        <f t="shared" si="57"/>
        <v>0</v>
      </c>
      <c r="M505">
        <f t="shared" si="58"/>
        <v>0</v>
      </c>
      <c r="N505">
        <f t="shared" si="59"/>
        <v>1</v>
      </c>
      <c r="O505">
        <f t="shared" si="60"/>
        <v>0</v>
      </c>
      <c r="P505">
        <f t="shared" si="61"/>
        <v>1</v>
      </c>
      <c r="Q505">
        <f t="shared" si="62"/>
        <v>1</v>
      </c>
      <c r="R505" t="b">
        <v>1</v>
      </c>
      <c r="S505" t="s">
        <v>776</v>
      </c>
      <c r="T505" s="10">
        <v>0.522916666666667</v>
      </c>
      <c r="U505" s="10">
        <v>0.628472222222222</v>
      </c>
      <c r="V505">
        <v>152</v>
      </c>
      <c r="W505" t="b">
        <v>0</v>
      </c>
    </row>
    <row r="506" spans="1:24">
      <c r="A506">
        <v>505</v>
      </c>
      <c r="B506" t="s">
        <v>777</v>
      </c>
      <c r="C506" t="s">
        <v>25</v>
      </c>
      <c r="D506" s="9">
        <v>32630</v>
      </c>
      <c r="E506" s="9" t="str">
        <f t="shared" si="56"/>
        <v>31-41</v>
      </c>
      <c r="F506">
        <v>35</v>
      </c>
      <c r="G506" t="s">
        <v>21</v>
      </c>
      <c r="H506">
        <v>1</v>
      </c>
      <c r="I506" t="s">
        <v>35</v>
      </c>
      <c r="K506">
        <f t="shared" si="63"/>
        <v>0</v>
      </c>
      <c r="L506">
        <f t="shared" si="57"/>
        <v>0</v>
      </c>
      <c r="M506">
        <f t="shared" si="58"/>
        <v>1</v>
      </c>
      <c r="N506">
        <f t="shared" si="59"/>
        <v>0</v>
      </c>
      <c r="O506">
        <f t="shared" si="60"/>
        <v>0</v>
      </c>
      <c r="P506">
        <f t="shared" si="61"/>
        <v>0</v>
      </c>
      <c r="Q506">
        <f t="shared" si="62"/>
        <v>0</v>
      </c>
      <c r="R506" t="b">
        <v>0</v>
      </c>
      <c r="T506" s="10">
        <v>0.679861111111111</v>
      </c>
      <c r="U506" s="10">
        <v>0.716666666666667</v>
      </c>
      <c r="V506">
        <v>53</v>
      </c>
      <c r="W506" t="b">
        <v>0</v>
      </c>
    </row>
    <row r="507" spans="1:24">
      <c r="A507">
        <v>506</v>
      </c>
      <c r="B507" t="s">
        <v>778</v>
      </c>
      <c r="C507" t="s">
        <v>16</v>
      </c>
      <c r="D507" s="9">
        <v>35620</v>
      </c>
      <c r="E507" s="9" t="str">
        <f t="shared" si="56"/>
        <v>20-30</v>
      </c>
      <c r="F507">
        <v>27</v>
      </c>
      <c r="G507" t="s">
        <v>17</v>
      </c>
      <c r="H507">
        <v>2</v>
      </c>
      <c r="I507" t="s">
        <v>272</v>
      </c>
      <c r="K507">
        <f t="shared" si="63"/>
        <v>0</v>
      </c>
      <c r="L507">
        <f t="shared" si="57"/>
        <v>0</v>
      </c>
      <c r="M507">
        <f t="shared" si="58"/>
        <v>1</v>
      </c>
      <c r="N507">
        <f t="shared" si="59"/>
        <v>1</v>
      </c>
      <c r="O507">
        <f t="shared" si="60"/>
        <v>0</v>
      </c>
      <c r="P507">
        <f t="shared" si="61"/>
        <v>0</v>
      </c>
      <c r="Q507">
        <f t="shared" si="62"/>
        <v>0</v>
      </c>
      <c r="R507" t="b">
        <v>0</v>
      </c>
      <c r="T507" s="10">
        <v>0.769444444444444</v>
      </c>
      <c r="U507" s="10">
        <v>0.814583333333333</v>
      </c>
      <c r="V507">
        <v>65</v>
      </c>
      <c r="W507" t="b">
        <v>0</v>
      </c>
    </row>
    <row r="508" spans="1:24">
      <c r="A508">
        <v>507</v>
      </c>
      <c r="B508" t="s">
        <v>779</v>
      </c>
      <c r="C508" t="s">
        <v>16</v>
      </c>
      <c r="D508" s="9">
        <v>28269</v>
      </c>
      <c r="E508" s="9" t="str">
        <f t="shared" si="56"/>
        <v>41-50</v>
      </c>
      <c r="F508">
        <v>47</v>
      </c>
      <c r="G508" t="s">
        <v>17</v>
      </c>
      <c r="H508">
        <v>2</v>
      </c>
      <c r="I508" t="s">
        <v>195</v>
      </c>
      <c r="K508">
        <f t="shared" si="63"/>
        <v>1</v>
      </c>
      <c r="L508">
        <f t="shared" si="57"/>
        <v>1</v>
      </c>
      <c r="M508">
        <f t="shared" si="58"/>
        <v>0</v>
      </c>
      <c r="N508">
        <f t="shared" si="59"/>
        <v>0</v>
      </c>
      <c r="O508">
        <f t="shared" si="60"/>
        <v>0</v>
      </c>
      <c r="P508">
        <f t="shared" si="61"/>
        <v>0</v>
      </c>
      <c r="Q508">
        <f t="shared" si="62"/>
        <v>0</v>
      </c>
      <c r="R508" t="b">
        <v>1</v>
      </c>
      <c r="S508" t="s">
        <v>780</v>
      </c>
      <c r="T508" s="10">
        <v>0.63125</v>
      </c>
      <c r="U508" s="10">
        <v>0.697916666666667</v>
      </c>
      <c r="V508">
        <v>96</v>
      </c>
      <c r="W508" t="b">
        <v>1</v>
      </c>
      <c r="X508" t="s">
        <v>23</v>
      </c>
    </row>
    <row r="509" spans="1:24">
      <c r="A509">
        <v>508</v>
      </c>
      <c r="B509" t="s">
        <v>781</v>
      </c>
      <c r="C509" t="s">
        <v>25</v>
      </c>
      <c r="D509" s="9">
        <v>29116</v>
      </c>
      <c r="E509" s="9" t="str">
        <f t="shared" si="56"/>
        <v>41-50</v>
      </c>
      <c r="F509">
        <v>45</v>
      </c>
      <c r="G509" t="s">
        <v>21</v>
      </c>
      <c r="H509">
        <v>1</v>
      </c>
      <c r="I509" t="s">
        <v>59</v>
      </c>
      <c r="K509">
        <f t="shared" si="63"/>
        <v>0</v>
      </c>
      <c r="L509">
        <f t="shared" si="57"/>
        <v>0</v>
      </c>
      <c r="M509">
        <f t="shared" si="58"/>
        <v>0</v>
      </c>
      <c r="N509">
        <f t="shared" si="59"/>
        <v>0</v>
      </c>
      <c r="O509">
        <f t="shared" si="60"/>
        <v>0</v>
      </c>
      <c r="P509">
        <f t="shared" si="61"/>
        <v>0</v>
      </c>
      <c r="Q509">
        <f t="shared" si="62"/>
        <v>1</v>
      </c>
      <c r="R509" t="b">
        <v>0</v>
      </c>
      <c r="T509" s="10">
        <v>0.807638888888889</v>
      </c>
      <c r="U509" s="10">
        <v>0.885416666666667</v>
      </c>
      <c r="V509">
        <v>112</v>
      </c>
      <c r="W509" t="b">
        <v>1</v>
      </c>
      <c r="X509" t="s">
        <v>47</v>
      </c>
    </row>
    <row r="510" spans="1:24">
      <c r="A510">
        <v>509</v>
      </c>
      <c r="B510" t="s">
        <v>782</v>
      </c>
      <c r="C510" t="s">
        <v>16</v>
      </c>
      <c r="D510" s="9">
        <v>35510</v>
      </c>
      <c r="E510" s="9" t="str">
        <f t="shared" si="56"/>
        <v>20-30</v>
      </c>
      <c r="F510">
        <v>27</v>
      </c>
      <c r="G510" t="s">
        <v>17</v>
      </c>
      <c r="H510">
        <v>1</v>
      </c>
      <c r="I510" t="s">
        <v>81</v>
      </c>
      <c r="K510">
        <f t="shared" si="63"/>
        <v>0</v>
      </c>
      <c r="L510">
        <f t="shared" si="57"/>
        <v>0</v>
      </c>
      <c r="M510">
        <f t="shared" si="58"/>
        <v>0</v>
      </c>
      <c r="N510">
        <f t="shared" si="59"/>
        <v>0</v>
      </c>
      <c r="O510">
        <f t="shared" si="60"/>
        <v>0</v>
      </c>
      <c r="P510">
        <f t="shared" si="61"/>
        <v>1</v>
      </c>
      <c r="Q510">
        <f t="shared" si="62"/>
        <v>0</v>
      </c>
      <c r="R510" t="b">
        <v>0</v>
      </c>
      <c r="T510" s="10">
        <v>0.595138888888889</v>
      </c>
      <c r="U510" s="10">
        <v>0.64375</v>
      </c>
      <c r="V510">
        <v>70</v>
      </c>
      <c r="W510" t="b">
        <v>0</v>
      </c>
    </row>
    <row r="511" spans="1:24">
      <c r="A511">
        <v>510</v>
      </c>
      <c r="B511" t="s">
        <v>783</v>
      </c>
      <c r="C511" t="s">
        <v>25</v>
      </c>
      <c r="D511" s="9">
        <v>38434</v>
      </c>
      <c r="E511" s="9" t="str">
        <f t="shared" si="56"/>
        <v>below 20</v>
      </c>
      <c r="F511">
        <v>19</v>
      </c>
      <c r="G511" t="s">
        <v>21</v>
      </c>
      <c r="H511">
        <v>3</v>
      </c>
      <c r="I511" t="s">
        <v>241</v>
      </c>
      <c r="K511">
        <f t="shared" si="63"/>
        <v>0</v>
      </c>
      <c r="L511">
        <f t="shared" si="57"/>
        <v>0</v>
      </c>
      <c r="M511">
        <f t="shared" si="58"/>
        <v>1</v>
      </c>
      <c r="N511">
        <f t="shared" si="59"/>
        <v>1</v>
      </c>
      <c r="O511">
        <f t="shared" si="60"/>
        <v>1</v>
      </c>
      <c r="P511">
        <f t="shared" si="61"/>
        <v>0</v>
      </c>
      <c r="Q511">
        <f t="shared" si="62"/>
        <v>0</v>
      </c>
      <c r="R511" t="b">
        <v>1</v>
      </c>
      <c r="S511" t="s">
        <v>784</v>
      </c>
      <c r="T511" s="10">
        <v>0.538888888888889</v>
      </c>
      <c r="U511" s="10">
        <v>0.584722222222222</v>
      </c>
      <c r="V511">
        <v>66</v>
      </c>
      <c r="W511" t="b">
        <v>1</v>
      </c>
      <c r="X511" t="s">
        <v>47</v>
      </c>
    </row>
    <row r="512" spans="1:24">
      <c r="A512">
        <v>511</v>
      </c>
      <c r="B512" t="s">
        <v>274</v>
      </c>
      <c r="C512" t="s">
        <v>25</v>
      </c>
      <c r="D512" s="9">
        <v>32158</v>
      </c>
      <c r="E512" s="9" t="str">
        <f t="shared" si="56"/>
        <v>31-41</v>
      </c>
      <c r="F512">
        <v>36</v>
      </c>
      <c r="G512" t="s">
        <v>21</v>
      </c>
      <c r="H512">
        <v>1</v>
      </c>
      <c r="I512" t="s">
        <v>46</v>
      </c>
      <c r="K512">
        <f t="shared" si="63"/>
        <v>0</v>
      </c>
      <c r="L512">
        <f t="shared" si="57"/>
        <v>1</v>
      </c>
      <c r="M512">
        <f t="shared" si="58"/>
        <v>0</v>
      </c>
      <c r="N512">
        <f t="shared" si="59"/>
        <v>0</v>
      </c>
      <c r="O512">
        <f t="shared" si="60"/>
        <v>0</v>
      </c>
      <c r="P512">
        <f t="shared" si="61"/>
        <v>0</v>
      </c>
      <c r="Q512">
        <f t="shared" si="62"/>
        <v>0</v>
      </c>
      <c r="R512" t="b">
        <v>1</v>
      </c>
      <c r="S512" t="s">
        <v>107</v>
      </c>
      <c r="T512" s="10">
        <v>0.497222222222222</v>
      </c>
      <c r="U512" s="10">
        <v>0.606944444444444</v>
      </c>
      <c r="V512">
        <v>158</v>
      </c>
      <c r="W512" t="b">
        <v>1</v>
      </c>
      <c r="X512" t="s">
        <v>28</v>
      </c>
    </row>
    <row r="513" spans="1:24">
      <c r="A513">
        <v>512</v>
      </c>
      <c r="B513" t="s">
        <v>785</v>
      </c>
      <c r="C513" t="s">
        <v>25</v>
      </c>
      <c r="D513" s="9">
        <v>36883</v>
      </c>
      <c r="E513" s="9" t="str">
        <f t="shared" si="56"/>
        <v>20-30</v>
      </c>
      <c r="F513">
        <v>23</v>
      </c>
      <c r="G513" t="s">
        <v>21</v>
      </c>
      <c r="H513">
        <v>3</v>
      </c>
      <c r="I513" t="s">
        <v>43</v>
      </c>
      <c r="K513">
        <f t="shared" si="63"/>
        <v>0</v>
      </c>
      <c r="L513">
        <f t="shared" si="57"/>
        <v>1</v>
      </c>
      <c r="M513">
        <f t="shared" si="58"/>
        <v>1</v>
      </c>
      <c r="N513">
        <f t="shared" si="59"/>
        <v>1</v>
      </c>
      <c r="O513">
        <f t="shared" si="60"/>
        <v>0</v>
      </c>
      <c r="P513">
        <f t="shared" si="61"/>
        <v>0</v>
      </c>
      <c r="Q513">
        <f t="shared" si="62"/>
        <v>0</v>
      </c>
      <c r="R513" t="b">
        <v>1</v>
      </c>
      <c r="S513" t="s">
        <v>674</v>
      </c>
      <c r="T513" s="10">
        <v>0.793055555555556</v>
      </c>
      <c r="U513" s="10">
        <v>0.895138888888889</v>
      </c>
      <c r="V513">
        <v>147</v>
      </c>
      <c r="W513" t="b">
        <v>0</v>
      </c>
    </row>
    <row r="514" spans="1:24">
      <c r="A514">
        <v>513</v>
      </c>
      <c r="B514" t="s">
        <v>786</v>
      </c>
      <c r="C514" t="s">
        <v>25</v>
      </c>
      <c r="D514" s="9">
        <v>36283</v>
      </c>
      <c r="E514" s="9" t="str">
        <f t="shared" ref="E514:E577" si="64">IF(F514&lt;20,"below 20",IF(F514&lt;=30,"20-30",IF(F514&lt;=40,"31-41",IF(F514&lt;=50,"41-50","above 50"))))</f>
        <v>20-30</v>
      </c>
      <c r="F514">
        <v>25</v>
      </c>
      <c r="G514" t="s">
        <v>17</v>
      </c>
      <c r="H514">
        <v>1</v>
      </c>
      <c r="I514" t="s">
        <v>46</v>
      </c>
      <c r="K514">
        <f t="shared" si="63"/>
        <v>0</v>
      </c>
      <c r="L514">
        <f t="shared" si="57"/>
        <v>1</v>
      </c>
      <c r="M514">
        <f t="shared" si="58"/>
        <v>0</v>
      </c>
      <c r="N514">
        <f t="shared" si="59"/>
        <v>0</v>
      </c>
      <c r="O514">
        <f t="shared" si="60"/>
        <v>0</v>
      </c>
      <c r="P514">
        <f t="shared" si="61"/>
        <v>0</v>
      </c>
      <c r="Q514">
        <f t="shared" si="62"/>
        <v>0</v>
      </c>
      <c r="R514" t="b">
        <v>1</v>
      </c>
      <c r="S514" t="s">
        <v>598</v>
      </c>
      <c r="T514" s="10">
        <v>0.604166666666667</v>
      </c>
      <c r="U514" s="10">
        <v>0.647222222222222</v>
      </c>
      <c r="V514">
        <v>62</v>
      </c>
      <c r="W514" t="b">
        <v>1</v>
      </c>
      <c r="X514" t="s">
        <v>50</v>
      </c>
    </row>
    <row r="515" spans="1:24">
      <c r="A515">
        <v>514</v>
      </c>
      <c r="B515" t="s">
        <v>787</v>
      </c>
      <c r="C515" t="s">
        <v>16</v>
      </c>
      <c r="D515" s="9">
        <v>37024</v>
      </c>
      <c r="E515" s="9" t="str">
        <f t="shared" si="64"/>
        <v>20-30</v>
      </c>
      <c r="F515">
        <v>23</v>
      </c>
      <c r="G515" t="s">
        <v>21</v>
      </c>
      <c r="H515">
        <v>3</v>
      </c>
      <c r="I515" t="s">
        <v>315</v>
      </c>
      <c r="K515">
        <f t="shared" si="63"/>
        <v>0</v>
      </c>
      <c r="L515">
        <f t="shared" ref="L515:L578" si="65">--ISNUMBER(SEARCH("Mon",I515))</f>
        <v>0</v>
      </c>
      <c r="M515">
        <f t="shared" ref="M515:M578" si="66">--ISNUMBER(SEARCH("Tue",I515))</f>
        <v>1</v>
      </c>
      <c r="N515">
        <f t="shared" ref="N515:N578" si="67">--ISNUMBER(SEARCH("Wed",I515))</f>
        <v>0</v>
      </c>
      <c r="O515">
        <f t="shared" ref="O515:O578" si="68">--ISNUMBER(SEARCH("Thu",I515))</f>
        <v>1</v>
      </c>
      <c r="P515">
        <f t="shared" ref="P515:P578" si="69">--ISNUMBER(SEARCH("Fri",I515))</f>
        <v>0</v>
      </c>
      <c r="Q515">
        <f t="shared" ref="Q515:Q578" si="70">--ISNUMBER(SEARCH("Sat",I515))</f>
        <v>1</v>
      </c>
      <c r="R515" t="b">
        <v>1</v>
      </c>
      <c r="S515" t="s">
        <v>487</v>
      </c>
      <c r="T515" s="10">
        <v>0.529861111111111</v>
      </c>
      <c r="U515" s="10">
        <v>0.590972222222222</v>
      </c>
      <c r="V515">
        <v>88</v>
      </c>
      <c r="W515" t="b">
        <v>0</v>
      </c>
    </row>
    <row r="516" spans="1:24">
      <c r="A516">
        <v>515</v>
      </c>
      <c r="B516" t="s">
        <v>788</v>
      </c>
      <c r="C516" t="s">
        <v>16</v>
      </c>
      <c r="D516" s="9">
        <v>37552</v>
      </c>
      <c r="E516" s="9" t="str">
        <f t="shared" si="64"/>
        <v>20-30</v>
      </c>
      <c r="F516">
        <v>21</v>
      </c>
      <c r="G516" t="s">
        <v>21</v>
      </c>
      <c r="H516">
        <v>1</v>
      </c>
      <c r="I516" t="s">
        <v>81</v>
      </c>
      <c r="K516">
        <f t="shared" si="63"/>
        <v>0</v>
      </c>
      <c r="L516">
        <f t="shared" si="65"/>
        <v>0</v>
      </c>
      <c r="M516">
        <f t="shared" si="66"/>
        <v>0</v>
      </c>
      <c r="N516">
        <f t="shared" si="67"/>
        <v>0</v>
      </c>
      <c r="O516">
        <f t="shared" si="68"/>
        <v>0</v>
      </c>
      <c r="P516">
        <f t="shared" si="69"/>
        <v>1</v>
      </c>
      <c r="Q516">
        <f t="shared" si="70"/>
        <v>0</v>
      </c>
      <c r="R516" t="b">
        <v>0</v>
      </c>
      <c r="T516" s="10">
        <v>0.353472222222222</v>
      </c>
      <c r="U516" s="10">
        <v>0.448611111111111</v>
      </c>
      <c r="V516">
        <v>137</v>
      </c>
      <c r="W516" t="b">
        <v>0</v>
      </c>
    </row>
    <row r="517" spans="1:24">
      <c r="A517">
        <v>516</v>
      </c>
      <c r="B517" t="s">
        <v>789</v>
      </c>
      <c r="C517" t="s">
        <v>16</v>
      </c>
      <c r="D517" s="9">
        <v>27697</v>
      </c>
      <c r="E517" s="9" t="str">
        <f t="shared" si="64"/>
        <v>41-50</v>
      </c>
      <c r="F517">
        <v>48</v>
      </c>
      <c r="G517" t="s">
        <v>17</v>
      </c>
      <c r="H517">
        <v>1</v>
      </c>
      <c r="I517" t="s">
        <v>26</v>
      </c>
      <c r="K517">
        <f t="shared" ref="K517:K580" si="71">--ISNUMBER(SEARCH("Sun",I517))</f>
        <v>1</v>
      </c>
      <c r="L517">
        <f t="shared" si="65"/>
        <v>0</v>
      </c>
      <c r="M517">
        <f t="shared" si="66"/>
        <v>0</v>
      </c>
      <c r="N517">
        <f t="shared" si="67"/>
        <v>0</v>
      </c>
      <c r="O517">
        <f t="shared" si="68"/>
        <v>0</v>
      </c>
      <c r="P517">
        <f t="shared" si="69"/>
        <v>0</v>
      </c>
      <c r="Q517">
        <f t="shared" si="70"/>
        <v>0</v>
      </c>
      <c r="R517" t="b">
        <v>1</v>
      </c>
      <c r="S517" t="s">
        <v>790</v>
      </c>
      <c r="T517" s="10">
        <v>0.613888888888889</v>
      </c>
      <c r="U517" s="10">
        <v>0.638194444444444</v>
      </c>
      <c r="V517">
        <v>35</v>
      </c>
      <c r="W517" t="b">
        <v>1</v>
      </c>
      <c r="X517" t="s">
        <v>23</v>
      </c>
    </row>
    <row r="518" spans="1:24">
      <c r="A518">
        <v>517</v>
      </c>
      <c r="B518" t="s">
        <v>791</v>
      </c>
      <c r="C518" t="s">
        <v>25</v>
      </c>
      <c r="D518" s="9">
        <v>35965</v>
      </c>
      <c r="E518" s="9" t="str">
        <f t="shared" si="64"/>
        <v>20-30</v>
      </c>
      <c r="F518">
        <v>26</v>
      </c>
      <c r="G518" t="s">
        <v>21</v>
      </c>
      <c r="H518">
        <v>4</v>
      </c>
      <c r="I518" t="s">
        <v>421</v>
      </c>
      <c r="K518">
        <f t="shared" si="71"/>
        <v>1</v>
      </c>
      <c r="L518">
        <f t="shared" si="65"/>
        <v>1</v>
      </c>
      <c r="M518">
        <f t="shared" si="66"/>
        <v>0</v>
      </c>
      <c r="N518">
        <f t="shared" si="67"/>
        <v>0</v>
      </c>
      <c r="O518">
        <f t="shared" si="68"/>
        <v>0</v>
      </c>
      <c r="P518">
        <f t="shared" si="69"/>
        <v>1</v>
      </c>
      <c r="Q518">
        <f t="shared" si="70"/>
        <v>1</v>
      </c>
      <c r="R518" t="b">
        <v>0</v>
      </c>
      <c r="T518" s="10">
        <v>0.363888888888889</v>
      </c>
      <c r="U518" s="10">
        <v>0.415277777777778</v>
      </c>
      <c r="V518">
        <v>74</v>
      </c>
      <c r="W518" t="b">
        <v>0</v>
      </c>
    </row>
    <row r="519" spans="1:24">
      <c r="A519">
        <v>518</v>
      </c>
      <c r="B519" t="s">
        <v>792</v>
      </c>
      <c r="C519" t="s">
        <v>25</v>
      </c>
      <c r="D519" s="9">
        <v>39261</v>
      </c>
      <c r="E519" s="9" t="str">
        <f t="shared" si="64"/>
        <v>below 20</v>
      </c>
      <c r="F519">
        <v>17</v>
      </c>
      <c r="G519" t="s">
        <v>21</v>
      </c>
      <c r="H519">
        <v>2</v>
      </c>
      <c r="I519" t="s">
        <v>187</v>
      </c>
      <c r="K519">
        <f t="shared" si="71"/>
        <v>0</v>
      </c>
      <c r="L519">
        <f t="shared" si="65"/>
        <v>0</v>
      </c>
      <c r="M519">
        <f t="shared" si="66"/>
        <v>0</v>
      </c>
      <c r="N519">
        <f t="shared" si="67"/>
        <v>1</v>
      </c>
      <c r="O519">
        <f t="shared" si="68"/>
        <v>1</v>
      </c>
      <c r="P519">
        <f t="shared" si="69"/>
        <v>0</v>
      </c>
      <c r="Q519">
        <f t="shared" si="70"/>
        <v>0</v>
      </c>
      <c r="R519" t="b">
        <v>1</v>
      </c>
      <c r="S519" t="s">
        <v>793</v>
      </c>
      <c r="T519" s="10">
        <v>0.35</v>
      </c>
      <c r="U519" s="10">
        <v>0.403472222222222</v>
      </c>
      <c r="V519">
        <v>77</v>
      </c>
      <c r="W519" t="b">
        <v>0</v>
      </c>
    </row>
    <row r="520" spans="1:24">
      <c r="A520">
        <v>519</v>
      </c>
      <c r="B520" t="s">
        <v>794</v>
      </c>
      <c r="C520" t="s">
        <v>25</v>
      </c>
      <c r="D520" s="9">
        <v>40508</v>
      </c>
      <c r="E520" s="9" t="str">
        <f t="shared" si="64"/>
        <v>below 20</v>
      </c>
      <c r="F520">
        <v>13</v>
      </c>
      <c r="G520" t="s">
        <v>21</v>
      </c>
      <c r="H520">
        <v>2</v>
      </c>
      <c r="I520" t="s">
        <v>272</v>
      </c>
      <c r="K520">
        <f t="shared" si="71"/>
        <v>0</v>
      </c>
      <c r="L520">
        <f t="shared" si="65"/>
        <v>0</v>
      </c>
      <c r="M520">
        <f t="shared" si="66"/>
        <v>1</v>
      </c>
      <c r="N520">
        <f t="shared" si="67"/>
        <v>1</v>
      </c>
      <c r="O520">
        <f t="shared" si="68"/>
        <v>0</v>
      </c>
      <c r="P520">
        <f t="shared" si="69"/>
        <v>0</v>
      </c>
      <c r="Q520">
        <f t="shared" si="70"/>
        <v>0</v>
      </c>
      <c r="R520" t="b">
        <v>1</v>
      </c>
      <c r="S520" t="s">
        <v>795</v>
      </c>
      <c r="T520" s="10">
        <v>0.440277777777778</v>
      </c>
      <c r="U520" s="10">
        <v>0.5625</v>
      </c>
      <c r="V520">
        <v>176</v>
      </c>
      <c r="W520" t="b">
        <v>0</v>
      </c>
    </row>
    <row r="521" spans="1:24">
      <c r="A521">
        <v>520</v>
      </c>
      <c r="B521" t="s">
        <v>796</v>
      </c>
      <c r="C521" t="s">
        <v>16</v>
      </c>
      <c r="D521" s="9">
        <v>33493</v>
      </c>
      <c r="E521" s="9" t="str">
        <f t="shared" si="64"/>
        <v>31-41</v>
      </c>
      <c r="F521">
        <v>33</v>
      </c>
      <c r="G521" t="s">
        <v>21</v>
      </c>
      <c r="H521">
        <v>3</v>
      </c>
      <c r="I521" t="s">
        <v>150</v>
      </c>
      <c r="K521">
        <f t="shared" si="71"/>
        <v>0</v>
      </c>
      <c r="L521">
        <f t="shared" si="65"/>
        <v>1</v>
      </c>
      <c r="M521">
        <f t="shared" si="66"/>
        <v>0</v>
      </c>
      <c r="N521">
        <f t="shared" si="67"/>
        <v>1</v>
      </c>
      <c r="O521">
        <f t="shared" si="68"/>
        <v>0</v>
      </c>
      <c r="P521">
        <f t="shared" si="69"/>
        <v>0</v>
      </c>
      <c r="Q521">
        <f t="shared" si="70"/>
        <v>1</v>
      </c>
      <c r="R521" t="b">
        <v>0</v>
      </c>
      <c r="T521" s="10">
        <v>0.8125</v>
      </c>
      <c r="U521" s="10">
        <v>0.927083333333333</v>
      </c>
      <c r="V521">
        <v>165</v>
      </c>
      <c r="W521" t="b">
        <v>0</v>
      </c>
    </row>
    <row r="522" spans="1:24">
      <c r="A522">
        <v>521</v>
      </c>
      <c r="B522" t="s">
        <v>797</v>
      </c>
      <c r="C522" t="s">
        <v>16</v>
      </c>
      <c r="D522" s="9">
        <v>34029</v>
      </c>
      <c r="E522" s="9" t="str">
        <f t="shared" si="64"/>
        <v>31-41</v>
      </c>
      <c r="F522">
        <v>31</v>
      </c>
      <c r="G522" t="s">
        <v>17</v>
      </c>
      <c r="H522">
        <v>4</v>
      </c>
      <c r="I522" t="s">
        <v>798</v>
      </c>
      <c r="K522">
        <f t="shared" si="71"/>
        <v>1</v>
      </c>
      <c r="L522">
        <f t="shared" si="65"/>
        <v>1</v>
      </c>
      <c r="M522">
        <f t="shared" si="66"/>
        <v>1</v>
      </c>
      <c r="N522">
        <f t="shared" si="67"/>
        <v>0</v>
      </c>
      <c r="O522">
        <f t="shared" si="68"/>
        <v>0</v>
      </c>
      <c r="P522">
        <f t="shared" si="69"/>
        <v>1</v>
      </c>
      <c r="Q522">
        <f t="shared" si="70"/>
        <v>0</v>
      </c>
      <c r="R522" t="b">
        <v>0</v>
      </c>
      <c r="T522" s="10">
        <v>0.85625</v>
      </c>
      <c r="U522" s="10">
        <v>0.922916666666667</v>
      </c>
      <c r="V522">
        <v>96</v>
      </c>
      <c r="W522" t="b">
        <v>0</v>
      </c>
    </row>
    <row r="523" spans="1:24">
      <c r="A523">
        <v>522</v>
      </c>
      <c r="B523" t="s">
        <v>799</v>
      </c>
      <c r="C523" t="s">
        <v>16</v>
      </c>
      <c r="D523" s="9">
        <v>36588</v>
      </c>
      <c r="E523" s="9" t="str">
        <f t="shared" si="64"/>
        <v>20-30</v>
      </c>
      <c r="F523">
        <v>24</v>
      </c>
      <c r="G523" t="s">
        <v>21</v>
      </c>
      <c r="H523">
        <v>2</v>
      </c>
      <c r="I523" t="s">
        <v>509</v>
      </c>
      <c r="K523">
        <f t="shared" si="71"/>
        <v>0</v>
      </c>
      <c r="L523">
        <f t="shared" si="65"/>
        <v>0</v>
      </c>
      <c r="M523">
        <f t="shared" si="66"/>
        <v>1</v>
      </c>
      <c r="N523">
        <f t="shared" si="67"/>
        <v>0</v>
      </c>
      <c r="O523">
        <f t="shared" si="68"/>
        <v>0</v>
      </c>
      <c r="P523">
        <f t="shared" si="69"/>
        <v>0</v>
      </c>
      <c r="Q523">
        <f t="shared" si="70"/>
        <v>1</v>
      </c>
      <c r="R523" t="b">
        <v>1</v>
      </c>
      <c r="S523" t="s">
        <v>487</v>
      </c>
      <c r="T523" s="10">
        <v>0.850694444444445</v>
      </c>
      <c r="U523" s="10">
        <v>0.930555555555555</v>
      </c>
      <c r="V523">
        <v>115</v>
      </c>
      <c r="W523" t="b">
        <v>0</v>
      </c>
    </row>
    <row r="524" spans="1:24">
      <c r="A524">
        <v>523</v>
      </c>
      <c r="B524" t="s">
        <v>800</v>
      </c>
      <c r="C524" t="s">
        <v>16</v>
      </c>
      <c r="D524" s="9">
        <v>34346</v>
      </c>
      <c r="E524" s="9" t="str">
        <f t="shared" si="64"/>
        <v>20-30</v>
      </c>
      <c r="F524">
        <v>30</v>
      </c>
      <c r="G524" t="s">
        <v>17</v>
      </c>
      <c r="H524">
        <v>1</v>
      </c>
      <c r="I524" t="s">
        <v>81</v>
      </c>
      <c r="K524">
        <f t="shared" si="71"/>
        <v>0</v>
      </c>
      <c r="L524">
        <f t="shared" si="65"/>
        <v>0</v>
      </c>
      <c r="M524">
        <f t="shared" si="66"/>
        <v>0</v>
      </c>
      <c r="N524">
        <f t="shared" si="67"/>
        <v>0</v>
      </c>
      <c r="O524">
        <f t="shared" si="68"/>
        <v>0</v>
      </c>
      <c r="P524">
        <f t="shared" si="69"/>
        <v>1</v>
      </c>
      <c r="Q524">
        <f t="shared" si="70"/>
        <v>0</v>
      </c>
      <c r="R524" t="b">
        <v>0</v>
      </c>
      <c r="T524" s="10">
        <v>0.749305555555556</v>
      </c>
      <c r="U524" s="10">
        <v>0.818055555555556</v>
      </c>
      <c r="V524">
        <v>99</v>
      </c>
      <c r="W524" t="b">
        <v>1</v>
      </c>
      <c r="X524" t="s">
        <v>23</v>
      </c>
    </row>
    <row r="525" spans="1:24">
      <c r="A525">
        <v>524</v>
      </c>
      <c r="B525" t="s">
        <v>801</v>
      </c>
      <c r="C525" t="s">
        <v>16</v>
      </c>
      <c r="D525" s="9">
        <v>40011</v>
      </c>
      <c r="E525" s="9" t="str">
        <f t="shared" si="64"/>
        <v>below 20</v>
      </c>
      <c r="F525">
        <v>15</v>
      </c>
      <c r="G525" t="s">
        <v>21</v>
      </c>
      <c r="H525">
        <v>2</v>
      </c>
      <c r="I525" t="s">
        <v>72</v>
      </c>
      <c r="K525">
        <f t="shared" si="71"/>
        <v>0</v>
      </c>
      <c r="L525">
        <f t="shared" si="65"/>
        <v>0</v>
      </c>
      <c r="M525">
        <f t="shared" si="66"/>
        <v>0</v>
      </c>
      <c r="N525">
        <f t="shared" si="67"/>
        <v>0</v>
      </c>
      <c r="O525">
        <f t="shared" si="68"/>
        <v>1</v>
      </c>
      <c r="P525">
        <f t="shared" si="69"/>
        <v>0</v>
      </c>
      <c r="Q525">
        <f t="shared" si="70"/>
        <v>1</v>
      </c>
      <c r="R525" t="b">
        <v>1</v>
      </c>
      <c r="S525" t="s">
        <v>107</v>
      </c>
      <c r="T525" s="10">
        <v>0.597222222222222</v>
      </c>
      <c r="U525" s="10">
        <v>0.620833333333333</v>
      </c>
      <c r="V525">
        <v>34</v>
      </c>
      <c r="W525" t="b">
        <v>0</v>
      </c>
    </row>
    <row r="526" spans="1:24">
      <c r="A526">
        <v>525</v>
      </c>
      <c r="B526" t="s">
        <v>802</v>
      </c>
      <c r="C526" t="s">
        <v>16</v>
      </c>
      <c r="D526" s="9">
        <v>35527</v>
      </c>
      <c r="E526" s="9" t="str">
        <f t="shared" si="64"/>
        <v>20-30</v>
      </c>
      <c r="F526">
        <v>27</v>
      </c>
      <c r="G526" t="s">
        <v>17</v>
      </c>
      <c r="H526">
        <v>5</v>
      </c>
      <c r="I526" t="s">
        <v>152</v>
      </c>
      <c r="K526">
        <f t="shared" si="71"/>
        <v>1</v>
      </c>
      <c r="L526">
        <f t="shared" si="65"/>
        <v>0</v>
      </c>
      <c r="M526">
        <f t="shared" si="66"/>
        <v>1</v>
      </c>
      <c r="N526">
        <f t="shared" si="67"/>
        <v>1</v>
      </c>
      <c r="O526">
        <f t="shared" si="68"/>
        <v>1</v>
      </c>
      <c r="P526">
        <f t="shared" si="69"/>
        <v>0</v>
      </c>
      <c r="Q526">
        <f t="shared" si="70"/>
        <v>1</v>
      </c>
      <c r="R526" t="b">
        <v>0</v>
      </c>
      <c r="T526" s="10">
        <v>0.765277777777778</v>
      </c>
      <c r="U526" s="10">
        <v>0.790277777777778</v>
      </c>
      <c r="V526">
        <v>36</v>
      </c>
      <c r="W526" t="b">
        <v>0</v>
      </c>
    </row>
    <row r="527" spans="1:24">
      <c r="A527">
        <v>526</v>
      </c>
      <c r="B527" t="s">
        <v>803</v>
      </c>
      <c r="C527" t="s">
        <v>25</v>
      </c>
      <c r="D527" s="9">
        <v>39454</v>
      </c>
      <c r="E527" s="9" t="str">
        <f t="shared" si="64"/>
        <v>below 20</v>
      </c>
      <c r="F527">
        <v>16</v>
      </c>
      <c r="G527" t="s">
        <v>21</v>
      </c>
      <c r="H527">
        <v>4</v>
      </c>
      <c r="I527" t="s">
        <v>219</v>
      </c>
      <c r="K527">
        <f t="shared" si="71"/>
        <v>0</v>
      </c>
      <c r="L527">
        <f t="shared" si="65"/>
        <v>1</v>
      </c>
      <c r="M527">
        <f t="shared" si="66"/>
        <v>0</v>
      </c>
      <c r="N527">
        <f t="shared" si="67"/>
        <v>1</v>
      </c>
      <c r="O527">
        <f t="shared" si="68"/>
        <v>1</v>
      </c>
      <c r="P527">
        <f t="shared" si="69"/>
        <v>0</v>
      </c>
      <c r="Q527">
        <f t="shared" si="70"/>
        <v>1</v>
      </c>
      <c r="R527" t="b">
        <v>1</v>
      </c>
      <c r="S527" t="s">
        <v>174</v>
      </c>
      <c r="T527" s="10">
        <v>0.571527777777778</v>
      </c>
      <c r="U527" s="10">
        <v>0.658333333333333</v>
      </c>
      <c r="V527">
        <v>125</v>
      </c>
      <c r="W527" t="b">
        <v>1</v>
      </c>
      <c r="X527" t="s">
        <v>28</v>
      </c>
    </row>
    <row r="528" spans="1:24">
      <c r="A528">
        <v>527</v>
      </c>
      <c r="B528" t="s">
        <v>804</v>
      </c>
      <c r="C528" t="s">
        <v>16</v>
      </c>
      <c r="D528" s="9">
        <v>33105</v>
      </c>
      <c r="E528" s="9" t="str">
        <f t="shared" si="64"/>
        <v>31-41</v>
      </c>
      <c r="F528">
        <v>34</v>
      </c>
      <c r="G528" t="s">
        <v>17</v>
      </c>
      <c r="H528">
        <v>3</v>
      </c>
      <c r="I528" t="s">
        <v>136</v>
      </c>
      <c r="K528">
        <f t="shared" si="71"/>
        <v>1</v>
      </c>
      <c r="L528">
        <f t="shared" si="65"/>
        <v>0</v>
      </c>
      <c r="M528">
        <f t="shared" si="66"/>
        <v>0</v>
      </c>
      <c r="N528">
        <f t="shared" si="67"/>
        <v>1</v>
      </c>
      <c r="O528">
        <f t="shared" si="68"/>
        <v>0</v>
      </c>
      <c r="P528">
        <f t="shared" si="69"/>
        <v>1</v>
      </c>
      <c r="Q528">
        <f t="shared" si="70"/>
        <v>0</v>
      </c>
      <c r="R528" t="b">
        <v>0</v>
      </c>
      <c r="T528" s="10">
        <v>0.46875</v>
      </c>
      <c r="U528" s="10">
        <v>0.509722222222222</v>
      </c>
      <c r="V528">
        <v>59</v>
      </c>
      <c r="W528" t="b">
        <v>1</v>
      </c>
      <c r="X528" t="s">
        <v>23</v>
      </c>
    </row>
    <row r="529" spans="1:24">
      <c r="A529">
        <v>528</v>
      </c>
      <c r="B529" t="s">
        <v>805</v>
      </c>
      <c r="C529" t="s">
        <v>16</v>
      </c>
      <c r="D529" s="9">
        <v>36006</v>
      </c>
      <c r="E529" s="9" t="str">
        <f t="shared" si="64"/>
        <v>20-30</v>
      </c>
      <c r="F529">
        <v>26</v>
      </c>
      <c r="G529" t="s">
        <v>21</v>
      </c>
      <c r="H529">
        <v>3</v>
      </c>
      <c r="I529" t="s">
        <v>65</v>
      </c>
      <c r="K529">
        <f t="shared" si="71"/>
        <v>1</v>
      </c>
      <c r="L529">
        <f t="shared" si="65"/>
        <v>0</v>
      </c>
      <c r="M529">
        <f t="shared" si="66"/>
        <v>0</v>
      </c>
      <c r="N529">
        <f t="shared" si="67"/>
        <v>1</v>
      </c>
      <c r="O529">
        <f t="shared" si="68"/>
        <v>1</v>
      </c>
      <c r="P529">
        <f t="shared" si="69"/>
        <v>0</v>
      </c>
      <c r="Q529">
        <f t="shared" si="70"/>
        <v>0</v>
      </c>
      <c r="R529" t="b">
        <v>1</v>
      </c>
      <c r="S529" t="s">
        <v>83</v>
      </c>
      <c r="T529" s="10">
        <v>0.352083333333333</v>
      </c>
      <c r="U529" s="10">
        <v>0.448611111111111</v>
      </c>
      <c r="V529">
        <v>139</v>
      </c>
      <c r="W529" t="b">
        <v>0</v>
      </c>
    </row>
    <row r="530" spans="1:24">
      <c r="A530">
        <v>529</v>
      </c>
      <c r="B530" t="s">
        <v>806</v>
      </c>
      <c r="C530" t="s">
        <v>25</v>
      </c>
      <c r="D530" s="9">
        <v>38243</v>
      </c>
      <c r="E530" s="9" t="str">
        <f t="shared" si="64"/>
        <v>20-30</v>
      </c>
      <c r="F530">
        <v>20</v>
      </c>
      <c r="G530" t="s">
        <v>17</v>
      </c>
      <c r="H530">
        <v>2</v>
      </c>
      <c r="I530" t="s">
        <v>166</v>
      </c>
      <c r="K530">
        <f t="shared" si="71"/>
        <v>0</v>
      </c>
      <c r="L530">
        <f t="shared" si="65"/>
        <v>1</v>
      </c>
      <c r="M530">
        <f t="shared" si="66"/>
        <v>0</v>
      </c>
      <c r="N530">
        <f t="shared" si="67"/>
        <v>1</v>
      </c>
      <c r="O530">
        <f t="shared" si="68"/>
        <v>0</v>
      </c>
      <c r="P530">
        <f t="shared" si="69"/>
        <v>0</v>
      </c>
      <c r="Q530">
        <f t="shared" si="70"/>
        <v>0</v>
      </c>
      <c r="R530" t="b">
        <v>0</v>
      </c>
      <c r="T530" s="10">
        <v>0.368055555555556</v>
      </c>
      <c r="U530" s="10">
        <v>0.440972222222222</v>
      </c>
      <c r="V530">
        <v>105</v>
      </c>
      <c r="W530" t="b">
        <v>0</v>
      </c>
    </row>
    <row r="531" spans="1:24">
      <c r="A531">
        <v>530</v>
      </c>
      <c r="B531" t="s">
        <v>807</v>
      </c>
      <c r="C531" t="s">
        <v>16</v>
      </c>
      <c r="D531" s="9">
        <v>28962</v>
      </c>
      <c r="E531" s="9" t="str">
        <f t="shared" si="64"/>
        <v>41-50</v>
      </c>
      <c r="F531">
        <v>45</v>
      </c>
      <c r="G531" t="s">
        <v>17</v>
      </c>
      <c r="H531">
        <v>3</v>
      </c>
      <c r="I531" t="s">
        <v>161</v>
      </c>
      <c r="K531">
        <f t="shared" si="71"/>
        <v>0</v>
      </c>
      <c r="L531">
        <f t="shared" si="65"/>
        <v>0</v>
      </c>
      <c r="M531">
        <f t="shared" si="66"/>
        <v>0</v>
      </c>
      <c r="N531">
        <f t="shared" si="67"/>
        <v>0</v>
      </c>
      <c r="O531">
        <f t="shared" si="68"/>
        <v>1</v>
      </c>
      <c r="P531">
        <f t="shared" si="69"/>
        <v>1</v>
      </c>
      <c r="Q531">
        <f t="shared" si="70"/>
        <v>1</v>
      </c>
      <c r="R531" t="b">
        <v>1</v>
      </c>
      <c r="S531" t="s">
        <v>808</v>
      </c>
      <c r="T531" s="10">
        <v>0.832638888888889</v>
      </c>
      <c r="U531" s="10">
        <v>0.863194444444444</v>
      </c>
      <c r="V531">
        <v>44</v>
      </c>
      <c r="W531" t="b">
        <v>0</v>
      </c>
    </row>
    <row r="532" spans="1:24">
      <c r="A532">
        <v>531</v>
      </c>
      <c r="B532" t="s">
        <v>809</v>
      </c>
      <c r="C532" t="s">
        <v>25</v>
      </c>
      <c r="D532" s="9">
        <v>34130</v>
      </c>
      <c r="E532" s="9" t="str">
        <f t="shared" si="64"/>
        <v>31-41</v>
      </c>
      <c r="F532">
        <v>31</v>
      </c>
      <c r="G532" t="s">
        <v>17</v>
      </c>
      <c r="H532">
        <v>2</v>
      </c>
      <c r="I532" t="s">
        <v>40</v>
      </c>
      <c r="K532">
        <f t="shared" si="71"/>
        <v>1</v>
      </c>
      <c r="L532">
        <f t="shared" si="65"/>
        <v>0</v>
      </c>
      <c r="M532">
        <f t="shared" si="66"/>
        <v>0</v>
      </c>
      <c r="N532">
        <f t="shared" si="67"/>
        <v>0</v>
      </c>
      <c r="O532">
        <f t="shared" si="68"/>
        <v>0</v>
      </c>
      <c r="P532">
        <f t="shared" si="69"/>
        <v>0</v>
      </c>
      <c r="Q532">
        <f t="shared" si="70"/>
        <v>1</v>
      </c>
      <c r="R532" t="b">
        <v>1</v>
      </c>
      <c r="S532" t="s">
        <v>810</v>
      </c>
      <c r="T532" s="10">
        <v>0.61875</v>
      </c>
      <c r="U532" s="10">
        <v>0.656944444444444</v>
      </c>
      <c r="V532">
        <v>55</v>
      </c>
      <c r="W532" t="b">
        <v>1</v>
      </c>
      <c r="X532" t="s">
        <v>28</v>
      </c>
    </row>
    <row r="533" spans="1:24">
      <c r="A533">
        <v>532</v>
      </c>
      <c r="B533" t="s">
        <v>811</v>
      </c>
      <c r="C533" t="s">
        <v>25</v>
      </c>
      <c r="D533" s="9">
        <v>28031</v>
      </c>
      <c r="E533" s="9" t="str">
        <f t="shared" si="64"/>
        <v>41-50</v>
      </c>
      <c r="F533">
        <v>48</v>
      </c>
      <c r="G533" t="s">
        <v>17</v>
      </c>
      <c r="H533">
        <v>4</v>
      </c>
      <c r="I533" t="s">
        <v>342</v>
      </c>
      <c r="K533">
        <f t="shared" si="71"/>
        <v>0</v>
      </c>
      <c r="L533">
        <f t="shared" si="65"/>
        <v>1</v>
      </c>
      <c r="M533">
        <f t="shared" si="66"/>
        <v>1</v>
      </c>
      <c r="N533">
        <f t="shared" si="67"/>
        <v>0</v>
      </c>
      <c r="O533">
        <f t="shared" si="68"/>
        <v>0</v>
      </c>
      <c r="P533">
        <f t="shared" si="69"/>
        <v>1</v>
      </c>
      <c r="Q533">
        <f t="shared" si="70"/>
        <v>1</v>
      </c>
      <c r="R533" t="b">
        <v>1</v>
      </c>
      <c r="S533" t="s">
        <v>812</v>
      </c>
      <c r="T533" s="10">
        <v>0.669444444444444</v>
      </c>
      <c r="U533" s="10">
        <v>0.696527777777778</v>
      </c>
      <c r="V533">
        <v>39</v>
      </c>
      <c r="W533" t="b">
        <v>1</v>
      </c>
      <c r="X533" t="s">
        <v>23</v>
      </c>
    </row>
    <row r="534" spans="1:24">
      <c r="A534">
        <v>533</v>
      </c>
      <c r="B534" t="s">
        <v>813</v>
      </c>
      <c r="C534" t="s">
        <v>16</v>
      </c>
      <c r="D534" s="9">
        <v>31288</v>
      </c>
      <c r="E534" s="9" t="str">
        <f t="shared" si="64"/>
        <v>31-41</v>
      </c>
      <c r="F534">
        <v>39</v>
      </c>
      <c r="G534" t="s">
        <v>17</v>
      </c>
      <c r="H534">
        <v>4</v>
      </c>
      <c r="I534" t="s">
        <v>814</v>
      </c>
      <c r="K534">
        <f t="shared" si="71"/>
        <v>0</v>
      </c>
      <c r="L534">
        <f t="shared" si="65"/>
        <v>1</v>
      </c>
      <c r="M534">
        <f t="shared" si="66"/>
        <v>0</v>
      </c>
      <c r="N534">
        <f t="shared" si="67"/>
        <v>1</v>
      </c>
      <c r="O534">
        <f t="shared" si="68"/>
        <v>0</v>
      </c>
      <c r="P534">
        <f t="shared" si="69"/>
        <v>1</v>
      </c>
      <c r="Q534">
        <f t="shared" si="70"/>
        <v>1</v>
      </c>
      <c r="R534" t="b">
        <v>0</v>
      </c>
      <c r="T534" s="10">
        <v>0.790277777777778</v>
      </c>
      <c r="U534" s="10">
        <v>0.900694444444444</v>
      </c>
      <c r="V534">
        <v>159</v>
      </c>
      <c r="W534" t="b">
        <v>0</v>
      </c>
    </row>
    <row r="535" spans="1:24">
      <c r="A535">
        <v>534</v>
      </c>
      <c r="B535" t="s">
        <v>815</v>
      </c>
      <c r="C535" t="s">
        <v>25</v>
      </c>
      <c r="D535" s="9">
        <v>35095</v>
      </c>
      <c r="E535" s="9" t="str">
        <f t="shared" si="64"/>
        <v>20-30</v>
      </c>
      <c r="F535">
        <v>28</v>
      </c>
      <c r="G535" t="s">
        <v>21</v>
      </c>
      <c r="H535">
        <v>5</v>
      </c>
      <c r="I535" t="s">
        <v>816</v>
      </c>
      <c r="K535">
        <f t="shared" si="71"/>
        <v>1</v>
      </c>
      <c r="L535">
        <f t="shared" si="65"/>
        <v>0</v>
      </c>
      <c r="M535">
        <f t="shared" si="66"/>
        <v>1</v>
      </c>
      <c r="N535">
        <f t="shared" si="67"/>
        <v>1</v>
      </c>
      <c r="O535">
        <f t="shared" si="68"/>
        <v>0</v>
      </c>
      <c r="P535">
        <f t="shared" si="69"/>
        <v>1</v>
      </c>
      <c r="Q535">
        <f t="shared" si="70"/>
        <v>1</v>
      </c>
      <c r="R535" t="b">
        <v>0</v>
      </c>
      <c r="T535" s="10">
        <v>0.620138888888889</v>
      </c>
      <c r="U535" s="10">
        <v>0.736805555555556</v>
      </c>
      <c r="V535">
        <v>168</v>
      </c>
      <c r="W535" t="b">
        <v>0</v>
      </c>
    </row>
    <row r="536" spans="1:24">
      <c r="A536">
        <v>535</v>
      </c>
      <c r="B536" t="s">
        <v>817</v>
      </c>
      <c r="C536" t="s">
        <v>25</v>
      </c>
      <c r="D536" s="9">
        <v>38985</v>
      </c>
      <c r="E536" s="9" t="str">
        <f t="shared" si="64"/>
        <v>below 20</v>
      </c>
      <c r="F536">
        <v>18</v>
      </c>
      <c r="G536" t="s">
        <v>17</v>
      </c>
      <c r="H536">
        <v>3</v>
      </c>
      <c r="I536" t="s">
        <v>247</v>
      </c>
      <c r="K536">
        <f t="shared" si="71"/>
        <v>0</v>
      </c>
      <c r="L536">
        <f t="shared" si="65"/>
        <v>0</v>
      </c>
      <c r="M536">
        <f t="shared" si="66"/>
        <v>1</v>
      </c>
      <c r="N536">
        <f t="shared" si="67"/>
        <v>1</v>
      </c>
      <c r="O536">
        <f t="shared" si="68"/>
        <v>0</v>
      </c>
      <c r="P536">
        <f t="shared" si="69"/>
        <v>1</v>
      </c>
      <c r="Q536">
        <f t="shared" si="70"/>
        <v>0</v>
      </c>
      <c r="R536" t="b">
        <v>1</v>
      </c>
      <c r="S536" t="s">
        <v>139</v>
      </c>
      <c r="T536" s="10">
        <v>0.740277777777778</v>
      </c>
      <c r="U536" s="10">
        <v>0.806944444444444</v>
      </c>
      <c r="V536">
        <v>96</v>
      </c>
      <c r="W536" t="b">
        <v>1</v>
      </c>
      <c r="X536" t="s">
        <v>47</v>
      </c>
    </row>
    <row r="537" spans="1:24">
      <c r="A537">
        <v>536</v>
      </c>
      <c r="B537" t="s">
        <v>229</v>
      </c>
      <c r="C537" t="s">
        <v>25</v>
      </c>
      <c r="D537" s="9">
        <v>32227</v>
      </c>
      <c r="E537" s="9" t="str">
        <f t="shared" si="64"/>
        <v>31-41</v>
      </c>
      <c r="F537">
        <v>36</v>
      </c>
      <c r="G537" t="s">
        <v>17</v>
      </c>
      <c r="H537">
        <v>3</v>
      </c>
      <c r="I537" t="s">
        <v>98</v>
      </c>
      <c r="K537">
        <f t="shared" si="71"/>
        <v>0</v>
      </c>
      <c r="L537">
        <f t="shared" si="65"/>
        <v>1</v>
      </c>
      <c r="M537">
        <f t="shared" si="66"/>
        <v>0</v>
      </c>
      <c r="N537">
        <f t="shared" si="67"/>
        <v>0</v>
      </c>
      <c r="O537">
        <f t="shared" si="68"/>
        <v>1</v>
      </c>
      <c r="P537">
        <f t="shared" si="69"/>
        <v>1</v>
      </c>
      <c r="Q537">
        <f t="shared" si="70"/>
        <v>0</v>
      </c>
      <c r="R537" t="b">
        <v>0</v>
      </c>
      <c r="T537" s="10">
        <v>0.670138888888889</v>
      </c>
      <c r="U537" s="10">
        <v>0.696527777777778</v>
      </c>
      <c r="V537">
        <v>38</v>
      </c>
      <c r="W537" t="b">
        <v>0</v>
      </c>
    </row>
    <row r="538" spans="1:24">
      <c r="A538">
        <v>537</v>
      </c>
      <c r="B538" t="s">
        <v>818</v>
      </c>
      <c r="C538" t="s">
        <v>16</v>
      </c>
      <c r="D538" s="9">
        <v>35782</v>
      </c>
      <c r="E538" s="9" t="str">
        <f t="shared" si="64"/>
        <v>20-30</v>
      </c>
      <c r="F538">
        <v>26</v>
      </c>
      <c r="G538" t="s">
        <v>21</v>
      </c>
      <c r="H538">
        <v>3</v>
      </c>
      <c r="I538" t="s">
        <v>161</v>
      </c>
      <c r="K538">
        <f t="shared" si="71"/>
        <v>0</v>
      </c>
      <c r="L538">
        <f t="shared" si="65"/>
        <v>0</v>
      </c>
      <c r="M538">
        <f t="shared" si="66"/>
        <v>0</v>
      </c>
      <c r="N538">
        <f t="shared" si="67"/>
        <v>0</v>
      </c>
      <c r="O538">
        <f t="shared" si="68"/>
        <v>1</v>
      </c>
      <c r="P538">
        <f t="shared" si="69"/>
        <v>1</v>
      </c>
      <c r="Q538">
        <f t="shared" si="70"/>
        <v>1</v>
      </c>
      <c r="R538" t="b">
        <v>1</v>
      </c>
      <c r="S538" t="s">
        <v>819</v>
      </c>
      <c r="T538" s="10">
        <v>0.431944444444444</v>
      </c>
      <c r="U538" s="10">
        <v>0.465972222222222</v>
      </c>
      <c r="V538">
        <v>49</v>
      </c>
      <c r="W538" t="b">
        <v>1</v>
      </c>
      <c r="X538" t="s">
        <v>23</v>
      </c>
    </row>
    <row r="539" spans="1:24">
      <c r="A539">
        <v>538</v>
      </c>
      <c r="B539" t="s">
        <v>820</v>
      </c>
      <c r="C539" t="s">
        <v>25</v>
      </c>
      <c r="D539" s="9">
        <v>29398</v>
      </c>
      <c r="E539" s="9" t="str">
        <f t="shared" si="64"/>
        <v>41-50</v>
      </c>
      <c r="F539">
        <v>44</v>
      </c>
      <c r="G539" t="s">
        <v>17</v>
      </c>
      <c r="H539">
        <v>2</v>
      </c>
      <c r="I539" t="s">
        <v>461</v>
      </c>
      <c r="K539">
        <f t="shared" si="71"/>
        <v>0</v>
      </c>
      <c r="L539">
        <f t="shared" si="65"/>
        <v>0</v>
      </c>
      <c r="M539">
        <f t="shared" si="66"/>
        <v>0</v>
      </c>
      <c r="N539">
        <f t="shared" si="67"/>
        <v>0</v>
      </c>
      <c r="O539">
        <f t="shared" si="68"/>
        <v>1</v>
      </c>
      <c r="P539">
        <f t="shared" si="69"/>
        <v>1</v>
      </c>
      <c r="Q539">
        <f t="shared" si="70"/>
        <v>0</v>
      </c>
      <c r="R539" t="b">
        <v>0</v>
      </c>
      <c r="T539" s="10">
        <v>0.340277777777778</v>
      </c>
      <c r="U539" s="10">
        <v>0.445833333333333</v>
      </c>
      <c r="V539">
        <v>152</v>
      </c>
      <c r="W539" t="b">
        <v>1</v>
      </c>
      <c r="X539" t="s">
        <v>47</v>
      </c>
    </row>
    <row r="540" spans="1:24">
      <c r="A540">
        <v>539</v>
      </c>
      <c r="B540" t="s">
        <v>821</v>
      </c>
      <c r="C540" t="s">
        <v>25</v>
      </c>
      <c r="D540" s="9">
        <v>41139</v>
      </c>
      <c r="E540" s="9" t="str">
        <f t="shared" si="64"/>
        <v>below 20</v>
      </c>
      <c r="F540">
        <v>12</v>
      </c>
      <c r="G540" t="s">
        <v>17</v>
      </c>
      <c r="H540">
        <v>1</v>
      </c>
      <c r="I540" t="s">
        <v>81</v>
      </c>
      <c r="K540">
        <f t="shared" si="71"/>
        <v>0</v>
      </c>
      <c r="L540">
        <f t="shared" si="65"/>
        <v>0</v>
      </c>
      <c r="M540">
        <f t="shared" si="66"/>
        <v>0</v>
      </c>
      <c r="N540">
        <f t="shared" si="67"/>
        <v>0</v>
      </c>
      <c r="O540">
        <f t="shared" si="68"/>
        <v>0</v>
      </c>
      <c r="P540">
        <f t="shared" si="69"/>
        <v>1</v>
      </c>
      <c r="Q540">
        <f t="shared" si="70"/>
        <v>0</v>
      </c>
      <c r="R540" t="b">
        <v>1</v>
      </c>
      <c r="S540" t="s">
        <v>822</v>
      </c>
      <c r="T540" s="10">
        <v>0.713888888888889</v>
      </c>
      <c r="U540" s="10">
        <v>0.736111111111111</v>
      </c>
      <c r="V540">
        <v>32</v>
      </c>
      <c r="W540" t="b">
        <v>0</v>
      </c>
    </row>
    <row r="541" spans="1:24">
      <c r="A541">
        <v>540</v>
      </c>
      <c r="B541" t="s">
        <v>823</v>
      </c>
      <c r="C541" t="s">
        <v>25</v>
      </c>
      <c r="D541" s="9">
        <v>36568</v>
      </c>
      <c r="E541" s="9" t="str">
        <f t="shared" si="64"/>
        <v>20-30</v>
      </c>
      <c r="F541">
        <v>24</v>
      </c>
      <c r="G541" t="s">
        <v>21</v>
      </c>
      <c r="H541">
        <v>1</v>
      </c>
      <c r="I541" t="s">
        <v>46</v>
      </c>
      <c r="K541">
        <f t="shared" si="71"/>
        <v>0</v>
      </c>
      <c r="L541">
        <f t="shared" si="65"/>
        <v>1</v>
      </c>
      <c r="M541">
        <f t="shared" si="66"/>
        <v>0</v>
      </c>
      <c r="N541">
        <f t="shared" si="67"/>
        <v>0</v>
      </c>
      <c r="O541">
        <f t="shared" si="68"/>
        <v>0</v>
      </c>
      <c r="P541">
        <f t="shared" si="69"/>
        <v>0</v>
      </c>
      <c r="Q541">
        <f t="shared" si="70"/>
        <v>0</v>
      </c>
      <c r="R541" t="b">
        <v>1</v>
      </c>
      <c r="S541" t="s">
        <v>201</v>
      </c>
      <c r="T541" s="10">
        <v>0.373611111111111</v>
      </c>
      <c r="U541" s="10">
        <v>0.422916666666667</v>
      </c>
      <c r="V541">
        <v>71</v>
      </c>
      <c r="W541" t="b">
        <v>1</v>
      </c>
      <c r="X541" t="s">
        <v>50</v>
      </c>
    </row>
    <row r="542" spans="1:24">
      <c r="A542">
        <v>541</v>
      </c>
      <c r="B542" t="s">
        <v>824</v>
      </c>
      <c r="C542" t="s">
        <v>25</v>
      </c>
      <c r="D542" s="9">
        <v>28007</v>
      </c>
      <c r="E542" s="9" t="str">
        <f t="shared" si="64"/>
        <v>41-50</v>
      </c>
      <c r="F542">
        <v>48</v>
      </c>
      <c r="G542" t="s">
        <v>17</v>
      </c>
      <c r="H542">
        <v>2</v>
      </c>
      <c r="I542" t="s">
        <v>189</v>
      </c>
      <c r="K542">
        <f t="shared" si="71"/>
        <v>0</v>
      </c>
      <c r="L542">
        <f t="shared" si="65"/>
        <v>1</v>
      </c>
      <c r="M542">
        <f t="shared" si="66"/>
        <v>1</v>
      </c>
      <c r="N542">
        <f t="shared" si="67"/>
        <v>0</v>
      </c>
      <c r="O542">
        <f t="shared" si="68"/>
        <v>0</v>
      </c>
      <c r="P542">
        <f t="shared" si="69"/>
        <v>0</v>
      </c>
      <c r="Q542">
        <f t="shared" si="70"/>
        <v>0</v>
      </c>
      <c r="R542" t="b">
        <v>0</v>
      </c>
      <c r="T542" s="10">
        <v>0.707638888888889</v>
      </c>
      <c r="U542" s="10">
        <v>0.741666666666667</v>
      </c>
      <c r="V542">
        <v>49</v>
      </c>
      <c r="W542" t="b">
        <v>0</v>
      </c>
    </row>
    <row r="543" spans="1:24">
      <c r="A543">
        <v>542</v>
      </c>
      <c r="B543" t="s">
        <v>825</v>
      </c>
      <c r="C543" t="s">
        <v>16</v>
      </c>
      <c r="D543" s="9">
        <v>40827</v>
      </c>
      <c r="E543" s="9" t="str">
        <f t="shared" si="64"/>
        <v>below 20</v>
      </c>
      <c r="F543">
        <v>12</v>
      </c>
      <c r="G543" t="s">
        <v>17</v>
      </c>
      <c r="H543">
        <v>1</v>
      </c>
      <c r="I543" t="s">
        <v>35</v>
      </c>
      <c r="K543">
        <f t="shared" si="71"/>
        <v>0</v>
      </c>
      <c r="L543">
        <f t="shared" si="65"/>
        <v>0</v>
      </c>
      <c r="M543">
        <f t="shared" si="66"/>
        <v>1</v>
      </c>
      <c r="N543">
        <f t="shared" si="67"/>
        <v>0</v>
      </c>
      <c r="O543">
        <f t="shared" si="68"/>
        <v>0</v>
      </c>
      <c r="P543">
        <f t="shared" si="69"/>
        <v>0</v>
      </c>
      <c r="Q543">
        <f t="shared" si="70"/>
        <v>0</v>
      </c>
      <c r="R543" t="b">
        <v>1</v>
      </c>
      <c r="S543" t="s">
        <v>107</v>
      </c>
      <c r="T543" s="10">
        <v>0.496527777777778</v>
      </c>
      <c r="U543" s="10">
        <v>0.6125</v>
      </c>
      <c r="V543">
        <v>167</v>
      </c>
      <c r="W543" t="b">
        <v>0</v>
      </c>
    </row>
    <row r="544" spans="1:24">
      <c r="A544">
        <v>543</v>
      </c>
      <c r="B544" t="s">
        <v>826</v>
      </c>
      <c r="C544" t="s">
        <v>16</v>
      </c>
      <c r="D544" s="9">
        <v>34914</v>
      </c>
      <c r="E544" s="9" t="str">
        <f t="shared" si="64"/>
        <v>20-30</v>
      </c>
      <c r="F544">
        <v>29</v>
      </c>
      <c r="G544" t="s">
        <v>21</v>
      </c>
      <c r="H544">
        <v>2</v>
      </c>
      <c r="I544" t="s">
        <v>40</v>
      </c>
      <c r="K544">
        <f t="shared" si="71"/>
        <v>1</v>
      </c>
      <c r="L544">
        <f t="shared" si="65"/>
        <v>0</v>
      </c>
      <c r="M544">
        <f t="shared" si="66"/>
        <v>0</v>
      </c>
      <c r="N544">
        <f t="shared" si="67"/>
        <v>0</v>
      </c>
      <c r="O544">
        <f t="shared" si="68"/>
        <v>0</v>
      </c>
      <c r="P544">
        <f t="shared" si="69"/>
        <v>0</v>
      </c>
      <c r="Q544">
        <f t="shared" si="70"/>
        <v>1</v>
      </c>
      <c r="R544" t="b">
        <v>0</v>
      </c>
      <c r="T544" s="10">
        <v>0.614583333333333</v>
      </c>
      <c r="U544" s="10">
        <v>0.654166666666667</v>
      </c>
      <c r="V544">
        <v>57</v>
      </c>
      <c r="W544" t="b">
        <v>1</v>
      </c>
      <c r="X544" t="s">
        <v>47</v>
      </c>
    </row>
    <row r="545" spans="1:24">
      <c r="A545">
        <v>544</v>
      </c>
      <c r="B545" t="s">
        <v>827</v>
      </c>
      <c r="C545" t="s">
        <v>16</v>
      </c>
      <c r="D545" s="9">
        <v>41173</v>
      </c>
      <c r="E545" s="9" t="str">
        <f t="shared" si="64"/>
        <v>below 20</v>
      </c>
      <c r="F545">
        <v>12</v>
      </c>
      <c r="G545" t="s">
        <v>17</v>
      </c>
      <c r="H545">
        <v>2</v>
      </c>
      <c r="I545" t="s">
        <v>210</v>
      </c>
      <c r="K545">
        <f t="shared" si="71"/>
        <v>0</v>
      </c>
      <c r="L545">
        <f t="shared" si="65"/>
        <v>1</v>
      </c>
      <c r="M545">
        <f t="shared" si="66"/>
        <v>0</v>
      </c>
      <c r="N545">
        <f t="shared" si="67"/>
        <v>0</v>
      </c>
      <c r="O545">
        <f t="shared" si="68"/>
        <v>0</v>
      </c>
      <c r="P545">
        <f t="shared" si="69"/>
        <v>1</v>
      </c>
      <c r="Q545">
        <f t="shared" si="70"/>
        <v>0</v>
      </c>
      <c r="R545" t="b">
        <v>1</v>
      </c>
      <c r="S545" t="s">
        <v>581</v>
      </c>
      <c r="T545" s="10">
        <v>0.409027777777778</v>
      </c>
      <c r="U545" s="10">
        <v>0.441666666666667</v>
      </c>
      <c r="V545">
        <v>47</v>
      </c>
      <c r="W545" t="b">
        <v>1</v>
      </c>
      <c r="X545" t="s">
        <v>50</v>
      </c>
    </row>
    <row r="546" spans="1:24">
      <c r="A546">
        <v>545</v>
      </c>
      <c r="B546" t="s">
        <v>828</v>
      </c>
      <c r="C546" t="s">
        <v>16</v>
      </c>
      <c r="D546" s="9">
        <v>31930</v>
      </c>
      <c r="E546" s="9" t="str">
        <f t="shared" si="64"/>
        <v>31-41</v>
      </c>
      <c r="F546">
        <v>37</v>
      </c>
      <c r="G546" t="s">
        <v>17</v>
      </c>
      <c r="H546">
        <v>1</v>
      </c>
      <c r="I546" t="s">
        <v>35</v>
      </c>
      <c r="K546">
        <f t="shared" si="71"/>
        <v>0</v>
      </c>
      <c r="L546">
        <f t="shared" si="65"/>
        <v>0</v>
      </c>
      <c r="M546">
        <f t="shared" si="66"/>
        <v>1</v>
      </c>
      <c r="N546">
        <f t="shared" si="67"/>
        <v>0</v>
      </c>
      <c r="O546">
        <f t="shared" si="68"/>
        <v>0</v>
      </c>
      <c r="P546">
        <f t="shared" si="69"/>
        <v>0</v>
      </c>
      <c r="Q546">
        <f t="shared" si="70"/>
        <v>0</v>
      </c>
      <c r="R546" t="b">
        <v>1</v>
      </c>
      <c r="S546" t="s">
        <v>83</v>
      </c>
      <c r="T546" s="10">
        <v>0.643055555555556</v>
      </c>
      <c r="U546" s="10">
        <v>0.750694444444444</v>
      </c>
      <c r="V546">
        <v>155</v>
      </c>
      <c r="W546" t="b">
        <v>0</v>
      </c>
    </row>
    <row r="547" spans="1:24">
      <c r="A547">
        <v>546</v>
      </c>
      <c r="B547" t="s">
        <v>829</v>
      </c>
      <c r="C547" t="s">
        <v>16</v>
      </c>
      <c r="D547" s="9">
        <v>37929</v>
      </c>
      <c r="E547" s="9" t="str">
        <f t="shared" si="64"/>
        <v>20-30</v>
      </c>
      <c r="F547">
        <v>20</v>
      </c>
      <c r="G547" t="s">
        <v>21</v>
      </c>
      <c r="H547">
        <v>1</v>
      </c>
      <c r="I547" t="s">
        <v>185</v>
      </c>
      <c r="K547">
        <f t="shared" si="71"/>
        <v>0</v>
      </c>
      <c r="L547">
        <f t="shared" si="65"/>
        <v>0</v>
      </c>
      <c r="M547">
        <f t="shared" si="66"/>
        <v>0</v>
      </c>
      <c r="N547">
        <f t="shared" si="67"/>
        <v>1</v>
      </c>
      <c r="O547">
        <f t="shared" si="68"/>
        <v>0</v>
      </c>
      <c r="P547">
        <f t="shared" si="69"/>
        <v>0</v>
      </c>
      <c r="Q547">
        <f t="shared" si="70"/>
        <v>0</v>
      </c>
      <c r="R547" t="b">
        <v>0</v>
      </c>
      <c r="T547" s="10">
        <v>0.371527777777778</v>
      </c>
      <c r="U547" s="10">
        <v>0.413194444444444</v>
      </c>
      <c r="V547">
        <v>60</v>
      </c>
      <c r="W547" t="b">
        <v>1</v>
      </c>
      <c r="X547" t="s">
        <v>50</v>
      </c>
    </row>
    <row r="548" spans="1:24">
      <c r="A548">
        <v>547</v>
      </c>
      <c r="B548" t="s">
        <v>830</v>
      </c>
      <c r="C548" t="s">
        <v>25</v>
      </c>
      <c r="D548" s="9">
        <v>37507</v>
      </c>
      <c r="E548" s="9" t="str">
        <f t="shared" si="64"/>
        <v>20-30</v>
      </c>
      <c r="F548">
        <v>22</v>
      </c>
      <c r="G548" t="s">
        <v>21</v>
      </c>
      <c r="H548">
        <v>2</v>
      </c>
      <c r="I548" t="s">
        <v>101</v>
      </c>
      <c r="K548">
        <f t="shared" si="71"/>
        <v>0</v>
      </c>
      <c r="L548">
        <f t="shared" si="65"/>
        <v>0</v>
      </c>
      <c r="M548">
        <f t="shared" si="66"/>
        <v>0</v>
      </c>
      <c r="N548">
        <f t="shared" si="67"/>
        <v>0</v>
      </c>
      <c r="O548">
        <f t="shared" si="68"/>
        <v>0</v>
      </c>
      <c r="P548">
        <f t="shared" si="69"/>
        <v>1</v>
      </c>
      <c r="Q548">
        <f t="shared" si="70"/>
        <v>1</v>
      </c>
      <c r="R548" t="b">
        <v>0</v>
      </c>
      <c r="T548" s="10">
        <v>0.679861111111111</v>
      </c>
      <c r="U548" s="10">
        <v>0.792361111111111</v>
      </c>
      <c r="V548">
        <v>162</v>
      </c>
      <c r="W548" t="b">
        <v>0</v>
      </c>
    </row>
    <row r="549" spans="1:24">
      <c r="A549">
        <v>548</v>
      </c>
      <c r="B549" t="s">
        <v>831</v>
      </c>
      <c r="C549" t="s">
        <v>16</v>
      </c>
      <c r="D549" s="9">
        <v>40667</v>
      </c>
      <c r="E549" s="9" t="str">
        <f t="shared" si="64"/>
        <v>below 20</v>
      </c>
      <c r="F549">
        <v>13</v>
      </c>
      <c r="G549" t="s">
        <v>21</v>
      </c>
      <c r="H549">
        <v>2</v>
      </c>
      <c r="I549" t="s">
        <v>166</v>
      </c>
      <c r="K549">
        <f t="shared" si="71"/>
        <v>0</v>
      </c>
      <c r="L549">
        <f t="shared" si="65"/>
        <v>1</v>
      </c>
      <c r="M549">
        <f t="shared" si="66"/>
        <v>0</v>
      </c>
      <c r="N549">
        <f t="shared" si="67"/>
        <v>1</v>
      </c>
      <c r="O549">
        <f t="shared" si="68"/>
        <v>0</v>
      </c>
      <c r="P549">
        <f t="shared" si="69"/>
        <v>0</v>
      </c>
      <c r="Q549">
        <f t="shared" si="70"/>
        <v>0</v>
      </c>
      <c r="R549" t="b">
        <v>1</v>
      </c>
      <c r="S549" t="s">
        <v>832</v>
      </c>
      <c r="T549" s="10">
        <v>0.691666666666667</v>
      </c>
      <c r="U549" s="10">
        <v>0.7625</v>
      </c>
      <c r="V549">
        <v>102</v>
      </c>
      <c r="W549" t="b">
        <v>0</v>
      </c>
    </row>
    <row r="550" spans="1:24">
      <c r="A550">
        <v>549</v>
      </c>
      <c r="B550" t="s">
        <v>833</v>
      </c>
      <c r="C550" t="s">
        <v>25</v>
      </c>
      <c r="D550" s="9">
        <v>32720</v>
      </c>
      <c r="E550" s="9" t="str">
        <f t="shared" si="64"/>
        <v>31-41</v>
      </c>
      <c r="F550">
        <v>35</v>
      </c>
      <c r="G550" t="s">
        <v>17</v>
      </c>
      <c r="H550">
        <v>1</v>
      </c>
      <c r="I550" t="s">
        <v>46</v>
      </c>
      <c r="K550">
        <f t="shared" si="71"/>
        <v>0</v>
      </c>
      <c r="L550">
        <f t="shared" si="65"/>
        <v>1</v>
      </c>
      <c r="M550">
        <f t="shared" si="66"/>
        <v>0</v>
      </c>
      <c r="N550">
        <f t="shared" si="67"/>
        <v>0</v>
      </c>
      <c r="O550">
        <f t="shared" si="68"/>
        <v>0</v>
      </c>
      <c r="P550">
        <f t="shared" si="69"/>
        <v>0</v>
      </c>
      <c r="Q550">
        <f t="shared" si="70"/>
        <v>0</v>
      </c>
      <c r="R550" t="b">
        <v>1</v>
      </c>
      <c r="S550" t="s">
        <v>834</v>
      </c>
      <c r="T550" s="10">
        <v>0.685416666666667</v>
      </c>
      <c r="U550" s="10">
        <v>0.743055555555555</v>
      </c>
      <c r="V550">
        <v>83</v>
      </c>
      <c r="W550" t="b">
        <v>1</v>
      </c>
      <c r="X550" t="s">
        <v>47</v>
      </c>
    </row>
    <row r="551" spans="1:24">
      <c r="A551">
        <v>550</v>
      </c>
      <c r="B551" t="s">
        <v>835</v>
      </c>
      <c r="C551" t="s">
        <v>16</v>
      </c>
      <c r="D551" s="9">
        <v>38960</v>
      </c>
      <c r="E551" s="9" t="str">
        <f t="shared" si="64"/>
        <v>below 20</v>
      </c>
      <c r="F551">
        <v>18</v>
      </c>
      <c r="G551" t="s">
        <v>17</v>
      </c>
      <c r="H551">
        <v>1</v>
      </c>
      <c r="I551" t="s">
        <v>81</v>
      </c>
      <c r="K551">
        <f t="shared" si="71"/>
        <v>0</v>
      </c>
      <c r="L551">
        <f t="shared" si="65"/>
        <v>0</v>
      </c>
      <c r="M551">
        <f t="shared" si="66"/>
        <v>0</v>
      </c>
      <c r="N551">
        <f t="shared" si="67"/>
        <v>0</v>
      </c>
      <c r="O551">
        <f t="shared" si="68"/>
        <v>0</v>
      </c>
      <c r="P551">
        <f t="shared" si="69"/>
        <v>1</v>
      </c>
      <c r="Q551">
        <f t="shared" si="70"/>
        <v>0</v>
      </c>
      <c r="R551" t="b">
        <v>0</v>
      </c>
      <c r="T551" s="10">
        <v>0.750694444444444</v>
      </c>
      <c r="U551" s="10">
        <v>0.809027777777778</v>
      </c>
      <c r="V551">
        <v>84</v>
      </c>
      <c r="W551" t="b">
        <v>1</v>
      </c>
      <c r="X551" t="s">
        <v>47</v>
      </c>
    </row>
    <row r="552" spans="1:24">
      <c r="A552">
        <v>551</v>
      </c>
      <c r="B552" t="s">
        <v>836</v>
      </c>
      <c r="C552" t="s">
        <v>16</v>
      </c>
      <c r="D552" s="9">
        <v>32407</v>
      </c>
      <c r="E552" s="9" t="str">
        <f t="shared" si="64"/>
        <v>31-41</v>
      </c>
      <c r="F552">
        <v>36</v>
      </c>
      <c r="G552" t="s">
        <v>21</v>
      </c>
      <c r="H552">
        <v>2</v>
      </c>
      <c r="I552" t="s">
        <v>166</v>
      </c>
      <c r="K552">
        <f t="shared" si="71"/>
        <v>0</v>
      </c>
      <c r="L552">
        <f t="shared" si="65"/>
        <v>1</v>
      </c>
      <c r="M552">
        <f t="shared" si="66"/>
        <v>0</v>
      </c>
      <c r="N552">
        <f t="shared" si="67"/>
        <v>1</v>
      </c>
      <c r="O552">
        <f t="shared" si="68"/>
        <v>0</v>
      </c>
      <c r="P552">
        <f t="shared" si="69"/>
        <v>0</v>
      </c>
      <c r="Q552">
        <f t="shared" si="70"/>
        <v>0</v>
      </c>
      <c r="R552" t="b">
        <v>0</v>
      </c>
      <c r="T552" s="10">
        <v>0.651388888888889</v>
      </c>
      <c r="U552" s="10">
        <v>0.695833333333333</v>
      </c>
      <c r="V552">
        <v>64</v>
      </c>
      <c r="W552" t="b">
        <v>1</v>
      </c>
      <c r="X552" t="s">
        <v>28</v>
      </c>
    </row>
    <row r="553" spans="1:24">
      <c r="A553">
        <v>552</v>
      </c>
      <c r="B553" t="s">
        <v>365</v>
      </c>
      <c r="C553" t="s">
        <v>16</v>
      </c>
      <c r="D553" s="9">
        <v>31721</v>
      </c>
      <c r="E553" s="9" t="str">
        <f t="shared" si="64"/>
        <v>31-41</v>
      </c>
      <c r="F553">
        <v>37</v>
      </c>
      <c r="G553" t="s">
        <v>21</v>
      </c>
      <c r="H553">
        <v>1</v>
      </c>
      <c r="I553" t="s">
        <v>26</v>
      </c>
      <c r="K553">
        <f t="shared" si="71"/>
        <v>1</v>
      </c>
      <c r="L553">
        <f t="shared" si="65"/>
        <v>0</v>
      </c>
      <c r="M553">
        <f t="shared" si="66"/>
        <v>0</v>
      </c>
      <c r="N553">
        <f t="shared" si="67"/>
        <v>0</v>
      </c>
      <c r="O553">
        <f t="shared" si="68"/>
        <v>0</v>
      </c>
      <c r="P553">
        <f t="shared" si="69"/>
        <v>0</v>
      </c>
      <c r="Q553">
        <f t="shared" si="70"/>
        <v>0</v>
      </c>
      <c r="R553" t="b">
        <v>1</v>
      </c>
      <c r="S553" t="s">
        <v>837</v>
      </c>
      <c r="T553" s="10">
        <v>0.663194444444444</v>
      </c>
      <c r="U553" s="10">
        <v>0.7125</v>
      </c>
      <c r="V553">
        <v>71</v>
      </c>
      <c r="W553" t="b">
        <v>0</v>
      </c>
    </row>
    <row r="554" spans="1:24">
      <c r="A554">
        <v>553</v>
      </c>
      <c r="B554" t="s">
        <v>838</v>
      </c>
      <c r="C554" t="s">
        <v>25</v>
      </c>
      <c r="D554" s="9">
        <v>31760</v>
      </c>
      <c r="E554" s="9" t="str">
        <f t="shared" si="64"/>
        <v>31-41</v>
      </c>
      <c r="F554">
        <v>37</v>
      </c>
      <c r="G554" t="s">
        <v>21</v>
      </c>
      <c r="H554">
        <v>3</v>
      </c>
      <c r="I554" t="s">
        <v>159</v>
      </c>
      <c r="K554">
        <f t="shared" si="71"/>
        <v>0</v>
      </c>
      <c r="L554">
        <f t="shared" si="65"/>
        <v>1</v>
      </c>
      <c r="M554">
        <f t="shared" si="66"/>
        <v>0</v>
      </c>
      <c r="N554">
        <f t="shared" si="67"/>
        <v>0</v>
      </c>
      <c r="O554">
        <f t="shared" si="68"/>
        <v>1</v>
      </c>
      <c r="P554">
        <f t="shared" si="69"/>
        <v>0</v>
      </c>
      <c r="Q554">
        <f t="shared" si="70"/>
        <v>1</v>
      </c>
      <c r="R554" t="b">
        <v>1</v>
      </c>
      <c r="S554" t="s">
        <v>839</v>
      </c>
      <c r="T554" s="10">
        <v>0.765972222222222</v>
      </c>
      <c r="U554" s="10">
        <v>0.840277777777778</v>
      </c>
      <c r="V554">
        <v>107</v>
      </c>
      <c r="W554" t="b">
        <v>0</v>
      </c>
    </row>
    <row r="555" spans="1:24">
      <c r="A555">
        <v>554</v>
      </c>
      <c r="B555" t="s">
        <v>840</v>
      </c>
      <c r="C555" t="s">
        <v>16</v>
      </c>
      <c r="D555" s="9">
        <v>28509</v>
      </c>
      <c r="E555" s="9" t="str">
        <f t="shared" si="64"/>
        <v>41-50</v>
      </c>
      <c r="F555">
        <v>46</v>
      </c>
      <c r="G555" t="s">
        <v>17</v>
      </c>
      <c r="H555">
        <v>3</v>
      </c>
      <c r="I555" t="s">
        <v>245</v>
      </c>
      <c r="K555">
        <f t="shared" si="71"/>
        <v>1</v>
      </c>
      <c r="L555">
        <f t="shared" si="65"/>
        <v>0</v>
      </c>
      <c r="M555">
        <f t="shared" si="66"/>
        <v>1</v>
      </c>
      <c r="N555">
        <f t="shared" si="67"/>
        <v>0</v>
      </c>
      <c r="O555">
        <f t="shared" si="68"/>
        <v>0</v>
      </c>
      <c r="P555">
        <f t="shared" si="69"/>
        <v>1</v>
      </c>
      <c r="Q555">
        <f t="shared" si="70"/>
        <v>0</v>
      </c>
      <c r="R555" t="b">
        <v>1</v>
      </c>
      <c r="S555" t="s">
        <v>841</v>
      </c>
      <c r="T555" s="10">
        <v>0.760416666666667</v>
      </c>
      <c r="U555" s="10">
        <v>0.796527777777778</v>
      </c>
      <c r="V555">
        <v>52</v>
      </c>
      <c r="W555" t="b">
        <v>1</v>
      </c>
      <c r="X555" t="s">
        <v>47</v>
      </c>
    </row>
    <row r="556" spans="1:24">
      <c r="A556">
        <v>555</v>
      </c>
      <c r="B556" t="s">
        <v>842</v>
      </c>
      <c r="C556" t="s">
        <v>25</v>
      </c>
      <c r="D556" s="9">
        <v>31194</v>
      </c>
      <c r="E556" s="9" t="str">
        <f t="shared" si="64"/>
        <v>31-41</v>
      </c>
      <c r="F556">
        <v>39</v>
      </c>
      <c r="G556" t="s">
        <v>17</v>
      </c>
      <c r="H556">
        <v>4</v>
      </c>
      <c r="I556" t="s">
        <v>798</v>
      </c>
      <c r="K556">
        <f t="shared" si="71"/>
        <v>1</v>
      </c>
      <c r="L556">
        <f t="shared" si="65"/>
        <v>1</v>
      </c>
      <c r="M556">
        <f t="shared" si="66"/>
        <v>1</v>
      </c>
      <c r="N556">
        <f t="shared" si="67"/>
        <v>0</v>
      </c>
      <c r="O556">
        <f t="shared" si="68"/>
        <v>0</v>
      </c>
      <c r="P556">
        <f t="shared" si="69"/>
        <v>1</v>
      </c>
      <c r="Q556">
        <f t="shared" si="70"/>
        <v>0</v>
      </c>
      <c r="R556" t="b">
        <v>1</v>
      </c>
      <c r="S556" t="s">
        <v>44</v>
      </c>
      <c r="T556" s="10">
        <v>0.806944444444444</v>
      </c>
      <c r="U556" s="10">
        <v>0.874305555555556</v>
      </c>
      <c r="V556">
        <v>97</v>
      </c>
      <c r="W556" t="b">
        <v>0</v>
      </c>
    </row>
    <row r="557" spans="1:24">
      <c r="A557">
        <v>556</v>
      </c>
      <c r="B557" t="s">
        <v>843</v>
      </c>
      <c r="C557" t="s">
        <v>16</v>
      </c>
      <c r="D557" s="9">
        <v>31157</v>
      </c>
      <c r="E557" s="9" t="str">
        <f t="shared" si="64"/>
        <v>31-41</v>
      </c>
      <c r="F557">
        <v>39</v>
      </c>
      <c r="G557" t="s">
        <v>21</v>
      </c>
      <c r="H557">
        <v>2</v>
      </c>
      <c r="I557" t="s">
        <v>72</v>
      </c>
      <c r="K557">
        <f t="shared" si="71"/>
        <v>0</v>
      </c>
      <c r="L557">
        <f t="shared" si="65"/>
        <v>0</v>
      </c>
      <c r="M557">
        <f t="shared" si="66"/>
        <v>0</v>
      </c>
      <c r="N557">
        <f t="shared" si="67"/>
        <v>0</v>
      </c>
      <c r="O557">
        <f t="shared" si="68"/>
        <v>1</v>
      </c>
      <c r="P557">
        <f t="shared" si="69"/>
        <v>0</v>
      </c>
      <c r="Q557">
        <f t="shared" si="70"/>
        <v>1</v>
      </c>
      <c r="R557" t="b">
        <v>0</v>
      </c>
      <c r="T557" s="10">
        <v>0.438888888888889</v>
      </c>
      <c r="U557" s="10">
        <v>0.493055555555556</v>
      </c>
      <c r="V557">
        <v>78</v>
      </c>
      <c r="W557" t="b">
        <v>0</v>
      </c>
    </row>
    <row r="558" spans="1:24">
      <c r="A558">
        <v>557</v>
      </c>
      <c r="B558" t="s">
        <v>844</v>
      </c>
      <c r="C558" t="s">
        <v>16</v>
      </c>
      <c r="D558" s="9">
        <v>31862</v>
      </c>
      <c r="E558" s="9" t="str">
        <f t="shared" si="64"/>
        <v>31-41</v>
      </c>
      <c r="F558">
        <v>37</v>
      </c>
      <c r="G558" t="s">
        <v>21</v>
      </c>
      <c r="H558">
        <v>1</v>
      </c>
      <c r="I558" t="s">
        <v>49</v>
      </c>
      <c r="K558">
        <f t="shared" si="71"/>
        <v>0</v>
      </c>
      <c r="L558">
        <f t="shared" si="65"/>
        <v>0</v>
      </c>
      <c r="M558">
        <f t="shared" si="66"/>
        <v>0</v>
      </c>
      <c r="N558">
        <f t="shared" si="67"/>
        <v>0</v>
      </c>
      <c r="O558">
        <f t="shared" si="68"/>
        <v>1</v>
      </c>
      <c r="P558">
        <f t="shared" si="69"/>
        <v>0</v>
      </c>
      <c r="Q558">
        <f t="shared" si="70"/>
        <v>0</v>
      </c>
      <c r="R558" t="b">
        <v>1</v>
      </c>
      <c r="S558" t="s">
        <v>845</v>
      </c>
      <c r="T558" s="10">
        <v>0.441666666666667</v>
      </c>
      <c r="U558" s="10">
        <v>0.479166666666667</v>
      </c>
      <c r="V558">
        <v>54</v>
      </c>
      <c r="W558" t="b">
        <v>0</v>
      </c>
    </row>
    <row r="559" spans="1:24">
      <c r="A559">
        <v>558</v>
      </c>
      <c r="B559" t="s">
        <v>846</v>
      </c>
      <c r="C559" t="s">
        <v>25</v>
      </c>
      <c r="D559" s="9">
        <v>27724</v>
      </c>
      <c r="E559" s="9" t="str">
        <f t="shared" si="64"/>
        <v>41-50</v>
      </c>
      <c r="F559">
        <v>48</v>
      </c>
      <c r="G559" t="s">
        <v>21</v>
      </c>
      <c r="H559">
        <v>3</v>
      </c>
      <c r="I559" t="s">
        <v>22</v>
      </c>
      <c r="K559">
        <f t="shared" si="71"/>
        <v>1</v>
      </c>
      <c r="L559">
        <f t="shared" si="65"/>
        <v>0</v>
      </c>
      <c r="M559">
        <f t="shared" si="66"/>
        <v>0</v>
      </c>
      <c r="N559">
        <f t="shared" si="67"/>
        <v>0</v>
      </c>
      <c r="O559">
        <f t="shared" si="68"/>
        <v>0</v>
      </c>
      <c r="P559">
        <f t="shared" si="69"/>
        <v>1</v>
      </c>
      <c r="Q559">
        <f t="shared" si="70"/>
        <v>1</v>
      </c>
      <c r="R559" t="b">
        <v>0</v>
      </c>
      <c r="T559" s="10">
        <v>0.647222222222222</v>
      </c>
      <c r="U559" s="10">
        <v>0.68125</v>
      </c>
      <c r="V559">
        <v>49</v>
      </c>
      <c r="W559" t="b">
        <v>1</v>
      </c>
      <c r="X559" t="s">
        <v>50</v>
      </c>
    </row>
    <row r="560" spans="1:24">
      <c r="A560">
        <v>559</v>
      </c>
      <c r="B560" t="s">
        <v>847</v>
      </c>
      <c r="C560" t="s">
        <v>16</v>
      </c>
      <c r="D560" s="9">
        <v>28710</v>
      </c>
      <c r="E560" s="9" t="str">
        <f t="shared" si="64"/>
        <v>41-50</v>
      </c>
      <c r="F560">
        <v>46</v>
      </c>
      <c r="G560" t="s">
        <v>17</v>
      </c>
      <c r="H560">
        <v>2</v>
      </c>
      <c r="I560" t="s">
        <v>40</v>
      </c>
      <c r="K560">
        <f t="shared" si="71"/>
        <v>1</v>
      </c>
      <c r="L560">
        <f t="shared" si="65"/>
        <v>0</v>
      </c>
      <c r="M560">
        <f t="shared" si="66"/>
        <v>0</v>
      </c>
      <c r="N560">
        <f t="shared" si="67"/>
        <v>0</v>
      </c>
      <c r="O560">
        <f t="shared" si="68"/>
        <v>0</v>
      </c>
      <c r="P560">
        <f t="shared" si="69"/>
        <v>0</v>
      </c>
      <c r="Q560">
        <f t="shared" si="70"/>
        <v>1</v>
      </c>
      <c r="R560" t="b">
        <v>0</v>
      </c>
      <c r="T560" s="10">
        <v>0.745833333333333</v>
      </c>
      <c r="U560" s="10">
        <v>0.821527777777778</v>
      </c>
      <c r="V560">
        <v>109</v>
      </c>
      <c r="W560" t="b">
        <v>0</v>
      </c>
    </row>
    <row r="561" spans="1:24">
      <c r="A561">
        <v>560</v>
      </c>
      <c r="B561" t="s">
        <v>848</v>
      </c>
      <c r="C561" t="s">
        <v>16</v>
      </c>
      <c r="D561" s="9">
        <v>29049</v>
      </c>
      <c r="E561" s="9" t="str">
        <f t="shared" si="64"/>
        <v>41-50</v>
      </c>
      <c r="F561">
        <v>45</v>
      </c>
      <c r="G561" t="s">
        <v>21</v>
      </c>
      <c r="H561">
        <v>2</v>
      </c>
      <c r="I561" t="s">
        <v>187</v>
      </c>
      <c r="K561">
        <f t="shared" si="71"/>
        <v>0</v>
      </c>
      <c r="L561">
        <f t="shared" si="65"/>
        <v>0</v>
      </c>
      <c r="M561">
        <f t="shared" si="66"/>
        <v>0</v>
      </c>
      <c r="N561">
        <f t="shared" si="67"/>
        <v>1</v>
      </c>
      <c r="O561">
        <f t="shared" si="68"/>
        <v>1</v>
      </c>
      <c r="P561">
        <f t="shared" si="69"/>
        <v>0</v>
      </c>
      <c r="Q561">
        <f t="shared" si="70"/>
        <v>0</v>
      </c>
      <c r="R561" t="b">
        <v>0</v>
      </c>
      <c r="T561" s="10">
        <v>0.65</v>
      </c>
      <c r="U561" s="10">
        <v>0.743055555555555</v>
      </c>
      <c r="V561">
        <v>134</v>
      </c>
      <c r="W561" t="b">
        <v>1</v>
      </c>
      <c r="X561" t="s">
        <v>50</v>
      </c>
    </row>
    <row r="562" spans="1:24">
      <c r="A562">
        <v>561</v>
      </c>
      <c r="B562" t="s">
        <v>849</v>
      </c>
      <c r="C562" t="s">
        <v>16</v>
      </c>
      <c r="D562" s="9">
        <v>29852</v>
      </c>
      <c r="E562" s="9" t="str">
        <f t="shared" si="64"/>
        <v>41-50</v>
      </c>
      <c r="F562">
        <v>43</v>
      </c>
      <c r="G562" t="s">
        <v>17</v>
      </c>
      <c r="H562">
        <v>5</v>
      </c>
      <c r="I562" t="s">
        <v>347</v>
      </c>
      <c r="K562">
        <f t="shared" si="71"/>
        <v>0</v>
      </c>
      <c r="L562">
        <f t="shared" si="65"/>
        <v>1</v>
      </c>
      <c r="M562">
        <f t="shared" si="66"/>
        <v>1</v>
      </c>
      <c r="N562">
        <f t="shared" si="67"/>
        <v>0</v>
      </c>
      <c r="O562">
        <f t="shared" si="68"/>
        <v>1</v>
      </c>
      <c r="P562">
        <f t="shared" si="69"/>
        <v>1</v>
      </c>
      <c r="Q562">
        <f t="shared" si="70"/>
        <v>1</v>
      </c>
      <c r="R562" t="b">
        <v>1</v>
      </c>
      <c r="S562" t="s">
        <v>850</v>
      </c>
      <c r="T562" s="10">
        <v>0.555555555555556</v>
      </c>
      <c r="U562" s="10">
        <v>0.618055555555556</v>
      </c>
      <c r="V562">
        <v>90</v>
      </c>
      <c r="W562" t="b">
        <v>0</v>
      </c>
    </row>
    <row r="563" spans="1:24">
      <c r="A563">
        <v>562</v>
      </c>
      <c r="B563" t="s">
        <v>851</v>
      </c>
      <c r="C563" t="s">
        <v>16</v>
      </c>
      <c r="D563" s="9">
        <v>31694</v>
      </c>
      <c r="E563" s="9" t="str">
        <f t="shared" si="64"/>
        <v>31-41</v>
      </c>
      <c r="F563">
        <v>37</v>
      </c>
      <c r="G563" t="s">
        <v>21</v>
      </c>
      <c r="H563">
        <v>1</v>
      </c>
      <c r="I563" t="s">
        <v>59</v>
      </c>
      <c r="K563">
        <f t="shared" si="71"/>
        <v>0</v>
      </c>
      <c r="L563">
        <f t="shared" si="65"/>
        <v>0</v>
      </c>
      <c r="M563">
        <f t="shared" si="66"/>
        <v>0</v>
      </c>
      <c r="N563">
        <f t="shared" si="67"/>
        <v>0</v>
      </c>
      <c r="O563">
        <f t="shared" si="68"/>
        <v>0</v>
      </c>
      <c r="P563">
        <f t="shared" si="69"/>
        <v>0</v>
      </c>
      <c r="Q563">
        <f t="shared" si="70"/>
        <v>1</v>
      </c>
      <c r="R563" t="b">
        <v>1</v>
      </c>
      <c r="S563" t="s">
        <v>201</v>
      </c>
      <c r="T563" s="10">
        <v>0.536111111111111</v>
      </c>
      <c r="U563" s="10">
        <v>0.652083333333333</v>
      </c>
      <c r="V563">
        <v>167</v>
      </c>
      <c r="W563" t="b">
        <v>0</v>
      </c>
    </row>
    <row r="564" spans="1:24">
      <c r="A564">
        <v>563</v>
      </c>
      <c r="B564" t="s">
        <v>852</v>
      </c>
      <c r="C564" t="s">
        <v>16</v>
      </c>
      <c r="D564" s="9">
        <v>39619</v>
      </c>
      <c r="E564" s="9" t="str">
        <f t="shared" si="64"/>
        <v>below 20</v>
      </c>
      <c r="F564">
        <v>16</v>
      </c>
      <c r="G564" t="s">
        <v>17</v>
      </c>
      <c r="H564">
        <v>5</v>
      </c>
      <c r="I564" t="s">
        <v>96</v>
      </c>
      <c r="K564">
        <f t="shared" si="71"/>
        <v>1</v>
      </c>
      <c r="L564">
        <f t="shared" si="65"/>
        <v>1</v>
      </c>
      <c r="M564">
        <f t="shared" si="66"/>
        <v>0</v>
      </c>
      <c r="N564">
        <f t="shared" si="67"/>
        <v>1</v>
      </c>
      <c r="O564">
        <f t="shared" si="68"/>
        <v>0</v>
      </c>
      <c r="P564">
        <f t="shared" si="69"/>
        <v>1</v>
      </c>
      <c r="Q564">
        <f t="shared" si="70"/>
        <v>1</v>
      </c>
      <c r="R564" t="b">
        <v>0</v>
      </c>
      <c r="T564" s="10">
        <v>0.777083333333333</v>
      </c>
      <c r="U564" s="10">
        <v>0.835416666666667</v>
      </c>
      <c r="V564">
        <v>84</v>
      </c>
      <c r="W564" t="b">
        <v>1</v>
      </c>
      <c r="X564" t="s">
        <v>47</v>
      </c>
    </row>
    <row r="565" spans="1:24">
      <c r="A565">
        <v>564</v>
      </c>
      <c r="B565" t="s">
        <v>853</v>
      </c>
      <c r="C565" t="s">
        <v>16</v>
      </c>
      <c r="D565" s="9">
        <v>39156</v>
      </c>
      <c r="E565" s="9" t="str">
        <f t="shared" si="64"/>
        <v>below 20</v>
      </c>
      <c r="F565">
        <v>17</v>
      </c>
      <c r="G565" t="s">
        <v>21</v>
      </c>
      <c r="H565">
        <v>2</v>
      </c>
      <c r="I565" t="s">
        <v>203</v>
      </c>
      <c r="K565">
        <f t="shared" si="71"/>
        <v>1</v>
      </c>
      <c r="L565">
        <f t="shared" si="65"/>
        <v>0</v>
      </c>
      <c r="M565">
        <f t="shared" si="66"/>
        <v>0</v>
      </c>
      <c r="N565">
        <f t="shared" si="67"/>
        <v>0</v>
      </c>
      <c r="O565">
        <f t="shared" si="68"/>
        <v>0</v>
      </c>
      <c r="P565">
        <f t="shared" si="69"/>
        <v>1</v>
      </c>
      <c r="Q565">
        <f t="shared" si="70"/>
        <v>0</v>
      </c>
      <c r="R565" t="b">
        <v>0</v>
      </c>
      <c r="T565" s="10">
        <v>0.707638888888889</v>
      </c>
      <c r="U565" s="10">
        <v>0.789583333333333</v>
      </c>
      <c r="V565">
        <v>118</v>
      </c>
      <c r="W565" t="b">
        <v>0</v>
      </c>
    </row>
    <row r="566" spans="1:24">
      <c r="A566">
        <v>565</v>
      </c>
      <c r="B566" t="s">
        <v>207</v>
      </c>
      <c r="C566" t="s">
        <v>25</v>
      </c>
      <c r="D566" s="9">
        <v>30029</v>
      </c>
      <c r="E566" s="9" t="str">
        <f t="shared" si="64"/>
        <v>41-50</v>
      </c>
      <c r="F566">
        <v>42</v>
      </c>
      <c r="G566" t="s">
        <v>21</v>
      </c>
      <c r="H566">
        <v>1</v>
      </c>
      <c r="I566" t="s">
        <v>59</v>
      </c>
      <c r="K566">
        <f t="shared" si="71"/>
        <v>0</v>
      </c>
      <c r="L566">
        <f t="shared" si="65"/>
        <v>0</v>
      </c>
      <c r="M566">
        <f t="shared" si="66"/>
        <v>0</v>
      </c>
      <c r="N566">
        <f t="shared" si="67"/>
        <v>0</v>
      </c>
      <c r="O566">
        <f t="shared" si="68"/>
        <v>0</v>
      </c>
      <c r="P566">
        <f t="shared" si="69"/>
        <v>0</v>
      </c>
      <c r="Q566">
        <f t="shared" si="70"/>
        <v>1</v>
      </c>
      <c r="R566" t="b">
        <v>1</v>
      </c>
      <c r="S566" t="s">
        <v>854</v>
      </c>
      <c r="T566" s="10">
        <v>0.536111111111111</v>
      </c>
      <c r="U566" s="10">
        <v>0.557638888888889</v>
      </c>
      <c r="V566">
        <v>31</v>
      </c>
      <c r="W566" t="b">
        <v>0</v>
      </c>
    </row>
    <row r="567" spans="1:24">
      <c r="A567">
        <v>566</v>
      </c>
      <c r="B567" t="s">
        <v>855</v>
      </c>
      <c r="C567" t="s">
        <v>16</v>
      </c>
      <c r="D567" s="9">
        <v>33424</v>
      </c>
      <c r="E567" s="9" t="str">
        <f t="shared" si="64"/>
        <v>31-41</v>
      </c>
      <c r="F567">
        <v>33</v>
      </c>
      <c r="G567" t="s">
        <v>21</v>
      </c>
      <c r="H567">
        <v>2</v>
      </c>
      <c r="I567" t="s">
        <v>138</v>
      </c>
      <c r="K567">
        <f t="shared" si="71"/>
        <v>0</v>
      </c>
      <c r="L567">
        <f t="shared" si="65"/>
        <v>0</v>
      </c>
      <c r="M567">
        <f t="shared" si="66"/>
        <v>1</v>
      </c>
      <c r="N567">
        <f t="shared" si="67"/>
        <v>0</v>
      </c>
      <c r="O567">
        <f t="shared" si="68"/>
        <v>0</v>
      </c>
      <c r="P567">
        <f t="shared" si="69"/>
        <v>1</v>
      </c>
      <c r="Q567">
        <f t="shared" si="70"/>
        <v>0</v>
      </c>
      <c r="R567" t="b">
        <v>0</v>
      </c>
      <c r="T567" s="10">
        <v>0.413888888888889</v>
      </c>
      <c r="U567" s="10">
        <v>0.530555555555556</v>
      </c>
      <c r="V567">
        <v>168</v>
      </c>
      <c r="W567" t="b">
        <v>1</v>
      </c>
      <c r="X567" t="s">
        <v>50</v>
      </c>
    </row>
    <row r="568" spans="1:24">
      <c r="A568">
        <v>567</v>
      </c>
      <c r="B568" t="s">
        <v>856</v>
      </c>
      <c r="C568" t="s">
        <v>16</v>
      </c>
      <c r="D568" s="9">
        <v>29183</v>
      </c>
      <c r="E568" s="9" t="str">
        <f t="shared" si="64"/>
        <v>41-50</v>
      </c>
      <c r="F568">
        <v>44</v>
      </c>
      <c r="G568" t="s">
        <v>17</v>
      </c>
      <c r="H568">
        <v>4</v>
      </c>
      <c r="I568" t="s">
        <v>123</v>
      </c>
      <c r="K568">
        <f t="shared" si="71"/>
        <v>0</v>
      </c>
      <c r="L568">
        <f t="shared" si="65"/>
        <v>1</v>
      </c>
      <c r="M568">
        <f t="shared" si="66"/>
        <v>1</v>
      </c>
      <c r="N568">
        <f t="shared" si="67"/>
        <v>0</v>
      </c>
      <c r="O568">
        <f t="shared" si="68"/>
        <v>1</v>
      </c>
      <c r="P568">
        <f t="shared" si="69"/>
        <v>1</v>
      </c>
      <c r="Q568">
        <f t="shared" si="70"/>
        <v>0</v>
      </c>
      <c r="R568" t="b">
        <v>1</v>
      </c>
      <c r="S568" t="s">
        <v>19</v>
      </c>
      <c r="T568" s="10">
        <v>0.797916666666667</v>
      </c>
      <c r="U568" s="10">
        <v>0.859027777777778</v>
      </c>
      <c r="V568">
        <v>88</v>
      </c>
      <c r="W568" t="b">
        <v>0</v>
      </c>
    </row>
    <row r="569" spans="1:24">
      <c r="A569">
        <v>568</v>
      </c>
      <c r="B569" t="s">
        <v>857</v>
      </c>
      <c r="C569" t="s">
        <v>16</v>
      </c>
      <c r="D569" s="9">
        <v>32746</v>
      </c>
      <c r="E569" s="9" t="str">
        <f t="shared" si="64"/>
        <v>31-41</v>
      </c>
      <c r="F569">
        <v>35</v>
      </c>
      <c r="G569" t="s">
        <v>17</v>
      </c>
      <c r="H569">
        <v>5</v>
      </c>
      <c r="I569" t="s">
        <v>456</v>
      </c>
      <c r="K569">
        <f t="shared" si="71"/>
        <v>0</v>
      </c>
      <c r="L569">
        <f t="shared" si="65"/>
        <v>1</v>
      </c>
      <c r="M569">
        <f t="shared" si="66"/>
        <v>1</v>
      </c>
      <c r="N569">
        <f t="shared" si="67"/>
        <v>1</v>
      </c>
      <c r="O569">
        <f t="shared" si="68"/>
        <v>1</v>
      </c>
      <c r="P569">
        <f t="shared" si="69"/>
        <v>0</v>
      </c>
      <c r="Q569">
        <f t="shared" si="70"/>
        <v>1</v>
      </c>
      <c r="R569" t="b">
        <v>0</v>
      </c>
      <c r="T569" s="10">
        <v>0.445138888888889</v>
      </c>
      <c r="U569" s="10">
        <v>0.488194444444444</v>
      </c>
      <c r="V569">
        <v>62</v>
      </c>
      <c r="W569" t="b">
        <v>0</v>
      </c>
    </row>
    <row r="570" spans="1:24">
      <c r="A570">
        <v>569</v>
      </c>
      <c r="B570" t="s">
        <v>858</v>
      </c>
      <c r="C570" t="s">
        <v>25</v>
      </c>
      <c r="D570" s="9">
        <v>34171</v>
      </c>
      <c r="E570" s="9" t="str">
        <f t="shared" si="64"/>
        <v>31-41</v>
      </c>
      <c r="F570">
        <v>31</v>
      </c>
      <c r="G570" t="s">
        <v>17</v>
      </c>
      <c r="H570">
        <v>2</v>
      </c>
      <c r="I570" t="s">
        <v>111</v>
      </c>
      <c r="K570">
        <f t="shared" si="71"/>
        <v>0</v>
      </c>
      <c r="L570">
        <f t="shared" si="65"/>
        <v>1</v>
      </c>
      <c r="M570">
        <f t="shared" si="66"/>
        <v>0</v>
      </c>
      <c r="N570">
        <f t="shared" si="67"/>
        <v>0</v>
      </c>
      <c r="O570">
        <f t="shared" si="68"/>
        <v>0</v>
      </c>
      <c r="P570">
        <f t="shared" si="69"/>
        <v>0</v>
      </c>
      <c r="Q570">
        <f t="shared" si="70"/>
        <v>1</v>
      </c>
      <c r="R570" t="b">
        <v>1</v>
      </c>
      <c r="S570" t="s">
        <v>859</v>
      </c>
      <c r="T570" s="10">
        <v>0.852777777777778</v>
      </c>
      <c r="U570" s="10">
        <v>0.953472222222222</v>
      </c>
      <c r="V570">
        <v>145</v>
      </c>
      <c r="W570" t="b">
        <v>1</v>
      </c>
      <c r="X570" t="s">
        <v>50</v>
      </c>
    </row>
    <row r="571" spans="1:24">
      <c r="A571">
        <v>570</v>
      </c>
      <c r="B571" t="s">
        <v>860</v>
      </c>
      <c r="C571" t="s">
        <v>25</v>
      </c>
      <c r="D571" s="9">
        <v>30636</v>
      </c>
      <c r="E571" s="9" t="str">
        <f t="shared" si="64"/>
        <v>31-41</v>
      </c>
      <c r="F571">
        <v>40</v>
      </c>
      <c r="G571" t="s">
        <v>21</v>
      </c>
      <c r="H571">
        <v>1</v>
      </c>
      <c r="I571" t="s">
        <v>59</v>
      </c>
      <c r="K571">
        <f t="shared" si="71"/>
        <v>0</v>
      </c>
      <c r="L571">
        <f t="shared" si="65"/>
        <v>0</v>
      </c>
      <c r="M571">
        <f t="shared" si="66"/>
        <v>0</v>
      </c>
      <c r="N571">
        <f t="shared" si="67"/>
        <v>0</v>
      </c>
      <c r="O571">
        <f t="shared" si="68"/>
        <v>0</v>
      </c>
      <c r="P571">
        <f t="shared" si="69"/>
        <v>0</v>
      </c>
      <c r="Q571">
        <f t="shared" si="70"/>
        <v>1</v>
      </c>
      <c r="R571" t="b">
        <v>0</v>
      </c>
      <c r="T571" s="10">
        <v>0.770833333333333</v>
      </c>
      <c r="U571" s="10">
        <v>0.857638888888889</v>
      </c>
      <c r="V571">
        <v>125</v>
      </c>
      <c r="W571" t="b">
        <v>0</v>
      </c>
    </row>
    <row r="572" spans="1:24">
      <c r="A572">
        <v>571</v>
      </c>
      <c r="B572" t="s">
        <v>861</v>
      </c>
      <c r="C572" t="s">
        <v>16</v>
      </c>
      <c r="D572" s="9">
        <v>27504</v>
      </c>
      <c r="E572" s="9" t="str">
        <f t="shared" si="64"/>
        <v>41-50</v>
      </c>
      <c r="F572">
        <v>49</v>
      </c>
      <c r="G572" t="s">
        <v>17</v>
      </c>
      <c r="H572">
        <v>2</v>
      </c>
      <c r="I572" t="s">
        <v>121</v>
      </c>
      <c r="K572">
        <f t="shared" si="71"/>
        <v>0</v>
      </c>
      <c r="L572">
        <f t="shared" si="65"/>
        <v>0</v>
      </c>
      <c r="M572">
        <f t="shared" si="66"/>
        <v>0</v>
      </c>
      <c r="N572">
        <f t="shared" si="67"/>
        <v>1</v>
      </c>
      <c r="O572">
        <f t="shared" si="68"/>
        <v>0</v>
      </c>
      <c r="P572">
        <f t="shared" si="69"/>
        <v>1</v>
      </c>
      <c r="Q572">
        <f t="shared" si="70"/>
        <v>0</v>
      </c>
      <c r="R572" t="b">
        <v>0</v>
      </c>
      <c r="T572" s="10">
        <v>0.424305555555556</v>
      </c>
      <c r="U572" s="10">
        <v>0.472916666666667</v>
      </c>
      <c r="V572">
        <v>70</v>
      </c>
      <c r="W572" t="b">
        <v>1</v>
      </c>
      <c r="X572" t="s">
        <v>50</v>
      </c>
    </row>
    <row r="573" spans="1:24">
      <c r="A573">
        <v>572</v>
      </c>
      <c r="B573" t="s">
        <v>862</v>
      </c>
      <c r="C573" t="s">
        <v>16</v>
      </c>
      <c r="D573" s="9">
        <v>39655</v>
      </c>
      <c r="E573" s="9" t="str">
        <f t="shared" si="64"/>
        <v>below 20</v>
      </c>
      <c r="F573">
        <v>16</v>
      </c>
      <c r="G573" t="s">
        <v>21</v>
      </c>
      <c r="H573">
        <v>5</v>
      </c>
      <c r="I573" t="s">
        <v>863</v>
      </c>
      <c r="K573">
        <f t="shared" si="71"/>
        <v>1</v>
      </c>
      <c r="L573">
        <f t="shared" si="65"/>
        <v>1</v>
      </c>
      <c r="M573">
        <f t="shared" si="66"/>
        <v>1</v>
      </c>
      <c r="N573">
        <f t="shared" si="67"/>
        <v>0</v>
      </c>
      <c r="O573">
        <f t="shared" si="68"/>
        <v>1</v>
      </c>
      <c r="P573">
        <f t="shared" si="69"/>
        <v>0</v>
      </c>
      <c r="Q573">
        <f t="shared" si="70"/>
        <v>1</v>
      </c>
      <c r="R573" t="b">
        <v>1</v>
      </c>
      <c r="S573" t="s">
        <v>93</v>
      </c>
      <c r="T573" s="10">
        <v>0.711111111111111</v>
      </c>
      <c r="U573" s="10">
        <v>0.731944444444444</v>
      </c>
      <c r="V573">
        <v>30</v>
      </c>
      <c r="W573" t="b">
        <v>0</v>
      </c>
    </row>
    <row r="574" spans="1:24">
      <c r="A574">
        <v>573</v>
      </c>
      <c r="B574" t="s">
        <v>864</v>
      </c>
      <c r="C574" t="s">
        <v>25</v>
      </c>
      <c r="D574" s="9">
        <v>35539</v>
      </c>
      <c r="E574" s="9" t="str">
        <f t="shared" si="64"/>
        <v>20-30</v>
      </c>
      <c r="F574">
        <v>27</v>
      </c>
      <c r="G574" t="s">
        <v>17</v>
      </c>
      <c r="H574">
        <v>3</v>
      </c>
      <c r="I574" t="s">
        <v>57</v>
      </c>
      <c r="K574">
        <f t="shared" si="71"/>
        <v>1</v>
      </c>
      <c r="L574">
        <f t="shared" si="65"/>
        <v>1</v>
      </c>
      <c r="M574">
        <f t="shared" si="66"/>
        <v>0</v>
      </c>
      <c r="N574">
        <f t="shared" si="67"/>
        <v>1</v>
      </c>
      <c r="O574">
        <f t="shared" si="68"/>
        <v>0</v>
      </c>
      <c r="P574">
        <f t="shared" si="69"/>
        <v>0</v>
      </c>
      <c r="Q574">
        <f t="shared" si="70"/>
        <v>0</v>
      </c>
      <c r="R574" t="b">
        <v>0</v>
      </c>
      <c r="T574" s="10">
        <v>0.761111111111111</v>
      </c>
      <c r="U574" s="10">
        <v>0.800694444444444</v>
      </c>
      <c r="V574">
        <v>57</v>
      </c>
      <c r="W574" t="b">
        <v>0</v>
      </c>
    </row>
    <row r="575" spans="1:24">
      <c r="A575">
        <v>574</v>
      </c>
      <c r="B575" t="s">
        <v>668</v>
      </c>
      <c r="C575" t="s">
        <v>16</v>
      </c>
      <c r="D575" s="9">
        <v>27483</v>
      </c>
      <c r="E575" s="9" t="str">
        <f t="shared" si="64"/>
        <v>41-50</v>
      </c>
      <c r="F575">
        <v>49</v>
      </c>
      <c r="G575" t="s">
        <v>17</v>
      </c>
      <c r="H575">
        <v>2</v>
      </c>
      <c r="I575" t="s">
        <v>509</v>
      </c>
      <c r="K575">
        <f t="shared" si="71"/>
        <v>0</v>
      </c>
      <c r="L575">
        <f t="shared" si="65"/>
        <v>0</v>
      </c>
      <c r="M575">
        <f t="shared" si="66"/>
        <v>1</v>
      </c>
      <c r="N575">
        <f t="shared" si="67"/>
        <v>0</v>
      </c>
      <c r="O575">
        <f t="shared" si="68"/>
        <v>0</v>
      </c>
      <c r="P575">
        <f t="shared" si="69"/>
        <v>0</v>
      </c>
      <c r="Q575">
        <f t="shared" si="70"/>
        <v>1</v>
      </c>
      <c r="R575" t="b">
        <v>0</v>
      </c>
      <c r="T575" s="10">
        <v>0.8125</v>
      </c>
      <c r="U575" s="10">
        <v>0.936805555555556</v>
      </c>
      <c r="V575">
        <v>179</v>
      </c>
      <c r="W575" t="b">
        <v>1</v>
      </c>
      <c r="X575" t="s">
        <v>23</v>
      </c>
    </row>
    <row r="576" spans="1:24">
      <c r="A576">
        <v>575</v>
      </c>
      <c r="B576" t="s">
        <v>865</v>
      </c>
      <c r="C576" t="s">
        <v>16</v>
      </c>
      <c r="D576" s="9">
        <v>33306</v>
      </c>
      <c r="E576" s="9" t="str">
        <f t="shared" si="64"/>
        <v>31-41</v>
      </c>
      <c r="F576">
        <v>33</v>
      </c>
      <c r="G576" t="s">
        <v>17</v>
      </c>
      <c r="H576">
        <v>1</v>
      </c>
      <c r="I576" t="s">
        <v>46</v>
      </c>
      <c r="K576">
        <f t="shared" si="71"/>
        <v>0</v>
      </c>
      <c r="L576">
        <f t="shared" si="65"/>
        <v>1</v>
      </c>
      <c r="M576">
        <f t="shared" si="66"/>
        <v>0</v>
      </c>
      <c r="N576">
        <f t="shared" si="67"/>
        <v>0</v>
      </c>
      <c r="O576">
        <f t="shared" si="68"/>
        <v>0</v>
      </c>
      <c r="P576">
        <f t="shared" si="69"/>
        <v>0</v>
      </c>
      <c r="Q576">
        <f t="shared" si="70"/>
        <v>0</v>
      </c>
      <c r="R576" t="b">
        <v>0</v>
      </c>
      <c r="T576" s="10">
        <v>0.686805555555556</v>
      </c>
      <c r="U576" s="10">
        <v>0.782638888888889</v>
      </c>
      <c r="V576">
        <v>138</v>
      </c>
      <c r="W576" t="b">
        <v>1</v>
      </c>
      <c r="X576" t="s">
        <v>50</v>
      </c>
    </row>
    <row r="577" spans="1:24">
      <c r="A577">
        <v>576</v>
      </c>
      <c r="B577" t="s">
        <v>866</v>
      </c>
      <c r="C577" t="s">
        <v>25</v>
      </c>
      <c r="D577" s="9">
        <v>39609</v>
      </c>
      <c r="E577" s="9" t="str">
        <f t="shared" si="64"/>
        <v>below 20</v>
      </c>
      <c r="F577">
        <v>16</v>
      </c>
      <c r="G577" t="s">
        <v>17</v>
      </c>
      <c r="H577">
        <v>2</v>
      </c>
      <c r="I577" t="s">
        <v>272</v>
      </c>
      <c r="K577">
        <f t="shared" si="71"/>
        <v>0</v>
      </c>
      <c r="L577">
        <f t="shared" si="65"/>
        <v>0</v>
      </c>
      <c r="M577">
        <f t="shared" si="66"/>
        <v>1</v>
      </c>
      <c r="N577">
        <f t="shared" si="67"/>
        <v>1</v>
      </c>
      <c r="O577">
        <f t="shared" si="68"/>
        <v>0</v>
      </c>
      <c r="P577">
        <f t="shared" si="69"/>
        <v>0</v>
      </c>
      <c r="Q577">
        <f t="shared" si="70"/>
        <v>0</v>
      </c>
      <c r="R577" t="b">
        <v>1</v>
      </c>
      <c r="S577" t="s">
        <v>691</v>
      </c>
      <c r="T577" s="10">
        <v>0.527777777777778</v>
      </c>
      <c r="U577" s="10">
        <v>0.60625</v>
      </c>
      <c r="V577">
        <v>113</v>
      </c>
      <c r="W577" t="b">
        <v>1</v>
      </c>
      <c r="X577" t="s">
        <v>23</v>
      </c>
    </row>
    <row r="578" spans="1:24">
      <c r="A578">
        <v>577</v>
      </c>
      <c r="B578" t="s">
        <v>867</v>
      </c>
      <c r="C578" t="s">
        <v>16</v>
      </c>
      <c r="D578" s="9">
        <v>37584</v>
      </c>
      <c r="E578" s="9" t="str">
        <f t="shared" ref="E578:E641" si="72">IF(F578&lt;20,"below 20",IF(F578&lt;=30,"20-30",IF(F578&lt;=40,"31-41",IF(F578&lt;=50,"41-50","above 50"))))</f>
        <v>20-30</v>
      </c>
      <c r="F578">
        <v>21</v>
      </c>
      <c r="G578" t="s">
        <v>21</v>
      </c>
      <c r="H578">
        <v>2</v>
      </c>
      <c r="I578" t="s">
        <v>210</v>
      </c>
      <c r="K578">
        <f t="shared" si="71"/>
        <v>0</v>
      </c>
      <c r="L578">
        <f t="shared" si="65"/>
        <v>1</v>
      </c>
      <c r="M578">
        <f t="shared" si="66"/>
        <v>0</v>
      </c>
      <c r="N578">
        <f t="shared" si="67"/>
        <v>0</v>
      </c>
      <c r="O578">
        <f t="shared" si="68"/>
        <v>0</v>
      </c>
      <c r="P578">
        <f t="shared" si="69"/>
        <v>1</v>
      </c>
      <c r="Q578">
        <f t="shared" si="70"/>
        <v>0</v>
      </c>
      <c r="R578" t="b">
        <v>0</v>
      </c>
      <c r="T578" s="10">
        <v>0.434722222222222</v>
      </c>
      <c r="U578" s="10">
        <v>0.51875</v>
      </c>
      <c r="V578">
        <v>121</v>
      </c>
      <c r="W578" t="b">
        <v>1</v>
      </c>
      <c r="X578" t="s">
        <v>28</v>
      </c>
    </row>
    <row r="579" spans="1:24">
      <c r="A579">
        <v>578</v>
      </c>
      <c r="B579" t="s">
        <v>868</v>
      </c>
      <c r="C579" t="s">
        <v>25</v>
      </c>
      <c r="D579" s="9">
        <v>30408</v>
      </c>
      <c r="E579" s="9" t="str">
        <f t="shared" si="72"/>
        <v>41-50</v>
      </c>
      <c r="F579">
        <v>41</v>
      </c>
      <c r="G579" t="s">
        <v>17</v>
      </c>
      <c r="H579">
        <v>5</v>
      </c>
      <c r="I579" t="s">
        <v>127</v>
      </c>
      <c r="K579">
        <f t="shared" si="71"/>
        <v>1</v>
      </c>
      <c r="L579">
        <f t="shared" ref="L579:L642" si="73">--ISNUMBER(SEARCH("Mon",I579))</f>
        <v>0</v>
      </c>
      <c r="M579">
        <f t="shared" ref="M579:M642" si="74">--ISNUMBER(SEARCH("Tue",I579))</f>
        <v>1</v>
      </c>
      <c r="N579">
        <f t="shared" ref="N579:N642" si="75">--ISNUMBER(SEARCH("Wed",I579))</f>
        <v>1</v>
      </c>
      <c r="O579">
        <f t="shared" ref="O579:O642" si="76">--ISNUMBER(SEARCH("Thu",I579))</f>
        <v>1</v>
      </c>
      <c r="P579">
        <f t="shared" ref="P579:P642" si="77">--ISNUMBER(SEARCH("Fri",I579))</f>
        <v>1</v>
      </c>
      <c r="Q579">
        <f t="shared" ref="Q579:Q642" si="78">--ISNUMBER(SEARCH("Sat",I579))</f>
        <v>0</v>
      </c>
      <c r="R579" t="b">
        <v>0</v>
      </c>
      <c r="T579" s="10">
        <v>0.857638888888889</v>
      </c>
      <c r="U579" s="10">
        <v>0.980555555555556</v>
      </c>
      <c r="V579">
        <v>177</v>
      </c>
      <c r="W579" t="b">
        <v>0</v>
      </c>
    </row>
    <row r="580" spans="1:24">
      <c r="A580">
        <v>579</v>
      </c>
      <c r="B580" t="s">
        <v>869</v>
      </c>
      <c r="C580" t="s">
        <v>25</v>
      </c>
      <c r="D580" s="9">
        <v>32438</v>
      </c>
      <c r="E580" s="9" t="str">
        <f t="shared" si="72"/>
        <v>31-41</v>
      </c>
      <c r="F580">
        <v>35</v>
      </c>
      <c r="G580" t="s">
        <v>17</v>
      </c>
      <c r="H580">
        <v>2</v>
      </c>
      <c r="I580" t="s">
        <v>40</v>
      </c>
      <c r="K580">
        <f t="shared" si="71"/>
        <v>1</v>
      </c>
      <c r="L580">
        <f t="shared" si="73"/>
        <v>0</v>
      </c>
      <c r="M580">
        <f t="shared" si="74"/>
        <v>0</v>
      </c>
      <c r="N580">
        <f t="shared" si="75"/>
        <v>0</v>
      </c>
      <c r="O580">
        <f t="shared" si="76"/>
        <v>0</v>
      </c>
      <c r="P580">
        <f t="shared" si="77"/>
        <v>0</v>
      </c>
      <c r="Q580">
        <f t="shared" si="78"/>
        <v>1</v>
      </c>
      <c r="R580" t="b">
        <v>0</v>
      </c>
      <c r="T580" s="10">
        <v>0.826388888888889</v>
      </c>
      <c r="U580" s="10">
        <v>0.9125</v>
      </c>
      <c r="V580">
        <v>124</v>
      </c>
      <c r="W580" t="b">
        <v>1</v>
      </c>
      <c r="X580" t="s">
        <v>50</v>
      </c>
    </row>
    <row r="581" spans="1:24">
      <c r="A581">
        <v>580</v>
      </c>
      <c r="B581" t="s">
        <v>870</v>
      </c>
      <c r="C581" t="s">
        <v>25</v>
      </c>
      <c r="D581" s="9">
        <v>38927</v>
      </c>
      <c r="E581" s="9" t="str">
        <f t="shared" si="72"/>
        <v>below 20</v>
      </c>
      <c r="F581">
        <v>18</v>
      </c>
      <c r="G581" t="s">
        <v>21</v>
      </c>
      <c r="H581">
        <v>3</v>
      </c>
      <c r="I581" t="s">
        <v>130</v>
      </c>
      <c r="K581">
        <f t="shared" ref="K581:K644" si="79">--ISNUMBER(SEARCH("Sun",I581))</f>
        <v>0</v>
      </c>
      <c r="L581">
        <f t="shared" si="73"/>
        <v>1</v>
      </c>
      <c r="M581">
        <f t="shared" si="74"/>
        <v>0</v>
      </c>
      <c r="N581">
        <f t="shared" si="75"/>
        <v>1</v>
      </c>
      <c r="O581">
        <f t="shared" si="76"/>
        <v>1</v>
      </c>
      <c r="P581">
        <f t="shared" si="77"/>
        <v>0</v>
      </c>
      <c r="Q581">
        <f t="shared" si="78"/>
        <v>0</v>
      </c>
      <c r="R581" t="b">
        <v>1</v>
      </c>
      <c r="S581" t="s">
        <v>217</v>
      </c>
      <c r="T581" s="10">
        <v>0.673611111111111</v>
      </c>
      <c r="U581" s="10">
        <v>0.779861111111111</v>
      </c>
      <c r="V581">
        <v>153</v>
      </c>
      <c r="W581" t="b">
        <v>0</v>
      </c>
    </row>
    <row r="582" spans="1:24">
      <c r="A582">
        <v>581</v>
      </c>
      <c r="B582" t="s">
        <v>871</v>
      </c>
      <c r="C582" t="s">
        <v>25</v>
      </c>
      <c r="D582" s="9">
        <v>27646</v>
      </c>
      <c r="E582" s="9" t="str">
        <f t="shared" si="72"/>
        <v>41-50</v>
      </c>
      <c r="F582">
        <v>49</v>
      </c>
      <c r="G582" t="s">
        <v>17</v>
      </c>
      <c r="H582">
        <v>3</v>
      </c>
      <c r="I582" t="s">
        <v>164</v>
      </c>
      <c r="K582">
        <f t="shared" si="79"/>
        <v>0</v>
      </c>
      <c r="L582">
        <f t="shared" si="73"/>
        <v>0</v>
      </c>
      <c r="M582">
        <f t="shared" si="74"/>
        <v>1</v>
      </c>
      <c r="N582">
        <f t="shared" si="75"/>
        <v>0</v>
      </c>
      <c r="O582">
        <f t="shared" si="76"/>
        <v>1</v>
      </c>
      <c r="P582">
        <f t="shared" si="77"/>
        <v>1</v>
      </c>
      <c r="Q582">
        <f t="shared" si="78"/>
        <v>0</v>
      </c>
      <c r="R582" t="b">
        <v>0</v>
      </c>
      <c r="T582" s="10">
        <v>0.642361111111111</v>
      </c>
      <c r="U582" s="10">
        <v>0.745833333333333</v>
      </c>
      <c r="V582">
        <v>149</v>
      </c>
      <c r="W582" t="b">
        <v>0</v>
      </c>
    </row>
    <row r="583" spans="1:24">
      <c r="A583">
        <v>582</v>
      </c>
      <c r="B583" t="s">
        <v>872</v>
      </c>
      <c r="C583" t="s">
        <v>16</v>
      </c>
      <c r="D583" s="9">
        <v>29455</v>
      </c>
      <c r="E583" s="9" t="str">
        <f t="shared" si="72"/>
        <v>41-50</v>
      </c>
      <c r="F583">
        <v>44</v>
      </c>
      <c r="G583" t="s">
        <v>17</v>
      </c>
      <c r="H583">
        <v>2</v>
      </c>
      <c r="I583" t="s">
        <v>189</v>
      </c>
      <c r="K583">
        <f t="shared" si="79"/>
        <v>0</v>
      </c>
      <c r="L583">
        <f t="shared" si="73"/>
        <v>1</v>
      </c>
      <c r="M583">
        <f t="shared" si="74"/>
        <v>1</v>
      </c>
      <c r="N583">
        <f t="shared" si="75"/>
        <v>0</v>
      </c>
      <c r="O583">
        <f t="shared" si="76"/>
        <v>0</v>
      </c>
      <c r="P583">
        <f t="shared" si="77"/>
        <v>0</v>
      </c>
      <c r="Q583">
        <f t="shared" si="78"/>
        <v>0</v>
      </c>
      <c r="R583" t="b">
        <v>1</v>
      </c>
      <c r="S583" t="s">
        <v>260</v>
      </c>
      <c r="T583" s="10">
        <v>0.611805555555556</v>
      </c>
      <c r="U583" s="10">
        <v>0.633333333333333</v>
      </c>
      <c r="V583">
        <v>31</v>
      </c>
      <c r="W583" t="b">
        <v>0</v>
      </c>
    </row>
    <row r="584" spans="1:24">
      <c r="A584">
        <v>583</v>
      </c>
      <c r="B584" t="s">
        <v>873</v>
      </c>
      <c r="C584" t="s">
        <v>16</v>
      </c>
      <c r="D584" s="9">
        <v>34360</v>
      </c>
      <c r="E584" s="9" t="str">
        <f t="shared" si="72"/>
        <v>20-30</v>
      </c>
      <c r="F584">
        <v>30</v>
      </c>
      <c r="G584" t="s">
        <v>21</v>
      </c>
      <c r="H584">
        <v>1</v>
      </c>
      <c r="I584" t="s">
        <v>185</v>
      </c>
      <c r="K584">
        <f t="shared" si="79"/>
        <v>0</v>
      </c>
      <c r="L584">
        <f t="shared" si="73"/>
        <v>0</v>
      </c>
      <c r="M584">
        <f t="shared" si="74"/>
        <v>0</v>
      </c>
      <c r="N584">
        <f t="shared" si="75"/>
        <v>1</v>
      </c>
      <c r="O584">
        <f t="shared" si="76"/>
        <v>0</v>
      </c>
      <c r="P584">
        <f t="shared" si="77"/>
        <v>0</v>
      </c>
      <c r="Q584">
        <f t="shared" si="78"/>
        <v>0</v>
      </c>
      <c r="R584" t="b">
        <v>0</v>
      </c>
      <c r="T584" s="10">
        <v>0.690277777777778</v>
      </c>
      <c r="U584" s="10">
        <v>0.727777777777778</v>
      </c>
      <c r="V584">
        <v>54</v>
      </c>
      <c r="W584" t="b">
        <v>0</v>
      </c>
    </row>
    <row r="585" spans="1:24">
      <c r="A585">
        <v>584</v>
      </c>
      <c r="B585" t="s">
        <v>874</v>
      </c>
      <c r="C585" t="s">
        <v>25</v>
      </c>
      <c r="D585" s="9">
        <v>34993</v>
      </c>
      <c r="E585" s="9" t="str">
        <f t="shared" si="72"/>
        <v>20-30</v>
      </c>
      <c r="F585">
        <v>28</v>
      </c>
      <c r="G585" t="s">
        <v>21</v>
      </c>
      <c r="H585">
        <v>3</v>
      </c>
      <c r="I585" t="s">
        <v>30</v>
      </c>
      <c r="K585">
        <f t="shared" si="79"/>
        <v>0</v>
      </c>
      <c r="L585">
        <f t="shared" si="73"/>
        <v>0</v>
      </c>
      <c r="M585">
        <f t="shared" si="74"/>
        <v>1</v>
      </c>
      <c r="N585">
        <f t="shared" si="75"/>
        <v>0</v>
      </c>
      <c r="O585">
        <f t="shared" si="76"/>
        <v>0</v>
      </c>
      <c r="P585">
        <f t="shared" si="77"/>
        <v>1</v>
      </c>
      <c r="Q585">
        <f t="shared" si="78"/>
        <v>1</v>
      </c>
      <c r="R585" t="b">
        <v>0</v>
      </c>
      <c r="T585" s="10">
        <v>0.45</v>
      </c>
      <c r="U585" s="10">
        <v>0.5375</v>
      </c>
      <c r="V585">
        <v>126</v>
      </c>
      <c r="W585" t="b">
        <v>0</v>
      </c>
    </row>
    <row r="586" spans="1:24">
      <c r="A586">
        <v>585</v>
      </c>
      <c r="B586" t="s">
        <v>875</v>
      </c>
      <c r="C586" t="s">
        <v>16</v>
      </c>
      <c r="D586" s="9">
        <v>35743</v>
      </c>
      <c r="E586" s="9" t="str">
        <f t="shared" si="72"/>
        <v>20-30</v>
      </c>
      <c r="F586">
        <v>26</v>
      </c>
      <c r="G586" t="s">
        <v>17</v>
      </c>
      <c r="H586">
        <v>2</v>
      </c>
      <c r="I586" t="s">
        <v>40</v>
      </c>
      <c r="K586">
        <f t="shared" si="79"/>
        <v>1</v>
      </c>
      <c r="L586">
        <f t="shared" si="73"/>
        <v>0</v>
      </c>
      <c r="M586">
        <f t="shared" si="74"/>
        <v>0</v>
      </c>
      <c r="N586">
        <f t="shared" si="75"/>
        <v>0</v>
      </c>
      <c r="O586">
        <f t="shared" si="76"/>
        <v>0</v>
      </c>
      <c r="P586">
        <f t="shared" si="77"/>
        <v>0</v>
      </c>
      <c r="Q586">
        <f t="shared" si="78"/>
        <v>1</v>
      </c>
      <c r="R586" t="b">
        <v>1</v>
      </c>
      <c r="S586" t="s">
        <v>876</v>
      </c>
      <c r="T586" s="10">
        <v>0.864583333333333</v>
      </c>
      <c r="U586" s="10">
        <v>0.923611111111111</v>
      </c>
      <c r="V586">
        <v>85</v>
      </c>
      <c r="W586" t="b">
        <v>1</v>
      </c>
      <c r="X586" t="s">
        <v>23</v>
      </c>
    </row>
    <row r="587" spans="1:24">
      <c r="A587">
        <v>586</v>
      </c>
      <c r="B587" t="s">
        <v>877</v>
      </c>
      <c r="C587" t="s">
        <v>25</v>
      </c>
      <c r="D587" s="9">
        <v>33555</v>
      </c>
      <c r="E587" s="9" t="str">
        <f t="shared" si="72"/>
        <v>31-41</v>
      </c>
      <c r="F587">
        <v>32</v>
      </c>
      <c r="G587" t="s">
        <v>21</v>
      </c>
      <c r="H587">
        <v>3</v>
      </c>
      <c r="I587" t="s">
        <v>30</v>
      </c>
      <c r="K587">
        <f t="shared" si="79"/>
        <v>0</v>
      </c>
      <c r="L587">
        <f t="shared" si="73"/>
        <v>0</v>
      </c>
      <c r="M587">
        <f t="shared" si="74"/>
        <v>1</v>
      </c>
      <c r="N587">
        <f t="shared" si="75"/>
        <v>0</v>
      </c>
      <c r="O587">
        <f t="shared" si="76"/>
        <v>0</v>
      </c>
      <c r="P587">
        <f t="shared" si="77"/>
        <v>1</v>
      </c>
      <c r="Q587">
        <f t="shared" si="78"/>
        <v>1</v>
      </c>
      <c r="R587" t="b">
        <v>0</v>
      </c>
      <c r="T587" s="10">
        <v>0.342361111111111</v>
      </c>
      <c r="U587" s="10">
        <v>0.390972222222222</v>
      </c>
      <c r="V587">
        <v>70</v>
      </c>
      <c r="W587" t="b">
        <v>0</v>
      </c>
    </row>
    <row r="588" spans="1:24">
      <c r="A588">
        <v>587</v>
      </c>
      <c r="B588" t="s">
        <v>878</v>
      </c>
      <c r="C588" t="s">
        <v>25</v>
      </c>
      <c r="D588" s="9">
        <v>35870</v>
      </c>
      <c r="E588" s="9" t="str">
        <f t="shared" si="72"/>
        <v>20-30</v>
      </c>
      <c r="F588">
        <v>26</v>
      </c>
      <c r="G588" t="s">
        <v>17</v>
      </c>
      <c r="H588">
        <v>5</v>
      </c>
      <c r="I588" t="s">
        <v>109</v>
      </c>
      <c r="K588">
        <f t="shared" si="79"/>
        <v>1</v>
      </c>
      <c r="L588">
        <f t="shared" si="73"/>
        <v>1</v>
      </c>
      <c r="M588">
        <f t="shared" si="74"/>
        <v>1</v>
      </c>
      <c r="N588">
        <f t="shared" si="75"/>
        <v>1</v>
      </c>
      <c r="O588">
        <f t="shared" si="76"/>
        <v>0</v>
      </c>
      <c r="P588">
        <f t="shared" si="77"/>
        <v>1</v>
      </c>
      <c r="Q588">
        <f t="shared" si="78"/>
        <v>0</v>
      </c>
      <c r="R588" t="b">
        <v>1</v>
      </c>
      <c r="S588" t="s">
        <v>172</v>
      </c>
      <c r="T588" s="10">
        <v>0.664583333333333</v>
      </c>
      <c r="U588" s="10">
        <v>0.757638888888889</v>
      </c>
      <c r="V588">
        <v>134</v>
      </c>
      <c r="W588" t="b">
        <v>0</v>
      </c>
    </row>
    <row r="589" spans="1:24">
      <c r="A589">
        <v>588</v>
      </c>
      <c r="B589" t="s">
        <v>879</v>
      </c>
      <c r="C589" t="s">
        <v>25</v>
      </c>
      <c r="D589" s="9">
        <v>38329</v>
      </c>
      <c r="E589" s="9" t="str">
        <f t="shared" si="72"/>
        <v>below 20</v>
      </c>
      <c r="F589">
        <v>19</v>
      </c>
      <c r="G589" t="s">
        <v>17</v>
      </c>
      <c r="H589">
        <v>3</v>
      </c>
      <c r="I589" t="s">
        <v>266</v>
      </c>
      <c r="K589">
        <f t="shared" si="79"/>
        <v>1</v>
      </c>
      <c r="L589">
        <f t="shared" si="73"/>
        <v>0</v>
      </c>
      <c r="M589">
        <f t="shared" si="74"/>
        <v>0</v>
      </c>
      <c r="N589">
        <f t="shared" si="75"/>
        <v>0</v>
      </c>
      <c r="O589">
        <f t="shared" si="76"/>
        <v>1</v>
      </c>
      <c r="P589">
        <f t="shared" si="77"/>
        <v>1</v>
      </c>
      <c r="Q589">
        <f t="shared" si="78"/>
        <v>0</v>
      </c>
      <c r="R589" t="b">
        <v>1</v>
      </c>
      <c r="S589" t="s">
        <v>880</v>
      </c>
      <c r="T589" s="10">
        <v>0.348611111111111</v>
      </c>
      <c r="U589" s="10">
        <v>0.448611111111111</v>
      </c>
      <c r="V589">
        <v>144</v>
      </c>
      <c r="W589" t="b">
        <v>1</v>
      </c>
      <c r="X589" t="s">
        <v>50</v>
      </c>
    </row>
    <row r="590" spans="1:24">
      <c r="A590">
        <v>589</v>
      </c>
      <c r="B590" t="s">
        <v>179</v>
      </c>
      <c r="C590" t="s">
        <v>25</v>
      </c>
      <c r="D590" s="9">
        <v>39992</v>
      </c>
      <c r="E590" s="9" t="str">
        <f t="shared" si="72"/>
        <v>below 20</v>
      </c>
      <c r="F590">
        <v>15</v>
      </c>
      <c r="G590" t="s">
        <v>21</v>
      </c>
      <c r="H590">
        <v>4</v>
      </c>
      <c r="I590" t="s">
        <v>439</v>
      </c>
      <c r="K590">
        <f t="shared" si="79"/>
        <v>0</v>
      </c>
      <c r="L590">
        <f t="shared" si="73"/>
        <v>1</v>
      </c>
      <c r="M590">
        <f t="shared" si="74"/>
        <v>1</v>
      </c>
      <c r="N590">
        <f t="shared" si="75"/>
        <v>1</v>
      </c>
      <c r="O590">
        <f t="shared" si="76"/>
        <v>1</v>
      </c>
      <c r="P590">
        <f t="shared" si="77"/>
        <v>0</v>
      </c>
      <c r="Q590">
        <f t="shared" si="78"/>
        <v>0</v>
      </c>
      <c r="R590" t="b">
        <v>0</v>
      </c>
      <c r="T590" s="10">
        <v>0.5875</v>
      </c>
      <c r="U590" s="10">
        <v>0.686805555555556</v>
      </c>
      <c r="V590">
        <v>143</v>
      </c>
      <c r="W590" t="b">
        <v>0</v>
      </c>
    </row>
    <row r="591" spans="1:24">
      <c r="A591">
        <v>590</v>
      </c>
      <c r="B591" t="s">
        <v>881</v>
      </c>
      <c r="C591" t="s">
        <v>25</v>
      </c>
      <c r="D591" s="9">
        <v>34210</v>
      </c>
      <c r="E591" s="9" t="str">
        <f t="shared" si="72"/>
        <v>31-41</v>
      </c>
      <c r="F591">
        <v>31</v>
      </c>
      <c r="G591" t="s">
        <v>21</v>
      </c>
      <c r="H591">
        <v>2</v>
      </c>
      <c r="I591" t="s">
        <v>189</v>
      </c>
      <c r="K591">
        <f t="shared" si="79"/>
        <v>0</v>
      </c>
      <c r="L591">
        <f t="shared" si="73"/>
        <v>1</v>
      </c>
      <c r="M591">
        <f t="shared" si="74"/>
        <v>1</v>
      </c>
      <c r="N591">
        <f t="shared" si="75"/>
        <v>0</v>
      </c>
      <c r="O591">
        <f t="shared" si="76"/>
        <v>0</v>
      </c>
      <c r="P591">
        <f t="shared" si="77"/>
        <v>0</v>
      </c>
      <c r="Q591">
        <f t="shared" si="78"/>
        <v>0</v>
      </c>
      <c r="R591" t="b">
        <v>1</v>
      </c>
      <c r="S591" t="s">
        <v>882</v>
      </c>
      <c r="T591" s="10">
        <v>0.410416666666667</v>
      </c>
      <c r="U591" s="10">
        <v>0.495138888888889</v>
      </c>
      <c r="V591">
        <v>122</v>
      </c>
      <c r="W591" t="b">
        <v>1</v>
      </c>
      <c r="X591" t="s">
        <v>23</v>
      </c>
    </row>
    <row r="592" spans="1:24">
      <c r="A592">
        <v>591</v>
      </c>
      <c r="B592" t="s">
        <v>883</v>
      </c>
      <c r="C592" t="s">
        <v>25</v>
      </c>
      <c r="D592" s="9">
        <v>30977</v>
      </c>
      <c r="E592" s="9" t="str">
        <f t="shared" si="72"/>
        <v>31-41</v>
      </c>
      <c r="F592">
        <v>39</v>
      </c>
      <c r="G592" t="s">
        <v>21</v>
      </c>
      <c r="H592">
        <v>5</v>
      </c>
      <c r="I592" t="s">
        <v>183</v>
      </c>
      <c r="K592">
        <f t="shared" si="79"/>
        <v>0</v>
      </c>
      <c r="L592">
        <f t="shared" si="73"/>
        <v>1</v>
      </c>
      <c r="M592">
        <f t="shared" si="74"/>
        <v>1</v>
      </c>
      <c r="N592">
        <f t="shared" si="75"/>
        <v>1</v>
      </c>
      <c r="O592">
        <f t="shared" si="76"/>
        <v>0</v>
      </c>
      <c r="P592">
        <f t="shared" si="77"/>
        <v>1</v>
      </c>
      <c r="Q592">
        <f t="shared" si="78"/>
        <v>1</v>
      </c>
      <c r="R592" t="b">
        <v>1</v>
      </c>
      <c r="S592" t="s">
        <v>230</v>
      </c>
      <c r="T592" s="10">
        <v>0.534722222222222</v>
      </c>
      <c r="U592" s="10">
        <v>0.55625</v>
      </c>
      <c r="V592">
        <v>31</v>
      </c>
      <c r="W592" t="b">
        <v>1</v>
      </c>
      <c r="X592" t="s">
        <v>47</v>
      </c>
    </row>
    <row r="593" spans="1:24">
      <c r="A593">
        <v>592</v>
      </c>
      <c r="B593" t="s">
        <v>884</v>
      </c>
      <c r="C593" t="s">
        <v>16</v>
      </c>
      <c r="D593" s="9">
        <v>29546</v>
      </c>
      <c r="E593" s="9" t="str">
        <f t="shared" si="72"/>
        <v>41-50</v>
      </c>
      <c r="F593">
        <v>43</v>
      </c>
      <c r="G593" t="s">
        <v>21</v>
      </c>
      <c r="H593">
        <v>3</v>
      </c>
      <c r="I593" t="s">
        <v>222</v>
      </c>
      <c r="K593">
        <f t="shared" si="79"/>
        <v>0</v>
      </c>
      <c r="L593">
        <f t="shared" si="73"/>
        <v>1</v>
      </c>
      <c r="M593">
        <f t="shared" si="74"/>
        <v>1</v>
      </c>
      <c r="N593">
        <f t="shared" si="75"/>
        <v>0</v>
      </c>
      <c r="O593">
        <f t="shared" si="76"/>
        <v>0</v>
      </c>
      <c r="P593">
        <f t="shared" si="77"/>
        <v>1</v>
      </c>
      <c r="Q593">
        <f t="shared" si="78"/>
        <v>0</v>
      </c>
      <c r="R593" t="b">
        <v>1</v>
      </c>
      <c r="S593" t="s">
        <v>83</v>
      </c>
      <c r="T593" s="10">
        <v>0.428472222222222</v>
      </c>
      <c r="U593" s="10">
        <v>0.529861111111111</v>
      </c>
      <c r="V593">
        <v>146</v>
      </c>
      <c r="W593" t="b">
        <v>1</v>
      </c>
      <c r="X593" t="s">
        <v>28</v>
      </c>
    </row>
    <row r="594" spans="1:24">
      <c r="A594">
        <v>593</v>
      </c>
      <c r="B594" t="s">
        <v>885</v>
      </c>
      <c r="C594" t="s">
        <v>16</v>
      </c>
      <c r="D594" s="9">
        <v>35999</v>
      </c>
      <c r="E594" s="9" t="str">
        <f t="shared" si="72"/>
        <v>20-30</v>
      </c>
      <c r="F594">
        <v>26</v>
      </c>
      <c r="G594" t="s">
        <v>21</v>
      </c>
      <c r="H594">
        <v>5</v>
      </c>
      <c r="I594" t="s">
        <v>289</v>
      </c>
      <c r="K594">
        <f t="shared" si="79"/>
        <v>1</v>
      </c>
      <c r="L594">
        <f t="shared" si="73"/>
        <v>1</v>
      </c>
      <c r="M594">
        <f t="shared" si="74"/>
        <v>1</v>
      </c>
      <c r="N594">
        <f t="shared" si="75"/>
        <v>1</v>
      </c>
      <c r="O594">
        <f t="shared" si="76"/>
        <v>1</v>
      </c>
      <c r="P594">
        <f t="shared" si="77"/>
        <v>0</v>
      </c>
      <c r="Q594">
        <f t="shared" si="78"/>
        <v>0</v>
      </c>
      <c r="R594" t="b">
        <v>0</v>
      </c>
      <c r="T594" s="10">
        <v>0.827083333333333</v>
      </c>
      <c r="U594" s="10">
        <v>0.903472222222222</v>
      </c>
      <c r="V594">
        <v>110</v>
      </c>
      <c r="W594" t="b">
        <v>1</v>
      </c>
      <c r="X594" t="s">
        <v>23</v>
      </c>
    </row>
    <row r="595" spans="1:24">
      <c r="A595">
        <v>594</v>
      </c>
      <c r="B595" t="s">
        <v>886</v>
      </c>
      <c r="C595" t="s">
        <v>25</v>
      </c>
      <c r="D595" s="9">
        <v>39937</v>
      </c>
      <c r="E595" s="9" t="str">
        <f t="shared" si="72"/>
        <v>below 20</v>
      </c>
      <c r="F595">
        <v>15</v>
      </c>
      <c r="G595" t="s">
        <v>21</v>
      </c>
      <c r="H595">
        <v>1</v>
      </c>
      <c r="I595" t="s">
        <v>81</v>
      </c>
      <c r="K595">
        <f t="shared" si="79"/>
        <v>0</v>
      </c>
      <c r="L595">
        <f t="shared" si="73"/>
        <v>0</v>
      </c>
      <c r="M595">
        <f t="shared" si="74"/>
        <v>0</v>
      </c>
      <c r="N595">
        <f t="shared" si="75"/>
        <v>0</v>
      </c>
      <c r="O595">
        <f t="shared" si="76"/>
        <v>0</v>
      </c>
      <c r="P595">
        <f t="shared" si="77"/>
        <v>1</v>
      </c>
      <c r="Q595">
        <f t="shared" si="78"/>
        <v>0</v>
      </c>
      <c r="R595" t="b">
        <v>1</v>
      </c>
      <c r="S595" t="s">
        <v>887</v>
      </c>
      <c r="T595" s="10">
        <v>0.334027777777778</v>
      </c>
      <c r="U595" s="10">
        <v>0.452083333333333</v>
      </c>
      <c r="V595">
        <v>170</v>
      </c>
      <c r="W595" t="b">
        <v>1</v>
      </c>
      <c r="X595" t="s">
        <v>50</v>
      </c>
    </row>
    <row r="596" spans="1:24">
      <c r="A596">
        <v>595</v>
      </c>
      <c r="B596" t="s">
        <v>888</v>
      </c>
      <c r="C596" t="s">
        <v>25</v>
      </c>
      <c r="D596" s="9">
        <v>33371</v>
      </c>
      <c r="E596" s="9" t="str">
        <f t="shared" si="72"/>
        <v>31-41</v>
      </c>
      <c r="F596">
        <v>33</v>
      </c>
      <c r="G596" t="s">
        <v>21</v>
      </c>
      <c r="H596">
        <v>2</v>
      </c>
      <c r="I596" t="s">
        <v>509</v>
      </c>
      <c r="K596">
        <f t="shared" si="79"/>
        <v>0</v>
      </c>
      <c r="L596">
        <f t="shared" si="73"/>
        <v>0</v>
      </c>
      <c r="M596">
        <f t="shared" si="74"/>
        <v>1</v>
      </c>
      <c r="N596">
        <f t="shared" si="75"/>
        <v>0</v>
      </c>
      <c r="O596">
        <f t="shared" si="76"/>
        <v>0</v>
      </c>
      <c r="P596">
        <f t="shared" si="77"/>
        <v>0</v>
      </c>
      <c r="Q596">
        <f t="shared" si="78"/>
        <v>1</v>
      </c>
      <c r="R596" t="b">
        <v>1</v>
      </c>
      <c r="S596" t="s">
        <v>371</v>
      </c>
      <c r="T596" s="10">
        <v>0.7125</v>
      </c>
      <c r="U596" s="10">
        <v>0.798611111111111</v>
      </c>
      <c r="V596">
        <v>124</v>
      </c>
      <c r="W596" t="b">
        <v>1</v>
      </c>
      <c r="X596" t="s">
        <v>50</v>
      </c>
    </row>
    <row r="597" spans="1:24">
      <c r="A597">
        <v>596</v>
      </c>
      <c r="B597" t="s">
        <v>889</v>
      </c>
      <c r="C597" t="s">
        <v>25</v>
      </c>
      <c r="D597" s="9">
        <v>28696</v>
      </c>
      <c r="E597" s="9" t="str">
        <f t="shared" si="72"/>
        <v>41-50</v>
      </c>
      <c r="F597">
        <v>46</v>
      </c>
      <c r="G597" t="s">
        <v>17</v>
      </c>
      <c r="H597">
        <v>5</v>
      </c>
      <c r="I597" t="s">
        <v>192</v>
      </c>
      <c r="K597">
        <f t="shared" si="79"/>
        <v>1</v>
      </c>
      <c r="L597">
        <f t="shared" si="73"/>
        <v>1</v>
      </c>
      <c r="M597">
        <f t="shared" si="74"/>
        <v>1</v>
      </c>
      <c r="N597">
        <f t="shared" si="75"/>
        <v>0</v>
      </c>
      <c r="O597">
        <f t="shared" si="76"/>
        <v>0</v>
      </c>
      <c r="P597">
        <f t="shared" si="77"/>
        <v>1</v>
      </c>
      <c r="Q597">
        <f t="shared" si="78"/>
        <v>1</v>
      </c>
      <c r="R597" t="b">
        <v>0</v>
      </c>
      <c r="T597" s="10">
        <v>0.865277777777778</v>
      </c>
      <c r="U597" s="10">
        <v>0.970833333333333</v>
      </c>
      <c r="V597">
        <v>152</v>
      </c>
      <c r="W597" t="b">
        <v>1</v>
      </c>
      <c r="X597" t="s">
        <v>50</v>
      </c>
    </row>
    <row r="598" spans="1:24">
      <c r="A598">
        <v>597</v>
      </c>
      <c r="B598" t="s">
        <v>890</v>
      </c>
      <c r="C598" t="s">
        <v>25</v>
      </c>
      <c r="D598" s="9">
        <v>27750</v>
      </c>
      <c r="E598" s="9" t="str">
        <f t="shared" si="72"/>
        <v>41-50</v>
      </c>
      <c r="F598">
        <v>48</v>
      </c>
      <c r="G598" t="s">
        <v>17</v>
      </c>
      <c r="H598">
        <v>1</v>
      </c>
      <c r="I598" t="s">
        <v>59</v>
      </c>
      <c r="K598">
        <f t="shared" si="79"/>
        <v>0</v>
      </c>
      <c r="L598">
        <f t="shared" si="73"/>
        <v>0</v>
      </c>
      <c r="M598">
        <f t="shared" si="74"/>
        <v>0</v>
      </c>
      <c r="N598">
        <f t="shared" si="75"/>
        <v>0</v>
      </c>
      <c r="O598">
        <f t="shared" si="76"/>
        <v>0</v>
      </c>
      <c r="P598">
        <f t="shared" si="77"/>
        <v>0</v>
      </c>
      <c r="Q598">
        <f t="shared" si="78"/>
        <v>1</v>
      </c>
      <c r="R598" t="b">
        <v>0</v>
      </c>
      <c r="T598" s="10">
        <v>0.786111111111111</v>
      </c>
      <c r="U598" s="10">
        <v>0.879166666666667</v>
      </c>
      <c r="V598">
        <v>134</v>
      </c>
      <c r="W598" t="b">
        <v>1</v>
      </c>
      <c r="X598" t="s">
        <v>28</v>
      </c>
    </row>
    <row r="599" spans="1:24">
      <c r="A599">
        <v>598</v>
      </c>
      <c r="B599" t="s">
        <v>891</v>
      </c>
      <c r="C599" t="s">
        <v>16</v>
      </c>
      <c r="D599" s="9">
        <v>40122</v>
      </c>
      <c r="E599" s="9" t="str">
        <f t="shared" si="72"/>
        <v>below 20</v>
      </c>
      <c r="F599">
        <v>14</v>
      </c>
      <c r="G599" t="s">
        <v>21</v>
      </c>
      <c r="H599">
        <v>2</v>
      </c>
      <c r="I599" t="s">
        <v>138</v>
      </c>
      <c r="K599">
        <f t="shared" si="79"/>
        <v>0</v>
      </c>
      <c r="L599">
        <f t="shared" si="73"/>
        <v>0</v>
      </c>
      <c r="M599">
        <f t="shared" si="74"/>
        <v>1</v>
      </c>
      <c r="N599">
        <f t="shared" si="75"/>
        <v>0</v>
      </c>
      <c r="O599">
        <f t="shared" si="76"/>
        <v>0</v>
      </c>
      <c r="P599">
        <f t="shared" si="77"/>
        <v>1</v>
      </c>
      <c r="Q599">
        <f t="shared" si="78"/>
        <v>0</v>
      </c>
      <c r="R599" t="b">
        <v>1</v>
      </c>
      <c r="S599" t="s">
        <v>89</v>
      </c>
      <c r="T599" s="10">
        <v>0.389583333333333</v>
      </c>
      <c r="U599" s="10">
        <v>0.495833333333333</v>
      </c>
      <c r="V599">
        <v>153</v>
      </c>
      <c r="W599" t="b">
        <v>1</v>
      </c>
      <c r="X599" t="s">
        <v>28</v>
      </c>
    </row>
    <row r="600" spans="1:24">
      <c r="A600">
        <v>599</v>
      </c>
      <c r="B600" t="s">
        <v>892</v>
      </c>
      <c r="C600" t="s">
        <v>25</v>
      </c>
      <c r="D600" s="9">
        <v>31379</v>
      </c>
      <c r="E600" s="9" t="str">
        <f t="shared" si="72"/>
        <v>31-41</v>
      </c>
      <c r="F600">
        <v>38</v>
      </c>
      <c r="G600" t="s">
        <v>21</v>
      </c>
      <c r="H600">
        <v>5</v>
      </c>
      <c r="I600" t="s">
        <v>368</v>
      </c>
      <c r="K600">
        <f t="shared" si="79"/>
        <v>0</v>
      </c>
      <c r="L600">
        <f t="shared" si="73"/>
        <v>1</v>
      </c>
      <c r="M600">
        <f t="shared" si="74"/>
        <v>1</v>
      </c>
      <c r="N600">
        <f t="shared" si="75"/>
        <v>1</v>
      </c>
      <c r="O600">
        <f t="shared" si="76"/>
        <v>1</v>
      </c>
      <c r="P600">
        <f t="shared" si="77"/>
        <v>1</v>
      </c>
      <c r="Q600">
        <f t="shared" si="78"/>
        <v>0</v>
      </c>
      <c r="R600" t="b">
        <v>0</v>
      </c>
      <c r="T600" s="10">
        <v>0.357638888888889</v>
      </c>
      <c r="U600" s="10">
        <v>0.45625</v>
      </c>
      <c r="V600">
        <v>142</v>
      </c>
      <c r="W600" t="b">
        <v>1</v>
      </c>
      <c r="X600" t="s">
        <v>47</v>
      </c>
    </row>
    <row r="601" spans="1:24">
      <c r="A601">
        <v>600</v>
      </c>
      <c r="B601" t="s">
        <v>893</v>
      </c>
      <c r="C601" t="s">
        <v>25</v>
      </c>
      <c r="D601" s="9">
        <v>29145</v>
      </c>
      <c r="E601" s="9" t="str">
        <f t="shared" si="72"/>
        <v>41-50</v>
      </c>
      <c r="F601">
        <v>44</v>
      </c>
      <c r="G601" t="s">
        <v>17</v>
      </c>
      <c r="H601">
        <v>3</v>
      </c>
      <c r="I601" t="s">
        <v>245</v>
      </c>
      <c r="K601">
        <f t="shared" si="79"/>
        <v>1</v>
      </c>
      <c r="L601">
        <f t="shared" si="73"/>
        <v>0</v>
      </c>
      <c r="M601">
        <f t="shared" si="74"/>
        <v>1</v>
      </c>
      <c r="N601">
        <f t="shared" si="75"/>
        <v>0</v>
      </c>
      <c r="O601">
        <f t="shared" si="76"/>
        <v>0</v>
      </c>
      <c r="P601">
        <f t="shared" si="77"/>
        <v>1</v>
      </c>
      <c r="Q601">
        <f t="shared" si="78"/>
        <v>0</v>
      </c>
      <c r="R601" t="b">
        <v>0</v>
      </c>
      <c r="T601" s="10">
        <v>0.819444444444445</v>
      </c>
      <c r="U601" s="10">
        <v>0.875694444444444</v>
      </c>
      <c r="V601">
        <v>81</v>
      </c>
      <c r="W601" t="b">
        <v>1</v>
      </c>
      <c r="X601" t="s">
        <v>47</v>
      </c>
    </row>
    <row r="602" spans="1:24">
      <c r="A602">
        <v>601</v>
      </c>
      <c r="B602" t="s">
        <v>894</v>
      </c>
      <c r="C602" t="s">
        <v>16</v>
      </c>
      <c r="D602" s="9">
        <v>31005</v>
      </c>
      <c r="E602" s="9" t="str">
        <f t="shared" si="72"/>
        <v>31-41</v>
      </c>
      <c r="F602">
        <v>39</v>
      </c>
      <c r="G602" t="s">
        <v>21</v>
      </c>
      <c r="H602">
        <v>2</v>
      </c>
      <c r="I602" t="s">
        <v>272</v>
      </c>
      <c r="K602">
        <f t="shared" si="79"/>
        <v>0</v>
      </c>
      <c r="L602">
        <f t="shared" si="73"/>
        <v>0</v>
      </c>
      <c r="M602">
        <f t="shared" si="74"/>
        <v>1</v>
      </c>
      <c r="N602">
        <f t="shared" si="75"/>
        <v>1</v>
      </c>
      <c r="O602">
        <f t="shared" si="76"/>
        <v>0</v>
      </c>
      <c r="P602">
        <f t="shared" si="77"/>
        <v>0</v>
      </c>
      <c r="Q602">
        <f t="shared" si="78"/>
        <v>0</v>
      </c>
      <c r="R602" t="b">
        <v>0</v>
      </c>
      <c r="T602" s="10">
        <v>0.506944444444444</v>
      </c>
      <c r="U602" s="10">
        <v>0.560416666666667</v>
      </c>
      <c r="V602">
        <v>77</v>
      </c>
      <c r="W602" t="b">
        <v>1</v>
      </c>
      <c r="X602" t="s">
        <v>28</v>
      </c>
    </row>
    <row r="603" spans="1:24">
      <c r="A603">
        <v>602</v>
      </c>
      <c r="B603" t="s">
        <v>895</v>
      </c>
      <c r="C603" t="s">
        <v>25</v>
      </c>
      <c r="D603" s="9">
        <v>27512</v>
      </c>
      <c r="E603" s="9" t="str">
        <f t="shared" si="72"/>
        <v>41-50</v>
      </c>
      <c r="F603">
        <v>49</v>
      </c>
      <c r="G603" t="s">
        <v>21</v>
      </c>
      <c r="H603">
        <v>2</v>
      </c>
      <c r="I603" t="s">
        <v>272</v>
      </c>
      <c r="K603">
        <f t="shared" si="79"/>
        <v>0</v>
      </c>
      <c r="L603">
        <f t="shared" si="73"/>
        <v>0</v>
      </c>
      <c r="M603">
        <f t="shared" si="74"/>
        <v>1</v>
      </c>
      <c r="N603">
        <f t="shared" si="75"/>
        <v>1</v>
      </c>
      <c r="O603">
        <f t="shared" si="76"/>
        <v>0</v>
      </c>
      <c r="P603">
        <f t="shared" si="77"/>
        <v>0</v>
      </c>
      <c r="Q603">
        <f t="shared" si="78"/>
        <v>0</v>
      </c>
      <c r="R603" t="b">
        <v>0</v>
      </c>
      <c r="T603" s="10">
        <v>0.653472222222222</v>
      </c>
      <c r="U603" s="10">
        <v>0.773611111111111</v>
      </c>
      <c r="V603">
        <v>173</v>
      </c>
      <c r="W603" t="b">
        <v>0</v>
      </c>
    </row>
    <row r="604" spans="1:24">
      <c r="A604">
        <v>603</v>
      </c>
      <c r="B604" t="s">
        <v>744</v>
      </c>
      <c r="C604" t="s">
        <v>25</v>
      </c>
      <c r="D604" s="9">
        <v>39175</v>
      </c>
      <c r="E604" s="9" t="str">
        <f t="shared" si="72"/>
        <v>below 20</v>
      </c>
      <c r="F604">
        <v>17</v>
      </c>
      <c r="G604" t="s">
        <v>21</v>
      </c>
      <c r="H604">
        <v>3</v>
      </c>
      <c r="I604" t="s">
        <v>85</v>
      </c>
      <c r="K604">
        <f t="shared" si="79"/>
        <v>0</v>
      </c>
      <c r="L604">
        <f t="shared" si="73"/>
        <v>1</v>
      </c>
      <c r="M604">
        <f t="shared" si="74"/>
        <v>1</v>
      </c>
      <c r="N604">
        <f t="shared" si="75"/>
        <v>0</v>
      </c>
      <c r="O604">
        <f t="shared" si="76"/>
        <v>1</v>
      </c>
      <c r="P604">
        <f t="shared" si="77"/>
        <v>0</v>
      </c>
      <c r="Q604">
        <f t="shared" si="78"/>
        <v>0</v>
      </c>
      <c r="R604" t="b">
        <v>0</v>
      </c>
      <c r="T604" s="10">
        <v>0.641666666666667</v>
      </c>
      <c r="U604" s="10">
        <v>0.700694444444444</v>
      </c>
      <c r="V604">
        <v>85</v>
      </c>
      <c r="W604" t="b">
        <v>0</v>
      </c>
    </row>
    <row r="605" spans="1:24">
      <c r="A605">
        <v>604</v>
      </c>
      <c r="B605" t="s">
        <v>896</v>
      </c>
      <c r="C605" t="s">
        <v>16</v>
      </c>
      <c r="D605" s="9">
        <v>32559</v>
      </c>
      <c r="E605" s="9" t="str">
        <f t="shared" si="72"/>
        <v>31-41</v>
      </c>
      <c r="F605">
        <v>35</v>
      </c>
      <c r="G605" t="s">
        <v>21</v>
      </c>
      <c r="H605">
        <v>2</v>
      </c>
      <c r="I605" t="s">
        <v>55</v>
      </c>
      <c r="K605">
        <f t="shared" si="79"/>
        <v>1</v>
      </c>
      <c r="L605">
        <f t="shared" si="73"/>
        <v>0</v>
      </c>
      <c r="M605">
        <f t="shared" si="74"/>
        <v>0</v>
      </c>
      <c r="N605">
        <f t="shared" si="75"/>
        <v>1</v>
      </c>
      <c r="O605">
        <f t="shared" si="76"/>
        <v>0</v>
      </c>
      <c r="P605">
        <f t="shared" si="77"/>
        <v>0</v>
      </c>
      <c r="Q605">
        <f t="shared" si="78"/>
        <v>0</v>
      </c>
      <c r="R605" t="b">
        <v>0</v>
      </c>
      <c r="T605" s="10">
        <v>0.779166666666667</v>
      </c>
      <c r="U605" s="10">
        <v>0.895833333333333</v>
      </c>
      <c r="V605">
        <v>168</v>
      </c>
      <c r="W605" t="b">
        <v>1</v>
      </c>
      <c r="X605" t="s">
        <v>47</v>
      </c>
    </row>
    <row r="606" spans="1:24">
      <c r="A606">
        <v>605</v>
      </c>
      <c r="B606" t="s">
        <v>897</v>
      </c>
      <c r="C606" t="s">
        <v>25</v>
      </c>
      <c r="D606" s="9">
        <v>28904</v>
      </c>
      <c r="E606" s="9" t="str">
        <f t="shared" si="72"/>
        <v>41-50</v>
      </c>
      <c r="F606">
        <v>45</v>
      </c>
      <c r="G606" t="s">
        <v>21</v>
      </c>
      <c r="H606">
        <v>3</v>
      </c>
      <c r="I606" t="s">
        <v>241</v>
      </c>
      <c r="K606">
        <f t="shared" si="79"/>
        <v>0</v>
      </c>
      <c r="L606">
        <f t="shared" si="73"/>
        <v>0</v>
      </c>
      <c r="M606">
        <f t="shared" si="74"/>
        <v>1</v>
      </c>
      <c r="N606">
        <f t="shared" si="75"/>
        <v>1</v>
      </c>
      <c r="O606">
        <f t="shared" si="76"/>
        <v>1</v>
      </c>
      <c r="P606">
        <f t="shared" si="77"/>
        <v>0</v>
      </c>
      <c r="Q606">
        <f t="shared" si="78"/>
        <v>0</v>
      </c>
      <c r="R606" t="b">
        <v>1</v>
      </c>
      <c r="S606" t="s">
        <v>230</v>
      </c>
      <c r="T606" s="10">
        <v>0.7375</v>
      </c>
      <c r="U606" s="10">
        <v>0.820833333333333</v>
      </c>
      <c r="V606">
        <v>120</v>
      </c>
      <c r="W606" t="b">
        <v>0</v>
      </c>
    </row>
    <row r="607" spans="1:24">
      <c r="A607">
        <v>606</v>
      </c>
      <c r="B607" t="s">
        <v>898</v>
      </c>
      <c r="C607" t="s">
        <v>25</v>
      </c>
      <c r="D607" s="9">
        <v>34753</v>
      </c>
      <c r="E607" s="9" t="str">
        <f t="shared" si="72"/>
        <v>20-30</v>
      </c>
      <c r="F607">
        <v>29</v>
      </c>
      <c r="G607" t="s">
        <v>21</v>
      </c>
      <c r="H607">
        <v>3</v>
      </c>
      <c r="I607" t="s">
        <v>504</v>
      </c>
      <c r="K607">
        <f t="shared" si="79"/>
        <v>0</v>
      </c>
      <c r="L607">
        <f t="shared" si="73"/>
        <v>0</v>
      </c>
      <c r="M607">
        <f t="shared" si="74"/>
        <v>1</v>
      </c>
      <c r="N607">
        <f t="shared" si="75"/>
        <v>1</v>
      </c>
      <c r="O607">
        <f t="shared" si="76"/>
        <v>0</v>
      </c>
      <c r="P607">
        <f t="shared" si="77"/>
        <v>0</v>
      </c>
      <c r="Q607">
        <f t="shared" si="78"/>
        <v>1</v>
      </c>
      <c r="R607" t="b">
        <v>1</v>
      </c>
      <c r="S607" t="s">
        <v>107</v>
      </c>
      <c r="T607" s="10">
        <v>0.860416666666667</v>
      </c>
      <c r="U607" s="10">
        <v>0.889583333333333</v>
      </c>
      <c r="V607">
        <v>42</v>
      </c>
      <c r="W607" t="b">
        <v>1</v>
      </c>
      <c r="X607" t="s">
        <v>50</v>
      </c>
    </row>
    <row r="608" spans="1:24">
      <c r="A608">
        <v>607</v>
      </c>
      <c r="B608" t="s">
        <v>899</v>
      </c>
      <c r="C608" t="s">
        <v>16</v>
      </c>
      <c r="D608" s="9">
        <v>30223</v>
      </c>
      <c r="E608" s="9" t="str">
        <f t="shared" si="72"/>
        <v>41-50</v>
      </c>
      <c r="F608">
        <v>42</v>
      </c>
      <c r="G608" t="s">
        <v>17</v>
      </c>
      <c r="H608">
        <v>3</v>
      </c>
      <c r="I608" t="s">
        <v>130</v>
      </c>
      <c r="K608">
        <f t="shared" si="79"/>
        <v>0</v>
      </c>
      <c r="L608">
        <f t="shared" si="73"/>
        <v>1</v>
      </c>
      <c r="M608">
        <f t="shared" si="74"/>
        <v>0</v>
      </c>
      <c r="N608">
        <f t="shared" si="75"/>
        <v>1</v>
      </c>
      <c r="O608">
        <f t="shared" si="76"/>
        <v>1</v>
      </c>
      <c r="P608">
        <f t="shared" si="77"/>
        <v>0</v>
      </c>
      <c r="Q608">
        <f t="shared" si="78"/>
        <v>0</v>
      </c>
      <c r="R608" t="b">
        <v>0</v>
      </c>
      <c r="T608" s="10">
        <v>0.680555555555555</v>
      </c>
      <c r="U608" s="10">
        <v>0.727083333333333</v>
      </c>
      <c r="V608">
        <v>67</v>
      </c>
      <c r="W608" t="b">
        <v>1</v>
      </c>
      <c r="X608" t="s">
        <v>28</v>
      </c>
    </row>
    <row r="609" spans="1:24">
      <c r="A609">
        <v>608</v>
      </c>
      <c r="B609" t="s">
        <v>434</v>
      </c>
      <c r="C609" t="s">
        <v>16</v>
      </c>
      <c r="D609" s="9">
        <v>38846</v>
      </c>
      <c r="E609" s="9" t="str">
        <f t="shared" si="72"/>
        <v>below 20</v>
      </c>
      <c r="F609">
        <v>18</v>
      </c>
      <c r="G609" t="s">
        <v>21</v>
      </c>
      <c r="H609">
        <v>3</v>
      </c>
      <c r="I609" t="s">
        <v>504</v>
      </c>
      <c r="K609">
        <f t="shared" si="79"/>
        <v>0</v>
      </c>
      <c r="L609">
        <f t="shared" si="73"/>
        <v>0</v>
      </c>
      <c r="M609">
        <f t="shared" si="74"/>
        <v>1</v>
      </c>
      <c r="N609">
        <f t="shared" si="75"/>
        <v>1</v>
      </c>
      <c r="O609">
        <f t="shared" si="76"/>
        <v>0</v>
      </c>
      <c r="P609">
        <f t="shared" si="77"/>
        <v>0</v>
      </c>
      <c r="Q609">
        <f t="shared" si="78"/>
        <v>1</v>
      </c>
      <c r="R609" t="b">
        <v>1</v>
      </c>
      <c r="S609" t="s">
        <v>230</v>
      </c>
      <c r="T609" s="10">
        <v>0.365277777777778</v>
      </c>
      <c r="U609" s="10">
        <v>0.455555555555556</v>
      </c>
      <c r="V609">
        <v>130</v>
      </c>
      <c r="W609" t="b">
        <v>0</v>
      </c>
    </row>
    <row r="610" spans="1:24">
      <c r="A610">
        <v>609</v>
      </c>
      <c r="B610" t="s">
        <v>900</v>
      </c>
      <c r="C610" t="s">
        <v>16</v>
      </c>
      <c r="D610" s="9">
        <v>32283</v>
      </c>
      <c r="E610" s="9" t="str">
        <f t="shared" si="72"/>
        <v>31-41</v>
      </c>
      <c r="F610">
        <v>36</v>
      </c>
      <c r="G610" t="s">
        <v>21</v>
      </c>
      <c r="H610">
        <v>3</v>
      </c>
      <c r="I610" t="s">
        <v>106</v>
      </c>
      <c r="K610">
        <f t="shared" si="79"/>
        <v>1</v>
      </c>
      <c r="L610">
        <f t="shared" si="73"/>
        <v>1</v>
      </c>
      <c r="M610">
        <f t="shared" si="74"/>
        <v>0</v>
      </c>
      <c r="N610">
        <f t="shared" si="75"/>
        <v>0</v>
      </c>
      <c r="O610">
        <f t="shared" si="76"/>
        <v>1</v>
      </c>
      <c r="P610">
        <f t="shared" si="77"/>
        <v>0</v>
      </c>
      <c r="Q610">
        <f t="shared" si="78"/>
        <v>0</v>
      </c>
      <c r="R610" t="b">
        <v>1</v>
      </c>
      <c r="S610" t="s">
        <v>83</v>
      </c>
      <c r="T610" s="10">
        <v>0.73125</v>
      </c>
      <c r="U610" s="10">
        <v>0.833333333333333</v>
      </c>
      <c r="V610">
        <v>147</v>
      </c>
      <c r="W610" t="b">
        <v>0</v>
      </c>
    </row>
    <row r="611" spans="1:24">
      <c r="A611">
        <v>610</v>
      </c>
      <c r="B611" t="s">
        <v>901</v>
      </c>
      <c r="C611" t="s">
        <v>16</v>
      </c>
      <c r="D611" s="9">
        <v>33074</v>
      </c>
      <c r="E611" s="9" t="str">
        <f t="shared" si="72"/>
        <v>31-41</v>
      </c>
      <c r="F611">
        <v>34</v>
      </c>
      <c r="G611" t="s">
        <v>21</v>
      </c>
      <c r="H611">
        <v>2</v>
      </c>
      <c r="I611" t="s">
        <v>32</v>
      </c>
      <c r="K611">
        <f t="shared" si="79"/>
        <v>0</v>
      </c>
      <c r="L611">
        <f t="shared" si="73"/>
        <v>0</v>
      </c>
      <c r="M611">
        <f t="shared" si="74"/>
        <v>1</v>
      </c>
      <c r="N611">
        <f t="shared" si="75"/>
        <v>0</v>
      </c>
      <c r="O611">
        <f t="shared" si="76"/>
        <v>1</v>
      </c>
      <c r="P611">
        <f t="shared" si="77"/>
        <v>0</v>
      </c>
      <c r="Q611">
        <f t="shared" si="78"/>
        <v>0</v>
      </c>
      <c r="R611" t="b">
        <v>1</v>
      </c>
      <c r="S611" t="s">
        <v>395</v>
      </c>
      <c r="T611" s="10">
        <v>0.585416666666667</v>
      </c>
      <c r="U611" s="10">
        <v>0.679861111111111</v>
      </c>
      <c r="V611">
        <v>136</v>
      </c>
      <c r="W611" t="b">
        <v>0</v>
      </c>
    </row>
    <row r="612" spans="1:24">
      <c r="A612">
        <v>611</v>
      </c>
      <c r="B612" t="s">
        <v>902</v>
      </c>
      <c r="C612" t="s">
        <v>16</v>
      </c>
      <c r="D612" s="9">
        <v>32115</v>
      </c>
      <c r="E612" s="9" t="str">
        <f t="shared" si="72"/>
        <v>31-41</v>
      </c>
      <c r="F612">
        <v>36</v>
      </c>
      <c r="G612" t="s">
        <v>17</v>
      </c>
      <c r="H612">
        <v>1</v>
      </c>
      <c r="I612" t="s">
        <v>81</v>
      </c>
      <c r="K612">
        <f t="shared" si="79"/>
        <v>0</v>
      </c>
      <c r="L612">
        <f t="shared" si="73"/>
        <v>0</v>
      </c>
      <c r="M612">
        <f t="shared" si="74"/>
        <v>0</v>
      </c>
      <c r="N612">
        <f t="shared" si="75"/>
        <v>0</v>
      </c>
      <c r="O612">
        <f t="shared" si="76"/>
        <v>0</v>
      </c>
      <c r="P612">
        <f t="shared" si="77"/>
        <v>1</v>
      </c>
      <c r="Q612">
        <f t="shared" si="78"/>
        <v>0</v>
      </c>
      <c r="R612" t="b">
        <v>1</v>
      </c>
      <c r="S612" t="s">
        <v>201</v>
      </c>
      <c r="T612" s="10">
        <v>0.617361111111111</v>
      </c>
      <c r="U612" s="10">
        <v>0.644444444444444</v>
      </c>
      <c r="V612">
        <v>39</v>
      </c>
      <c r="W612" t="b">
        <v>1</v>
      </c>
      <c r="X612" t="s">
        <v>23</v>
      </c>
    </row>
    <row r="613" spans="1:24">
      <c r="A613">
        <v>612</v>
      </c>
      <c r="B613" t="s">
        <v>903</v>
      </c>
      <c r="C613" t="s">
        <v>16</v>
      </c>
      <c r="D613" s="9">
        <v>28983</v>
      </c>
      <c r="E613" s="9" t="str">
        <f t="shared" si="72"/>
        <v>41-50</v>
      </c>
      <c r="F613">
        <v>45</v>
      </c>
      <c r="G613" t="s">
        <v>21</v>
      </c>
      <c r="H613">
        <v>3</v>
      </c>
      <c r="I613" t="s">
        <v>318</v>
      </c>
      <c r="K613">
        <f t="shared" si="79"/>
        <v>1</v>
      </c>
      <c r="L613">
        <f t="shared" si="73"/>
        <v>0</v>
      </c>
      <c r="M613">
        <f t="shared" si="74"/>
        <v>1</v>
      </c>
      <c r="N613">
        <f t="shared" si="75"/>
        <v>0</v>
      </c>
      <c r="O613">
        <f t="shared" si="76"/>
        <v>1</v>
      </c>
      <c r="P613">
        <f t="shared" si="77"/>
        <v>0</v>
      </c>
      <c r="Q613">
        <f t="shared" si="78"/>
        <v>0</v>
      </c>
      <c r="R613" t="b">
        <v>0</v>
      </c>
      <c r="T613" s="10">
        <v>0.570833333333333</v>
      </c>
      <c r="U613" s="10">
        <v>0.653472222222222</v>
      </c>
      <c r="V613">
        <v>119</v>
      </c>
      <c r="W613" t="b">
        <v>0</v>
      </c>
    </row>
    <row r="614" spans="1:24">
      <c r="A614">
        <v>613</v>
      </c>
      <c r="B614" t="s">
        <v>904</v>
      </c>
      <c r="C614" t="s">
        <v>25</v>
      </c>
      <c r="D614" s="9">
        <v>29792</v>
      </c>
      <c r="E614" s="9" t="str">
        <f t="shared" si="72"/>
        <v>41-50</v>
      </c>
      <c r="F614">
        <v>43</v>
      </c>
      <c r="G614" t="s">
        <v>21</v>
      </c>
      <c r="H614">
        <v>5</v>
      </c>
      <c r="I614" t="s">
        <v>567</v>
      </c>
      <c r="K614">
        <f t="shared" si="79"/>
        <v>1</v>
      </c>
      <c r="L614">
        <f t="shared" si="73"/>
        <v>0</v>
      </c>
      <c r="M614">
        <f t="shared" si="74"/>
        <v>0</v>
      </c>
      <c r="N614">
        <f t="shared" si="75"/>
        <v>1</v>
      </c>
      <c r="O614">
        <f t="shared" si="76"/>
        <v>1</v>
      </c>
      <c r="P614">
        <f t="shared" si="77"/>
        <v>1</v>
      </c>
      <c r="Q614">
        <f t="shared" si="78"/>
        <v>1</v>
      </c>
      <c r="R614" t="b">
        <v>1</v>
      </c>
      <c r="S614" t="s">
        <v>107</v>
      </c>
      <c r="T614" s="10">
        <v>0.730555555555556</v>
      </c>
      <c r="U614" s="10">
        <v>0.823611111111111</v>
      </c>
      <c r="V614">
        <v>134</v>
      </c>
      <c r="W614" t="b">
        <v>1</v>
      </c>
      <c r="X614" t="s">
        <v>28</v>
      </c>
    </row>
    <row r="615" spans="1:24">
      <c r="A615">
        <v>614</v>
      </c>
      <c r="B615" t="s">
        <v>905</v>
      </c>
      <c r="C615" t="s">
        <v>25</v>
      </c>
      <c r="D615" s="9">
        <v>39669</v>
      </c>
      <c r="E615" s="9" t="str">
        <f t="shared" si="72"/>
        <v>below 20</v>
      </c>
      <c r="F615">
        <v>16</v>
      </c>
      <c r="G615" t="s">
        <v>17</v>
      </c>
      <c r="H615">
        <v>3</v>
      </c>
      <c r="I615" t="s">
        <v>85</v>
      </c>
      <c r="K615">
        <f t="shared" si="79"/>
        <v>0</v>
      </c>
      <c r="L615">
        <f t="shared" si="73"/>
        <v>1</v>
      </c>
      <c r="M615">
        <f t="shared" si="74"/>
        <v>1</v>
      </c>
      <c r="N615">
        <f t="shared" si="75"/>
        <v>0</v>
      </c>
      <c r="O615">
        <f t="shared" si="76"/>
        <v>1</v>
      </c>
      <c r="P615">
        <f t="shared" si="77"/>
        <v>0</v>
      </c>
      <c r="Q615">
        <f t="shared" si="78"/>
        <v>0</v>
      </c>
      <c r="R615" t="b">
        <v>0</v>
      </c>
      <c r="T615" s="10">
        <v>0.400694444444444</v>
      </c>
      <c r="U615" s="10">
        <v>0.456944444444444</v>
      </c>
      <c r="V615">
        <v>81</v>
      </c>
      <c r="W615" t="b">
        <v>0</v>
      </c>
    </row>
    <row r="616" spans="1:24">
      <c r="A616">
        <v>615</v>
      </c>
      <c r="B616" t="s">
        <v>906</v>
      </c>
      <c r="C616" t="s">
        <v>25</v>
      </c>
      <c r="D616" s="9">
        <v>31226</v>
      </c>
      <c r="E616" s="9" t="str">
        <f t="shared" si="72"/>
        <v>31-41</v>
      </c>
      <c r="F616">
        <v>39</v>
      </c>
      <c r="G616" t="s">
        <v>17</v>
      </c>
      <c r="H616">
        <v>3</v>
      </c>
      <c r="I616" t="s">
        <v>241</v>
      </c>
      <c r="K616">
        <f t="shared" si="79"/>
        <v>0</v>
      </c>
      <c r="L616">
        <f t="shared" si="73"/>
        <v>0</v>
      </c>
      <c r="M616">
        <f t="shared" si="74"/>
        <v>1</v>
      </c>
      <c r="N616">
        <f t="shared" si="75"/>
        <v>1</v>
      </c>
      <c r="O616">
        <f t="shared" si="76"/>
        <v>1</v>
      </c>
      <c r="P616">
        <f t="shared" si="77"/>
        <v>0</v>
      </c>
      <c r="Q616">
        <f t="shared" si="78"/>
        <v>0</v>
      </c>
      <c r="R616" t="b">
        <v>0</v>
      </c>
      <c r="T616" s="10">
        <v>0.754861111111111</v>
      </c>
      <c r="U616" s="10">
        <v>0.784722222222222</v>
      </c>
      <c r="V616">
        <v>43</v>
      </c>
      <c r="W616" t="b">
        <v>0</v>
      </c>
    </row>
    <row r="617" spans="1:24">
      <c r="A617">
        <v>616</v>
      </c>
      <c r="B617" t="s">
        <v>907</v>
      </c>
      <c r="C617" t="s">
        <v>25</v>
      </c>
      <c r="D617" s="9">
        <v>32021</v>
      </c>
      <c r="E617" s="9" t="str">
        <f t="shared" si="72"/>
        <v>31-41</v>
      </c>
      <c r="F617">
        <v>37</v>
      </c>
      <c r="G617" t="s">
        <v>21</v>
      </c>
      <c r="H617">
        <v>2</v>
      </c>
      <c r="I617" t="s">
        <v>509</v>
      </c>
      <c r="K617">
        <f t="shared" si="79"/>
        <v>0</v>
      </c>
      <c r="L617">
        <f t="shared" si="73"/>
        <v>0</v>
      </c>
      <c r="M617">
        <f t="shared" si="74"/>
        <v>1</v>
      </c>
      <c r="N617">
        <f t="shared" si="75"/>
        <v>0</v>
      </c>
      <c r="O617">
        <f t="shared" si="76"/>
        <v>0</v>
      </c>
      <c r="P617">
        <f t="shared" si="77"/>
        <v>0</v>
      </c>
      <c r="Q617">
        <f t="shared" si="78"/>
        <v>1</v>
      </c>
      <c r="R617" t="b">
        <v>0</v>
      </c>
      <c r="T617" s="10">
        <v>0.479166666666667</v>
      </c>
      <c r="U617" s="10">
        <v>0.556944444444444</v>
      </c>
      <c r="V617">
        <v>112</v>
      </c>
      <c r="W617" t="b">
        <v>0</v>
      </c>
    </row>
    <row r="618" spans="1:24">
      <c r="A618">
        <v>617</v>
      </c>
      <c r="B618" t="s">
        <v>908</v>
      </c>
      <c r="C618" t="s">
        <v>25</v>
      </c>
      <c r="D618" s="9">
        <v>36542</v>
      </c>
      <c r="E618" s="9" t="str">
        <f t="shared" si="72"/>
        <v>20-30</v>
      </c>
      <c r="F618">
        <v>24</v>
      </c>
      <c r="G618" t="s">
        <v>21</v>
      </c>
      <c r="H618">
        <v>4</v>
      </c>
      <c r="I618" t="s">
        <v>470</v>
      </c>
      <c r="K618">
        <f t="shared" si="79"/>
        <v>1</v>
      </c>
      <c r="L618">
        <f t="shared" si="73"/>
        <v>0</v>
      </c>
      <c r="M618">
        <f t="shared" si="74"/>
        <v>0</v>
      </c>
      <c r="N618">
        <f t="shared" si="75"/>
        <v>1</v>
      </c>
      <c r="O618">
        <f t="shared" si="76"/>
        <v>1</v>
      </c>
      <c r="P618">
        <f t="shared" si="77"/>
        <v>1</v>
      </c>
      <c r="Q618">
        <f t="shared" si="78"/>
        <v>0</v>
      </c>
      <c r="R618" t="b">
        <v>0</v>
      </c>
      <c r="T618" s="10">
        <v>0.644444444444444</v>
      </c>
      <c r="U618" s="10">
        <v>0.749305555555556</v>
      </c>
      <c r="V618">
        <v>151</v>
      </c>
      <c r="W618" t="b">
        <v>1</v>
      </c>
      <c r="X618" t="s">
        <v>23</v>
      </c>
    </row>
    <row r="619" spans="1:24">
      <c r="A619">
        <v>618</v>
      </c>
      <c r="B619" t="s">
        <v>909</v>
      </c>
      <c r="C619" t="s">
        <v>25</v>
      </c>
      <c r="D619" s="9">
        <v>31712</v>
      </c>
      <c r="E619" s="9" t="str">
        <f t="shared" si="72"/>
        <v>31-41</v>
      </c>
      <c r="F619">
        <v>37</v>
      </c>
      <c r="G619" t="s">
        <v>17</v>
      </c>
      <c r="H619">
        <v>3</v>
      </c>
      <c r="I619" t="s">
        <v>92</v>
      </c>
      <c r="K619">
        <f t="shared" si="79"/>
        <v>0</v>
      </c>
      <c r="L619">
        <f t="shared" si="73"/>
        <v>1</v>
      </c>
      <c r="M619">
        <f t="shared" si="74"/>
        <v>0</v>
      </c>
      <c r="N619">
        <f t="shared" si="75"/>
        <v>1</v>
      </c>
      <c r="O619">
        <f t="shared" si="76"/>
        <v>0</v>
      </c>
      <c r="P619">
        <f t="shared" si="77"/>
        <v>1</v>
      </c>
      <c r="Q619">
        <f t="shared" si="78"/>
        <v>0</v>
      </c>
      <c r="R619" t="b">
        <v>0</v>
      </c>
      <c r="T619" s="10">
        <v>0.857638888888889</v>
      </c>
      <c r="U619" s="10">
        <v>0.982638888888889</v>
      </c>
      <c r="V619">
        <v>180</v>
      </c>
      <c r="W619" t="b">
        <v>1</v>
      </c>
      <c r="X619" t="s">
        <v>47</v>
      </c>
    </row>
    <row r="620" spans="1:24">
      <c r="A620">
        <v>619</v>
      </c>
      <c r="B620" t="s">
        <v>910</v>
      </c>
      <c r="C620" t="s">
        <v>25</v>
      </c>
      <c r="D620" s="9">
        <v>27779</v>
      </c>
      <c r="E620" s="9" t="str">
        <f t="shared" si="72"/>
        <v>41-50</v>
      </c>
      <c r="F620">
        <v>48</v>
      </c>
      <c r="G620" t="s">
        <v>17</v>
      </c>
      <c r="H620">
        <v>3</v>
      </c>
      <c r="I620" t="s">
        <v>245</v>
      </c>
      <c r="K620">
        <f t="shared" si="79"/>
        <v>1</v>
      </c>
      <c r="L620">
        <f t="shared" si="73"/>
        <v>0</v>
      </c>
      <c r="M620">
        <f t="shared" si="74"/>
        <v>1</v>
      </c>
      <c r="N620">
        <f t="shared" si="75"/>
        <v>0</v>
      </c>
      <c r="O620">
        <f t="shared" si="76"/>
        <v>0</v>
      </c>
      <c r="P620">
        <f t="shared" si="77"/>
        <v>1</v>
      </c>
      <c r="Q620">
        <f t="shared" si="78"/>
        <v>0</v>
      </c>
      <c r="R620" t="b">
        <v>0</v>
      </c>
      <c r="T620" s="10">
        <v>0.603472222222222</v>
      </c>
      <c r="U620" s="10">
        <v>0.713194444444444</v>
      </c>
      <c r="V620">
        <v>158</v>
      </c>
      <c r="W620" t="b">
        <v>1</v>
      </c>
      <c r="X620" t="s">
        <v>47</v>
      </c>
    </row>
    <row r="621" spans="1:24">
      <c r="A621">
        <v>620</v>
      </c>
      <c r="B621" t="s">
        <v>911</v>
      </c>
      <c r="C621" t="s">
        <v>16</v>
      </c>
      <c r="D621" s="9">
        <v>36638</v>
      </c>
      <c r="E621" s="9" t="str">
        <f t="shared" si="72"/>
        <v>20-30</v>
      </c>
      <c r="F621">
        <v>24</v>
      </c>
      <c r="G621" t="s">
        <v>21</v>
      </c>
      <c r="H621">
        <v>2</v>
      </c>
      <c r="I621" t="s">
        <v>259</v>
      </c>
      <c r="K621">
        <f t="shared" si="79"/>
        <v>0</v>
      </c>
      <c r="L621">
        <f t="shared" si="73"/>
        <v>1</v>
      </c>
      <c r="M621">
        <f t="shared" si="74"/>
        <v>0</v>
      </c>
      <c r="N621">
        <f t="shared" si="75"/>
        <v>0</v>
      </c>
      <c r="O621">
        <f t="shared" si="76"/>
        <v>1</v>
      </c>
      <c r="P621">
        <f t="shared" si="77"/>
        <v>0</v>
      </c>
      <c r="Q621">
        <f t="shared" si="78"/>
        <v>0</v>
      </c>
      <c r="R621" t="b">
        <v>1</v>
      </c>
      <c r="S621" t="s">
        <v>912</v>
      </c>
      <c r="T621" s="10">
        <v>0.434722222222222</v>
      </c>
      <c r="U621" s="10">
        <v>0.504166666666667</v>
      </c>
      <c r="V621">
        <v>100</v>
      </c>
      <c r="W621" t="b">
        <v>0</v>
      </c>
    </row>
    <row r="622" spans="1:24">
      <c r="A622">
        <v>621</v>
      </c>
      <c r="B622" t="s">
        <v>913</v>
      </c>
      <c r="C622" t="s">
        <v>25</v>
      </c>
      <c r="D622" s="9">
        <v>30599</v>
      </c>
      <c r="E622" s="9" t="str">
        <f t="shared" si="72"/>
        <v>31-41</v>
      </c>
      <c r="F622">
        <v>40</v>
      </c>
      <c r="G622" t="s">
        <v>21</v>
      </c>
      <c r="H622">
        <v>1</v>
      </c>
      <c r="I622" t="s">
        <v>49</v>
      </c>
      <c r="K622">
        <f t="shared" si="79"/>
        <v>0</v>
      </c>
      <c r="L622">
        <f t="shared" si="73"/>
        <v>0</v>
      </c>
      <c r="M622">
        <f t="shared" si="74"/>
        <v>0</v>
      </c>
      <c r="N622">
        <f t="shared" si="75"/>
        <v>0</v>
      </c>
      <c r="O622">
        <f t="shared" si="76"/>
        <v>1</v>
      </c>
      <c r="P622">
        <f t="shared" si="77"/>
        <v>0</v>
      </c>
      <c r="Q622">
        <f t="shared" si="78"/>
        <v>0</v>
      </c>
      <c r="R622" t="b">
        <v>0</v>
      </c>
      <c r="T622" s="10">
        <v>0.452777777777778</v>
      </c>
      <c r="U622" s="10">
        <v>0.477083333333333</v>
      </c>
      <c r="V622">
        <v>35</v>
      </c>
      <c r="W622" t="b">
        <v>0</v>
      </c>
    </row>
    <row r="623" spans="1:24">
      <c r="A623">
        <v>622</v>
      </c>
      <c r="B623" t="s">
        <v>914</v>
      </c>
      <c r="C623" t="s">
        <v>16</v>
      </c>
      <c r="D623" s="9">
        <v>27874</v>
      </c>
      <c r="E623" s="9" t="str">
        <f t="shared" si="72"/>
        <v>41-50</v>
      </c>
      <c r="F623">
        <v>48</v>
      </c>
      <c r="G623" t="s">
        <v>17</v>
      </c>
      <c r="H623">
        <v>3</v>
      </c>
      <c r="I623" t="s">
        <v>150</v>
      </c>
      <c r="K623">
        <f t="shared" si="79"/>
        <v>0</v>
      </c>
      <c r="L623">
        <f t="shared" si="73"/>
        <v>1</v>
      </c>
      <c r="M623">
        <f t="shared" si="74"/>
        <v>0</v>
      </c>
      <c r="N623">
        <f t="shared" si="75"/>
        <v>1</v>
      </c>
      <c r="O623">
        <f t="shared" si="76"/>
        <v>0</v>
      </c>
      <c r="P623">
        <f t="shared" si="77"/>
        <v>0</v>
      </c>
      <c r="Q623">
        <f t="shared" si="78"/>
        <v>1</v>
      </c>
      <c r="R623" t="b">
        <v>1</v>
      </c>
      <c r="S623" t="s">
        <v>915</v>
      </c>
      <c r="T623" s="10">
        <v>0.645833333333333</v>
      </c>
      <c r="U623" s="10">
        <v>0.741666666666667</v>
      </c>
      <c r="V623">
        <v>138</v>
      </c>
      <c r="W623" t="b">
        <v>1</v>
      </c>
      <c r="X623" t="s">
        <v>50</v>
      </c>
    </row>
    <row r="624" spans="1:24">
      <c r="A624">
        <v>623</v>
      </c>
      <c r="B624" t="s">
        <v>916</v>
      </c>
      <c r="C624" t="s">
        <v>16</v>
      </c>
      <c r="D624" s="9">
        <v>40628</v>
      </c>
      <c r="E624" s="9" t="str">
        <f t="shared" si="72"/>
        <v>below 20</v>
      </c>
      <c r="F624">
        <v>13</v>
      </c>
      <c r="G624" t="s">
        <v>17</v>
      </c>
      <c r="H624">
        <v>2</v>
      </c>
      <c r="I624" t="s">
        <v>138</v>
      </c>
      <c r="K624">
        <f t="shared" si="79"/>
        <v>0</v>
      </c>
      <c r="L624">
        <f t="shared" si="73"/>
        <v>0</v>
      </c>
      <c r="M624">
        <f t="shared" si="74"/>
        <v>1</v>
      </c>
      <c r="N624">
        <f t="shared" si="75"/>
        <v>0</v>
      </c>
      <c r="O624">
        <f t="shared" si="76"/>
        <v>0</v>
      </c>
      <c r="P624">
        <f t="shared" si="77"/>
        <v>1</v>
      </c>
      <c r="Q624">
        <f t="shared" si="78"/>
        <v>0</v>
      </c>
      <c r="R624" t="b">
        <v>1</v>
      </c>
      <c r="S624" t="s">
        <v>917</v>
      </c>
      <c r="T624" s="10">
        <v>0.350694444444444</v>
      </c>
      <c r="U624" s="10">
        <v>0.4</v>
      </c>
      <c r="V624">
        <v>71</v>
      </c>
      <c r="W624" t="b">
        <v>1</v>
      </c>
      <c r="X624" t="s">
        <v>47</v>
      </c>
    </row>
    <row r="625" spans="1:24">
      <c r="A625">
        <v>624</v>
      </c>
      <c r="B625" t="s">
        <v>535</v>
      </c>
      <c r="C625" t="s">
        <v>25</v>
      </c>
      <c r="D625" s="9">
        <v>29524</v>
      </c>
      <c r="E625" s="9" t="str">
        <f t="shared" si="72"/>
        <v>41-50</v>
      </c>
      <c r="F625">
        <v>43</v>
      </c>
      <c r="G625" t="s">
        <v>17</v>
      </c>
      <c r="H625">
        <v>3</v>
      </c>
      <c r="I625" t="s">
        <v>251</v>
      </c>
      <c r="K625">
        <f t="shared" si="79"/>
        <v>1</v>
      </c>
      <c r="L625">
        <f t="shared" si="73"/>
        <v>0</v>
      </c>
      <c r="M625">
        <f t="shared" si="74"/>
        <v>1</v>
      </c>
      <c r="N625">
        <f t="shared" si="75"/>
        <v>1</v>
      </c>
      <c r="O625">
        <f t="shared" si="76"/>
        <v>0</v>
      </c>
      <c r="P625">
        <f t="shared" si="77"/>
        <v>0</v>
      </c>
      <c r="Q625">
        <f t="shared" si="78"/>
        <v>0</v>
      </c>
      <c r="R625" t="b">
        <v>0</v>
      </c>
      <c r="T625" s="10">
        <v>0.360416666666667</v>
      </c>
      <c r="U625" s="10">
        <v>0.41875</v>
      </c>
      <c r="V625">
        <v>84</v>
      </c>
      <c r="W625" t="b">
        <v>0</v>
      </c>
    </row>
    <row r="626" spans="1:24">
      <c r="A626">
        <v>625</v>
      </c>
      <c r="B626" t="s">
        <v>918</v>
      </c>
      <c r="C626" t="s">
        <v>16</v>
      </c>
      <c r="D626" s="9">
        <v>37536</v>
      </c>
      <c r="E626" s="9" t="str">
        <f t="shared" si="72"/>
        <v>20-30</v>
      </c>
      <c r="F626">
        <v>21</v>
      </c>
      <c r="G626" t="s">
        <v>17</v>
      </c>
      <c r="H626">
        <v>4</v>
      </c>
      <c r="I626" t="s">
        <v>421</v>
      </c>
      <c r="K626">
        <f t="shared" si="79"/>
        <v>1</v>
      </c>
      <c r="L626">
        <f t="shared" si="73"/>
        <v>1</v>
      </c>
      <c r="M626">
        <f t="shared" si="74"/>
        <v>0</v>
      </c>
      <c r="N626">
        <f t="shared" si="75"/>
        <v>0</v>
      </c>
      <c r="O626">
        <f t="shared" si="76"/>
        <v>0</v>
      </c>
      <c r="P626">
        <f t="shared" si="77"/>
        <v>1</v>
      </c>
      <c r="Q626">
        <f t="shared" si="78"/>
        <v>1</v>
      </c>
      <c r="R626" t="b">
        <v>0</v>
      </c>
      <c r="T626" s="10">
        <v>0.811111111111111</v>
      </c>
      <c r="U626" s="10">
        <v>0.888194444444444</v>
      </c>
      <c r="V626">
        <v>111</v>
      </c>
      <c r="W626" t="b">
        <v>1</v>
      </c>
      <c r="X626" t="s">
        <v>50</v>
      </c>
    </row>
    <row r="627" spans="1:24">
      <c r="A627">
        <v>626</v>
      </c>
      <c r="B627" t="s">
        <v>919</v>
      </c>
      <c r="C627" t="s">
        <v>25</v>
      </c>
      <c r="D627" s="9">
        <v>37896</v>
      </c>
      <c r="E627" s="9" t="str">
        <f t="shared" si="72"/>
        <v>20-30</v>
      </c>
      <c r="F627">
        <v>21</v>
      </c>
      <c r="G627" t="s">
        <v>21</v>
      </c>
      <c r="H627">
        <v>5</v>
      </c>
      <c r="I627" t="s">
        <v>283</v>
      </c>
      <c r="K627">
        <f t="shared" si="79"/>
        <v>1</v>
      </c>
      <c r="L627">
        <f t="shared" si="73"/>
        <v>1</v>
      </c>
      <c r="M627">
        <f t="shared" si="74"/>
        <v>1</v>
      </c>
      <c r="N627">
        <f t="shared" si="75"/>
        <v>0</v>
      </c>
      <c r="O627">
        <f t="shared" si="76"/>
        <v>1</v>
      </c>
      <c r="P627">
        <f t="shared" si="77"/>
        <v>1</v>
      </c>
      <c r="Q627">
        <f t="shared" si="78"/>
        <v>0</v>
      </c>
      <c r="R627" t="b">
        <v>1</v>
      </c>
      <c r="S627" t="s">
        <v>784</v>
      </c>
      <c r="T627" s="10">
        <v>0.70625</v>
      </c>
      <c r="U627" s="10">
        <v>0.795833333333333</v>
      </c>
      <c r="V627">
        <v>129</v>
      </c>
      <c r="W627" t="b">
        <v>0</v>
      </c>
    </row>
    <row r="628" spans="1:24">
      <c r="A628">
        <v>627</v>
      </c>
      <c r="B628" t="s">
        <v>920</v>
      </c>
      <c r="C628" t="s">
        <v>16</v>
      </c>
      <c r="D628" s="9">
        <v>34869</v>
      </c>
      <c r="E628" s="9" t="str">
        <f t="shared" si="72"/>
        <v>20-30</v>
      </c>
      <c r="F628">
        <v>29</v>
      </c>
      <c r="G628" t="s">
        <v>17</v>
      </c>
      <c r="H628">
        <v>2</v>
      </c>
      <c r="I628" t="s">
        <v>187</v>
      </c>
      <c r="K628">
        <f t="shared" si="79"/>
        <v>0</v>
      </c>
      <c r="L628">
        <f t="shared" si="73"/>
        <v>0</v>
      </c>
      <c r="M628">
        <f t="shared" si="74"/>
        <v>0</v>
      </c>
      <c r="N628">
        <f t="shared" si="75"/>
        <v>1</v>
      </c>
      <c r="O628">
        <f t="shared" si="76"/>
        <v>1</v>
      </c>
      <c r="P628">
        <f t="shared" si="77"/>
        <v>0</v>
      </c>
      <c r="Q628">
        <f t="shared" si="78"/>
        <v>0</v>
      </c>
      <c r="R628" t="b">
        <v>1</v>
      </c>
      <c r="S628" t="s">
        <v>521</v>
      </c>
      <c r="T628" s="10">
        <v>0.833333333333333</v>
      </c>
      <c r="U628" s="10">
        <v>0.930555555555555</v>
      </c>
      <c r="V628">
        <v>140</v>
      </c>
      <c r="W628" t="b">
        <v>1</v>
      </c>
      <c r="X628" t="s">
        <v>23</v>
      </c>
    </row>
    <row r="629" spans="1:24">
      <c r="A629">
        <v>628</v>
      </c>
      <c r="B629" t="s">
        <v>921</v>
      </c>
      <c r="C629" t="s">
        <v>25</v>
      </c>
      <c r="D629" s="9">
        <v>31085</v>
      </c>
      <c r="E629" s="9" t="str">
        <f t="shared" si="72"/>
        <v>31-41</v>
      </c>
      <c r="F629">
        <v>39</v>
      </c>
      <c r="G629" t="s">
        <v>21</v>
      </c>
      <c r="H629">
        <v>2</v>
      </c>
      <c r="I629" t="s">
        <v>187</v>
      </c>
      <c r="K629">
        <f t="shared" si="79"/>
        <v>0</v>
      </c>
      <c r="L629">
        <f t="shared" si="73"/>
        <v>0</v>
      </c>
      <c r="M629">
        <f t="shared" si="74"/>
        <v>0</v>
      </c>
      <c r="N629">
        <f t="shared" si="75"/>
        <v>1</v>
      </c>
      <c r="O629">
        <f t="shared" si="76"/>
        <v>1</v>
      </c>
      <c r="P629">
        <f t="shared" si="77"/>
        <v>0</v>
      </c>
      <c r="Q629">
        <f t="shared" si="78"/>
        <v>0</v>
      </c>
      <c r="R629" t="b">
        <v>0</v>
      </c>
      <c r="T629" s="10">
        <v>0.703472222222222</v>
      </c>
      <c r="U629" s="10">
        <v>0.807638888888889</v>
      </c>
      <c r="V629">
        <v>150</v>
      </c>
      <c r="W629" t="b">
        <v>1</v>
      </c>
      <c r="X629" t="s">
        <v>28</v>
      </c>
    </row>
    <row r="630" spans="1:24">
      <c r="A630">
        <v>629</v>
      </c>
      <c r="B630" t="s">
        <v>701</v>
      </c>
      <c r="C630" t="s">
        <v>25</v>
      </c>
      <c r="D630" s="9">
        <v>39302</v>
      </c>
      <c r="E630" s="9" t="str">
        <f t="shared" si="72"/>
        <v>below 20</v>
      </c>
      <c r="F630">
        <v>17</v>
      </c>
      <c r="G630" t="s">
        <v>21</v>
      </c>
      <c r="H630">
        <v>3</v>
      </c>
      <c r="I630" t="s">
        <v>321</v>
      </c>
      <c r="K630">
        <f t="shared" si="79"/>
        <v>0</v>
      </c>
      <c r="L630">
        <f t="shared" si="73"/>
        <v>0</v>
      </c>
      <c r="M630">
        <f t="shared" si="74"/>
        <v>0</v>
      </c>
      <c r="N630">
        <f t="shared" si="75"/>
        <v>1</v>
      </c>
      <c r="O630">
        <f t="shared" si="76"/>
        <v>0</v>
      </c>
      <c r="P630">
        <f t="shared" si="77"/>
        <v>1</v>
      </c>
      <c r="Q630">
        <f t="shared" si="78"/>
        <v>1</v>
      </c>
      <c r="R630" t="b">
        <v>0</v>
      </c>
      <c r="T630" s="10">
        <v>0.459722222222222</v>
      </c>
      <c r="U630" s="10">
        <v>0.549305555555556</v>
      </c>
      <c r="V630">
        <v>129</v>
      </c>
      <c r="W630" t="b">
        <v>1</v>
      </c>
      <c r="X630" t="s">
        <v>23</v>
      </c>
    </row>
    <row r="631" spans="1:24">
      <c r="A631">
        <v>630</v>
      </c>
      <c r="B631" t="s">
        <v>922</v>
      </c>
      <c r="C631" t="s">
        <v>25</v>
      </c>
      <c r="D631" s="9">
        <v>37827</v>
      </c>
      <c r="E631" s="9" t="str">
        <f t="shared" si="72"/>
        <v>20-30</v>
      </c>
      <c r="F631">
        <v>21</v>
      </c>
      <c r="G631" t="s">
        <v>21</v>
      </c>
      <c r="H631">
        <v>5</v>
      </c>
      <c r="I631" t="s">
        <v>412</v>
      </c>
      <c r="K631">
        <f t="shared" si="79"/>
        <v>1</v>
      </c>
      <c r="L631">
        <f t="shared" si="73"/>
        <v>0</v>
      </c>
      <c r="M631">
        <f t="shared" si="74"/>
        <v>1</v>
      </c>
      <c r="N631">
        <f t="shared" si="75"/>
        <v>0</v>
      </c>
      <c r="O631">
        <f t="shared" si="76"/>
        <v>1</v>
      </c>
      <c r="P631">
        <f t="shared" si="77"/>
        <v>1</v>
      </c>
      <c r="Q631">
        <f t="shared" si="78"/>
        <v>1</v>
      </c>
      <c r="R631" t="b">
        <v>0</v>
      </c>
      <c r="T631" s="10">
        <v>0.603472222222222</v>
      </c>
      <c r="U631" s="10">
        <v>0.695833333333333</v>
      </c>
      <c r="V631">
        <v>133</v>
      </c>
      <c r="W631" t="b">
        <v>1</v>
      </c>
      <c r="X631" t="s">
        <v>23</v>
      </c>
    </row>
    <row r="632" spans="1:24">
      <c r="A632">
        <v>631</v>
      </c>
      <c r="B632" t="s">
        <v>923</v>
      </c>
      <c r="C632" t="s">
        <v>16</v>
      </c>
      <c r="D632" s="9">
        <v>35129</v>
      </c>
      <c r="E632" s="9" t="str">
        <f t="shared" si="72"/>
        <v>20-30</v>
      </c>
      <c r="F632">
        <v>28</v>
      </c>
      <c r="G632" t="s">
        <v>21</v>
      </c>
      <c r="H632">
        <v>3</v>
      </c>
      <c r="I632" t="s">
        <v>266</v>
      </c>
      <c r="K632">
        <f t="shared" si="79"/>
        <v>1</v>
      </c>
      <c r="L632">
        <f t="shared" si="73"/>
        <v>0</v>
      </c>
      <c r="M632">
        <f t="shared" si="74"/>
        <v>0</v>
      </c>
      <c r="N632">
        <f t="shared" si="75"/>
        <v>0</v>
      </c>
      <c r="O632">
        <f t="shared" si="76"/>
        <v>1</v>
      </c>
      <c r="P632">
        <f t="shared" si="77"/>
        <v>1</v>
      </c>
      <c r="Q632">
        <f t="shared" si="78"/>
        <v>0</v>
      </c>
      <c r="R632" t="b">
        <v>0</v>
      </c>
      <c r="T632" s="10">
        <v>0.368055555555556</v>
      </c>
      <c r="U632" s="10">
        <v>0.427083333333333</v>
      </c>
      <c r="V632">
        <v>85</v>
      </c>
      <c r="W632" t="b">
        <v>1</v>
      </c>
      <c r="X632" t="s">
        <v>50</v>
      </c>
    </row>
    <row r="633" spans="1:24">
      <c r="A633">
        <v>632</v>
      </c>
      <c r="B633" t="s">
        <v>924</v>
      </c>
      <c r="C633" t="s">
        <v>25</v>
      </c>
      <c r="D633" s="9">
        <v>31863</v>
      </c>
      <c r="E633" s="9" t="str">
        <f t="shared" si="72"/>
        <v>31-41</v>
      </c>
      <c r="F633">
        <v>37</v>
      </c>
      <c r="G633" t="s">
        <v>17</v>
      </c>
      <c r="H633">
        <v>1</v>
      </c>
      <c r="I633" t="s">
        <v>59</v>
      </c>
      <c r="K633">
        <f t="shared" si="79"/>
        <v>0</v>
      </c>
      <c r="L633">
        <f t="shared" si="73"/>
        <v>0</v>
      </c>
      <c r="M633">
        <f t="shared" si="74"/>
        <v>0</v>
      </c>
      <c r="N633">
        <f t="shared" si="75"/>
        <v>0</v>
      </c>
      <c r="O633">
        <f t="shared" si="76"/>
        <v>0</v>
      </c>
      <c r="P633">
        <f t="shared" si="77"/>
        <v>0</v>
      </c>
      <c r="Q633">
        <f t="shared" si="78"/>
        <v>1</v>
      </c>
      <c r="R633" t="b">
        <v>1</v>
      </c>
      <c r="S633" t="s">
        <v>174</v>
      </c>
      <c r="T633" s="10">
        <v>0.511111111111111</v>
      </c>
      <c r="U633" s="10">
        <v>0.565972222222222</v>
      </c>
      <c r="V633">
        <v>79</v>
      </c>
      <c r="W633" t="b">
        <v>0</v>
      </c>
    </row>
    <row r="634" spans="1:24">
      <c r="A634">
        <v>633</v>
      </c>
      <c r="B634" t="s">
        <v>925</v>
      </c>
      <c r="C634" t="s">
        <v>16</v>
      </c>
      <c r="D634" s="9">
        <v>35716</v>
      </c>
      <c r="E634" s="9" t="str">
        <f t="shared" si="72"/>
        <v>20-30</v>
      </c>
      <c r="F634">
        <v>26</v>
      </c>
      <c r="G634" t="s">
        <v>17</v>
      </c>
      <c r="H634">
        <v>5</v>
      </c>
      <c r="I634" t="s">
        <v>192</v>
      </c>
      <c r="K634">
        <f t="shared" si="79"/>
        <v>1</v>
      </c>
      <c r="L634">
        <f t="shared" si="73"/>
        <v>1</v>
      </c>
      <c r="M634">
        <f t="shared" si="74"/>
        <v>1</v>
      </c>
      <c r="N634">
        <f t="shared" si="75"/>
        <v>0</v>
      </c>
      <c r="O634">
        <f t="shared" si="76"/>
        <v>0</v>
      </c>
      <c r="P634">
        <f t="shared" si="77"/>
        <v>1</v>
      </c>
      <c r="Q634">
        <f t="shared" si="78"/>
        <v>1</v>
      </c>
      <c r="R634" t="b">
        <v>1</v>
      </c>
      <c r="S634" t="s">
        <v>926</v>
      </c>
      <c r="T634" s="10">
        <v>0.6125</v>
      </c>
      <c r="U634" s="10">
        <v>0.707638888888889</v>
      </c>
      <c r="V634">
        <v>137</v>
      </c>
      <c r="W634" t="b">
        <v>0</v>
      </c>
    </row>
    <row r="635" spans="1:24">
      <c r="A635">
        <v>634</v>
      </c>
      <c r="B635" t="s">
        <v>927</v>
      </c>
      <c r="C635" t="s">
        <v>16</v>
      </c>
      <c r="D635" s="9">
        <v>36516</v>
      </c>
      <c r="E635" s="9" t="str">
        <f t="shared" si="72"/>
        <v>20-30</v>
      </c>
      <c r="F635">
        <v>24</v>
      </c>
      <c r="G635" t="s">
        <v>17</v>
      </c>
      <c r="H635">
        <v>1</v>
      </c>
      <c r="I635" t="s">
        <v>49</v>
      </c>
      <c r="K635">
        <f t="shared" si="79"/>
        <v>0</v>
      </c>
      <c r="L635">
        <f t="shared" si="73"/>
        <v>0</v>
      </c>
      <c r="M635">
        <f t="shared" si="74"/>
        <v>0</v>
      </c>
      <c r="N635">
        <f t="shared" si="75"/>
        <v>0</v>
      </c>
      <c r="O635">
        <f t="shared" si="76"/>
        <v>1</v>
      </c>
      <c r="P635">
        <f t="shared" si="77"/>
        <v>0</v>
      </c>
      <c r="Q635">
        <f t="shared" si="78"/>
        <v>0</v>
      </c>
      <c r="R635" t="b">
        <v>0</v>
      </c>
      <c r="T635" s="10">
        <v>0.702083333333333</v>
      </c>
      <c r="U635" s="10">
        <v>0.74375</v>
      </c>
      <c r="V635">
        <v>60</v>
      </c>
      <c r="W635" t="b">
        <v>1</v>
      </c>
      <c r="X635" t="s">
        <v>28</v>
      </c>
    </row>
    <row r="636" spans="1:24">
      <c r="A636">
        <v>635</v>
      </c>
      <c r="B636" t="s">
        <v>928</v>
      </c>
      <c r="C636" t="s">
        <v>16</v>
      </c>
      <c r="D636" s="9">
        <v>38689</v>
      </c>
      <c r="E636" s="9" t="str">
        <f t="shared" si="72"/>
        <v>below 20</v>
      </c>
      <c r="F636">
        <v>18</v>
      </c>
      <c r="G636" t="s">
        <v>17</v>
      </c>
      <c r="H636">
        <v>1</v>
      </c>
      <c r="I636" t="s">
        <v>81</v>
      </c>
      <c r="K636">
        <f t="shared" si="79"/>
        <v>0</v>
      </c>
      <c r="L636">
        <f t="shared" si="73"/>
        <v>0</v>
      </c>
      <c r="M636">
        <f t="shared" si="74"/>
        <v>0</v>
      </c>
      <c r="N636">
        <f t="shared" si="75"/>
        <v>0</v>
      </c>
      <c r="O636">
        <f t="shared" si="76"/>
        <v>0</v>
      </c>
      <c r="P636">
        <f t="shared" si="77"/>
        <v>1</v>
      </c>
      <c r="Q636">
        <f t="shared" si="78"/>
        <v>0</v>
      </c>
      <c r="R636" t="b">
        <v>0</v>
      </c>
      <c r="T636" s="10">
        <v>0.384027777777778</v>
      </c>
      <c r="U636" s="10">
        <v>0.5</v>
      </c>
      <c r="V636">
        <v>167</v>
      </c>
      <c r="W636" t="b">
        <v>1</v>
      </c>
      <c r="X636" t="s">
        <v>50</v>
      </c>
    </row>
    <row r="637" spans="1:24">
      <c r="A637">
        <v>636</v>
      </c>
      <c r="B637" t="s">
        <v>929</v>
      </c>
      <c r="C637" t="s">
        <v>16</v>
      </c>
      <c r="D637" s="9">
        <v>35802</v>
      </c>
      <c r="E637" s="9" t="str">
        <f t="shared" si="72"/>
        <v>20-30</v>
      </c>
      <c r="F637">
        <v>26</v>
      </c>
      <c r="G637" t="s">
        <v>21</v>
      </c>
      <c r="H637">
        <v>3</v>
      </c>
      <c r="I637" t="s">
        <v>241</v>
      </c>
      <c r="K637">
        <f t="shared" si="79"/>
        <v>0</v>
      </c>
      <c r="L637">
        <f t="shared" si="73"/>
        <v>0</v>
      </c>
      <c r="M637">
        <f t="shared" si="74"/>
        <v>1</v>
      </c>
      <c r="N637">
        <f t="shared" si="75"/>
        <v>1</v>
      </c>
      <c r="O637">
        <f t="shared" si="76"/>
        <v>1</v>
      </c>
      <c r="P637">
        <f t="shared" si="77"/>
        <v>0</v>
      </c>
      <c r="Q637">
        <f t="shared" si="78"/>
        <v>0</v>
      </c>
      <c r="R637" t="b">
        <v>1</v>
      </c>
      <c r="S637" t="s">
        <v>638</v>
      </c>
      <c r="T637" s="10">
        <v>0.558333333333333</v>
      </c>
      <c r="U637" s="10">
        <v>0.626388888888889</v>
      </c>
      <c r="V637">
        <v>98</v>
      </c>
      <c r="W637" t="b">
        <v>1</v>
      </c>
      <c r="X637" t="s">
        <v>28</v>
      </c>
    </row>
    <row r="638" spans="1:24">
      <c r="A638">
        <v>637</v>
      </c>
      <c r="B638" t="s">
        <v>930</v>
      </c>
      <c r="C638" t="s">
        <v>25</v>
      </c>
      <c r="D638" s="9">
        <v>37057</v>
      </c>
      <c r="E638" s="9" t="str">
        <f t="shared" si="72"/>
        <v>20-30</v>
      </c>
      <c r="F638">
        <v>23</v>
      </c>
      <c r="G638" t="s">
        <v>21</v>
      </c>
      <c r="H638">
        <v>1</v>
      </c>
      <c r="I638" t="s">
        <v>59</v>
      </c>
      <c r="K638">
        <f t="shared" si="79"/>
        <v>0</v>
      </c>
      <c r="L638">
        <f t="shared" si="73"/>
        <v>0</v>
      </c>
      <c r="M638">
        <f t="shared" si="74"/>
        <v>0</v>
      </c>
      <c r="N638">
        <f t="shared" si="75"/>
        <v>0</v>
      </c>
      <c r="O638">
        <f t="shared" si="76"/>
        <v>0</v>
      </c>
      <c r="P638">
        <f t="shared" si="77"/>
        <v>0</v>
      </c>
      <c r="Q638">
        <f t="shared" si="78"/>
        <v>1</v>
      </c>
      <c r="R638" t="b">
        <v>0</v>
      </c>
      <c r="T638" s="10">
        <v>0.417361111111111</v>
      </c>
      <c r="U638" s="10">
        <v>0.440972222222222</v>
      </c>
      <c r="V638">
        <v>34</v>
      </c>
      <c r="W638" t="b">
        <v>0</v>
      </c>
    </row>
    <row r="639" spans="1:24">
      <c r="A639">
        <v>638</v>
      </c>
      <c r="B639" t="s">
        <v>931</v>
      </c>
      <c r="C639" t="s">
        <v>16</v>
      </c>
      <c r="D639" s="9">
        <v>38658</v>
      </c>
      <c r="E639" s="9" t="str">
        <f t="shared" si="72"/>
        <v>below 20</v>
      </c>
      <c r="F639">
        <v>18</v>
      </c>
      <c r="G639" t="s">
        <v>17</v>
      </c>
      <c r="H639">
        <v>2</v>
      </c>
      <c r="I639" t="s">
        <v>210</v>
      </c>
      <c r="K639">
        <f t="shared" si="79"/>
        <v>0</v>
      </c>
      <c r="L639">
        <f t="shared" si="73"/>
        <v>1</v>
      </c>
      <c r="M639">
        <f t="shared" si="74"/>
        <v>0</v>
      </c>
      <c r="N639">
        <f t="shared" si="75"/>
        <v>0</v>
      </c>
      <c r="O639">
        <f t="shared" si="76"/>
        <v>0</v>
      </c>
      <c r="P639">
        <f t="shared" si="77"/>
        <v>1</v>
      </c>
      <c r="Q639">
        <f t="shared" si="78"/>
        <v>0</v>
      </c>
      <c r="R639" t="b">
        <v>0</v>
      </c>
      <c r="T639" s="10">
        <v>0.822916666666667</v>
      </c>
      <c r="U639" s="10">
        <v>0.903472222222222</v>
      </c>
      <c r="V639">
        <v>116</v>
      </c>
      <c r="W639" t="b">
        <v>1</v>
      </c>
      <c r="X639" t="s">
        <v>23</v>
      </c>
    </row>
    <row r="640" spans="1:24">
      <c r="A640">
        <v>639</v>
      </c>
      <c r="B640" t="s">
        <v>932</v>
      </c>
      <c r="C640" t="s">
        <v>16</v>
      </c>
      <c r="D640" s="9">
        <v>36440</v>
      </c>
      <c r="E640" s="9" t="str">
        <f t="shared" si="72"/>
        <v>20-30</v>
      </c>
      <c r="F640">
        <v>24</v>
      </c>
      <c r="G640" t="s">
        <v>17</v>
      </c>
      <c r="H640">
        <v>4</v>
      </c>
      <c r="I640" t="s">
        <v>482</v>
      </c>
      <c r="K640">
        <f t="shared" si="79"/>
        <v>1</v>
      </c>
      <c r="L640">
        <f t="shared" si="73"/>
        <v>1</v>
      </c>
      <c r="M640">
        <f t="shared" si="74"/>
        <v>1</v>
      </c>
      <c r="N640">
        <f t="shared" si="75"/>
        <v>1</v>
      </c>
      <c r="O640">
        <f t="shared" si="76"/>
        <v>0</v>
      </c>
      <c r="P640">
        <f t="shared" si="77"/>
        <v>0</v>
      </c>
      <c r="Q640">
        <f t="shared" si="78"/>
        <v>0</v>
      </c>
      <c r="R640" t="b">
        <v>1</v>
      </c>
      <c r="S640" t="s">
        <v>933</v>
      </c>
      <c r="T640" s="10">
        <v>0.392361111111111</v>
      </c>
      <c r="U640" s="10">
        <v>0.505555555555556</v>
      </c>
      <c r="V640">
        <v>163</v>
      </c>
      <c r="W640" t="b">
        <v>0</v>
      </c>
    </row>
    <row r="641" spans="1:24">
      <c r="A641">
        <v>640</v>
      </c>
      <c r="B641" t="s">
        <v>934</v>
      </c>
      <c r="C641" t="s">
        <v>16</v>
      </c>
      <c r="D641" s="9">
        <v>39178</v>
      </c>
      <c r="E641" s="9" t="str">
        <f t="shared" si="72"/>
        <v>below 20</v>
      </c>
      <c r="F641">
        <v>17</v>
      </c>
      <c r="G641" t="s">
        <v>17</v>
      </c>
      <c r="H641">
        <v>5</v>
      </c>
      <c r="I641" t="s">
        <v>289</v>
      </c>
      <c r="K641">
        <f t="shared" si="79"/>
        <v>1</v>
      </c>
      <c r="L641">
        <f t="shared" si="73"/>
        <v>1</v>
      </c>
      <c r="M641">
        <f t="shared" si="74"/>
        <v>1</v>
      </c>
      <c r="N641">
        <f t="shared" si="75"/>
        <v>1</v>
      </c>
      <c r="O641">
        <f t="shared" si="76"/>
        <v>1</v>
      </c>
      <c r="P641">
        <f t="shared" si="77"/>
        <v>0</v>
      </c>
      <c r="Q641">
        <f t="shared" si="78"/>
        <v>0</v>
      </c>
      <c r="R641" t="b">
        <v>1</v>
      </c>
      <c r="S641" t="s">
        <v>935</v>
      </c>
      <c r="T641" s="10">
        <v>0.416666666666667</v>
      </c>
      <c r="U641" s="10">
        <v>0.534722222222222</v>
      </c>
      <c r="V641">
        <v>170</v>
      </c>
      <c r="W641" t="b">
        <v>0</v>
      </c>
    </row>
    <row r="642" spans="1:24">
      <c r="A642">
        <v>641</v>
      </c>
      <c r="B642" t="s">
        <v>936</v>
      </c>
      <c r="C642" t="s">
        <v>16</v>
      </c>
      <c r="D642" s="9">
        <v>36389</v>
      </c>
      <c r="E642" s="9" t="str">
        <f t="shared" ref="E642:E705" si="80">IF(F642&lt;20,"below 20",IF(F642&lt;=30,"20-30",IF(F642&lt;=40,"31-41",IF(F642&lt;=50,"41-50","above 50"))))</f>
        <v>20-30</v>
      </c>
      <c r="F642">
        <v>25</v>
      </c>
      <c r="G642" t="s">
        <v>17</v>
      </c>
      <c r="H642">
        <v>1</v>
      </c>
      <c r="I642" t="s">
        <v>59</v>
      </c>
      <c r="K642">
        <f t="shared" si="79"/>
        <v>0</v>
      </c>
      <c r="L642">
        <f t="shared" si="73"/>
        <v>0</v>
      </c>
      <c r="M642">
        <f t="shared" si="74"/>
        <v>0</v>
      </c>
      <c r="N642">
        <f t="shared" si="75"/>
        <v>0</v>
      </c>
      <c r="O642">
        <f t="shared" si="76"/>
        <v>0</v>
      </c>
      <c r="P642">
        <f t="shared" si="77"/>
        <v>0</v>
      </c>
      <c r="Q642">
        <f t="shared" si="78"/>
        <v>1</v>
      </c>
      <c r="R642" t="b">
        <v>0</v>
      </c>
      <c r="T642" s="10">
        <v>0.359027777777778</v>
      </c>
      <c r="U642" s="10">
        <v>0.470833333333333</v>
      </c>
      <c r="V642">
        <v>161</v>
      </c>
      <c r="W642" t="b">
        <v>1</v>
      </c>
      <c r="X642" t="s">
        <v>23</v>
      </c>
    </row>
    <row r="643" spans="1:24">
      <c r="A643">
        <v>642</v>
      </c>
      <c r="B643" t="s">
        <v>937</v>
      </c>
      <c r="C643" t="s">
        <v>16</v>
      </c>
      <c r="D643" s="9">
        <v>28070</v>
      </c>
      <c r="E643" s="9" t="str">
        <f t="shared" si="80"/>
        <v>41-50</v>
      </c>
      <c r="F643">
        <v>47</v>
      </c>
      <c r="G643" t="s">
        <v>21</v>
      </c>
      <c r="H643">
        <v>2</v>
      </c>
      <c r="I643" t="s">
        <v>101</v>
      </c>
      <c r="K643">
        <f t="shared" si="79"/>
        <v>0</v>
      </c>
      <c r="L643">
        <f t="shared" ref="L643:L706" si="81">--ISNUMBER(SEARCH("Mon",I643))</f>
        <v>0</v>
      </c>
      <c r="M643">
        <f t="shared" ref="M643:M706" si="82">--ISNUMBER(SEARCH("Tue",I643))</f>
        <v>0</v>
      </c>
      <c r="N643">
        <f t="shared" ref="N643:N706" si="83">--ISNUMBER(SEARCH("Wed",I643))</f>
        <v>0</v>
      </c>
      <c r="O643">
        <f t="shared" ref="O643:O706" si="84">--ISNUMBER(SEARCH("Thu",I643))</f>
        <v>0</v>
      </c>
      <c r="P643">
        <f t="shared" ref="P643:P706" si="85">--ISNUMBER(SEARCH("Fri",I643))</f>
        <v>1</v>
      </c>
      <c r="Q643">
        <f t="shared" ref="Q643:Q706" si="86">--ISNUMBER(SEARCH("Sat",I643))</f>
        <v>1</v>
      </c>
      <c r="R643" t="b">
        <v>1</v>
      </c>
      <c r="S643" t="s">
        <v>201</v>
      </c>
      <c r="T643" s="10">
        <v>0.529166666666667</v>
      </c>
      <c r="U643" s="10">
        <v>0.570138888888889</v>
      </c>
      <c r="V643">
        <v>59</v>
      </c>
      <c r="W643" t="b">
        <v>1</v>
      </c>
      <c r="X643" t="s">
        <v>28</v>
      </c>
    </row>
    <row r="644" spans="1:24">
      <c r="A644">
        <v>643</v>
      </c>
      <c r="B644" t="s">
        <v>938</v>
      </c>
      <c r="C644" t="s">
        <v>25</v>
      </c>
      <c r="D644" s="9">
        <v>36366</v>
      </c>
      <c r="E644" s="9" t="str">
        <f t="shared" si="80"/>
        <v>20-30</v>
      </c>
      <c r="F644">
        <v>25</v>
      </c>
      <c r="G644" t="s">
        <v>17</v>
      </c>
      <c r="H644">
        <v>2</v>
      </c>
      <c r="I644" t="s">
        <v>69</v>
      </c>
      <c r="K644">
        <f t="shared" si="79"/>
        <v>0</v>
      </c>
      <c r="L644">
        <f t="shared" si="81"/>
        <v>0</v>
      </c>
      <c r="M644">
        <f t="shared" si="82"/>
        <v>0</v>
      </c>
      <c r="N644">
        <f t="shared" si="83"/>
        <v>1</v>
      </c>
      <c r="O644">
        <f t="shared" si="84"/>
        <v>0</v>
      </c>
      <c r="P644">
        <f t="shared" si="85"/>
        <v>0</v>
      </c>
      <c r="Q644">
        <f t="shared" si="86"/>
        <v>1</v>
      </c>
      <c r="R644" t="b">
        <v>1</v>
      </c>
      <c r="S644" t="s">
        <v>230</v>
      </c>
      <c r="T644" s="10">
        <v>0.854861111111111</v>
      </c>
      <c r="U644" s="10">
        <v>0.920833333333333</v>
      </c>
      <c r="V644">
        <v>95</v>
      </c>
      <c r="W644" t="b">
        <v>1</v>
      </c>
      <c r="X644" t="s">
        <v>47</v>
      </c>
    </row>
    <row r="645" spans="1:24">
      <c r="A645">
        <v>644</v>
      </c>
      <c r="B645" t="s">
        <v>939</v>
      </c>
      <c r="C645" t="s">
        <v>16</v>
      </c>
      <c r="D645" s="9">
        <v>40375</v>
      </c>
      <c r="E645" s="9" t="str">
        <f t="shared" si="80"/>
        <v>below 20</v>
      </c>
      <c r="F645">
        <v>14</v>
      </c>
      <c r="G645" t="s">
        <v>17</v>
      </c>
      <c r="H645">
        <v>5</v>
      </c>
      <c r="I645" t="s">
        <v>347</v>
      </c>
      <c r="K645">
        <f t="shared" ref="K645:K708" si="87">--ISNUMBER(SEARCH("Sun",I645))</f>
        <v>0</v>
      </c>
      <c r="L645">
        <f t="shared" si="81"/>
        <v>1</v>
      </c>
      <c r="M645">
        <f t="shared" si="82"/>
        <v>1</v>
      </c>
      <c r="N645">
        <f t="shared" si="83"/>
        <v>0</v>
      </c>
      <c r="O645">
        <f t="shared" si="84"/>
        <v>1</v>
      </c>
      <c r="P645">
        <f t="shared" si="85"/>
        <v>1</v>
      </c>
      <c r="Q645">
        <f t="shared" si="86"/>
        <v>1</v>
      </c>
      <c r="R645" t="b">
        <v>1</v>
      </c>
      <c r="S645" t="s">
        <v>217</v>
      </c>
      <c r="T645" s="10">
        <v>0.5375</v>
      </c>
      <c r="U645" s="10">
        <v>0.614583333333333</v>
      </c>
      <c r="V645">
        <v>111</v>
      </c>
      <c r="W645" t="b">
        <v>1</v>
      </c>
      <c r="X645" t="s">
        <v>23</v>
      </c>
    </row>
    <row r="646" spans="1:24">
      <c r="A646">
        <v>645</v>
      </c>
      <c r="B646" t="s">
        <v>940</v>
      </c>
      <c r="C646" t="s">
        <v>25</v>
      </c>
      <c r="D646" s="9">
        <v>40453</v>
      </c>
      <c r="E646" s="9" t="str">
        <f t="shared" si="80"/>
        <v>below 20</v>
      </c>
      <c r="F646">
        <v>14</v>
      </c>
      <c r="G646" t="s">
        <v>17</v>
      </c>
      <c r="H646">
        <v>3</v>
      </c>
      <c r="I646" t="s">
        <v>22</v>
      </c>
      <c r="K646">
        <f t="shared" si="87"/>
        <v>1</v>
      </c>
      <c r="L646">
        <f t="shared" si="81"/>
        <v>0</v>
      </c>
      <c r="M646">
        <f t="shared" si="82"/>
        <v>0</v>
      </c>
      <c r="N646">
        <f t="shared" si="83"/>
        <v>0</v>
      </c>
      <c r="O646">
        <f t="shared" si="84"/>
        <v>0</v>
      </c>
      <c r="P646">
        <f t="shared" si="85"/>
        <v>1</v>
      </c>
      <c r="Q646">
        <f t="shared" si="86"/>
        <v>1</v>
      </c>
      <c r="R646" t="b">
        <v>1</v>
      </c>
      <c r="S646" t="s">
        <v>319</v>
      </c>
      <c r="T646" s="10">
        <v>0.724305555555556</v>
      </c>
      <c r="U646" s="10">
        <v>0.774305555555555</v>
      </c>
      <c r="V646">
        <v>72</v>
      </c>
      <c r="W646" t="b">
        <v>0</v>
      </c>
    </row>
    <row r="647" spans="1:24">
      <c r="A647">
        <v>646</v>
      </c>
      <c r="B647" t="s">
        <v>941</v>
      </c>
      <c r="C647" t="s">
        <v>25</v>
      </c>
      <c r="D647" s="9">
        <v>27622</v>
      </c>
      <c r="E647" s="9" t="str">
        <f t="shared" si="80"/>
        <v>41-50</v>
      </c>
      <c r="F647">
        <v>49</v>
      </c>
      <c r="G647" t="s">
        <v>17</v>
      </c>
      <c r="H647">
        <v>3</v>
      </c>
      <c r="I647" t="s">
        <v>315</v>
      </c>
      <c r="K647">
        <f t="shared" si="87"/>
        <v>0</v>
      </c>
      <c r="L647">
        <f t="shared" si="81"/>
        <v>0</v>
      </c>
      <c r="M647">
        <f t="shared" si="82"/>
        <v>1</v>
      </c>
      <c r="N647">
        <f t="shared" si="83"/>
        <v>0</v>
      </c>
      <c r="O647">
        <f t="shared" si="84"/>
        <v>1</v>
      </c>
      <c r="P647">
        <f t="shared" si="85"/>
        <v>0</v>
      </c>
      <c r="Q647">
        <f t="shared" si="86"/>
        <v>1</v>
      </c>
      <c r="R647" t="b">
        <v>0</v>
      </c>
      <c r="T647" s="10">
        <v>0.719444444444444</v>
      </c>
      <c r="U647" s="10">
        <v>0.843055555555556</v>
      </c>
      <c r="V647">
        <v>178</v>
      </c>
      <c r="W647" t="b">
        <v>0</v>
      </c>
    </row>
    <row r="648" spans="1:24">
      <c r="A648">
        <v>647</v>
      </c>
      <c r="B648" t="s">
        <v>942</v>
      </c>
      <c r="C648" t="s">
        <v>25</v>
      </c>
      <c r="D648" s="9">
        <v>36733</v>
      </c>
      <c r="E648" s="9" t="str">
        <f t="shared" si="80"/>
        <v>20-30</v>
      </c>
      <c r="F648">
        <v>24</v>
      </c>
      <c r="G648" t="s">
        <v>21</v>
      </c>
      <c r="H648">
        <v>2</v>
      </c>
      <c r="I648" t="s">
        <v>40</v>
      </c>
      <c r="K648">
        <f t="shared" si="87"/>
        <v>1</v>
      </c>
      <c r="L648">
        <f t="shared" si="81"/>
        <v>0</v>
      </c>
      <c r="M648">
        <f t="shared" si="82"/>
        <v>0</v>
      </c>
      <c r="N648">
        <f t="shared" si="83"/>
        <v>0</v>
      </c>
      <c r="O648">
        <f t="shared" si="84"/>
        <v>0</v>
      </c>
      <c r="P648">
        <f t="shared" si="85"/>
        <v>0</v>
      </c>
      <c r="Q648">
        <f t="shared" si="86"/>
        <v>1</v>
      </c>
      <c r="R648" t="b">
        <v>1</v>
      </c>
      <c r="S648" t="s">
        <v>943</v>
      </c>
      <c r="T648" s="10">
        <v>0.790277777777778</v>
      </c>
      <c r="U648" s="10">
        <v>0.911805555555556</v>
      </c>
      <c r="V648">
        <v>175</v>
      </c>
      <c r="W648" t="b">
        <v>0</v>
      </c>
    </row>
    <row r="649" spans="1:24">
      <c r="A649">
        <v>648</v>
      </c>
      <c r="B649" t="s">
        <v>944</v>
      </c>
      <c r="C649" t="s">
        <v>16</v>
      </c>
      <c r="D649" s="9">
        <v>36060</v>
      </c>
      <c r="E649" s="9" t="str">
        <f t="shared" si="80"/>
        <v>20-30</v>
      </c>
      <c r="F649">
        <v>26</v>
      </c>
      <c r="G649" t="s">
        <v>21</v>
      </c>
      <c r="H649">
        <v>1</v>
      </c>
      <c r="I649" t="s">
        <v>35</v>
      </c>
      <c r="K649">
        <f t="shared" si="87"/>
        <v>0</v>
      </c>
      <c r="L649">
        <f t="shared" si="81"/>
        <v>0</v>
      </c>
      <c r="M649">
        <f t="shared" si="82"/>
        <v>1</v>
      </c>
      <c r="N649">
        <f t="shared" si="83"/>
        <v>0</v>
      </c>
      <c r="O649">
        <f t="shared" si="84"/>
        <v>0</v>
      </c>
      <c r="P649">
        <f t="shared" si="85"/>
        <v>0</v>
      </c>
      <c r="Q649">
        <f t="shared" si="86"/>
        <v>0</v>
      </c>
      <c r="R649" t="b">
        <v>1</v>
      </c>
      <c r="S649" t="s">
        <v>262</v>
      </c>
      <c r="T649" s="10">
        <v>0.530555555555556</v>
      </c>
      <c r="U649" s="10">
        <v>0.64375</v>
      </c>
      <c r="V649">
        <v>163</v>
      </c>
      <c r="W649" t="b">
        <v>0</v>
      </c>
    </row>
    <row r="650" spans="1:24">
      <c r="A650">
        <v>649</v>
      </c>
      <c r="B650" t="s">
        <v>945</v>
      </c>
      <c r="C650" t="s">
        <v>16</v>
      </c>
      <c r="D650" s="9">
        <v>37404</v>
      </c>
      <c r="E650" s="9" t="str">
        <f t="shared" si="80"/>
        <v>20-30</v>
      </c>
      <c r="F650">
        <v>22</v>
      </c>
      <c r="G650" t="s">
        <v>21</v>
      </c>
      <c r="H650">
        <v>5</v>
      </c>
      <c r="I650" t="s">
        <v>109</v>
      </c>
      <c r="K650">
        <f t="shared" si="87"/>
        <v>1</v>
      </c>
      <c r="L650">
        <f t="shared" si="81"/>
        <v>1</v>
      </c>
      <c r="M650">
        <f t="shared" si="82"/>
        <v>1</v>
      </c>
      <c r="N650">
        <f t="shared" si="83"/>
        <v>1</v>
      </c>
      <c r="O650">
        <f t="shared" si="84"/>
        <v>0</v>
      </c>
      <c r="P650">
        <f t="shared" si="85"/>
        <v>1</v>
      </c>
      <c r="Q650">
        <f t="shared" si="86"/>
        <v>0</v>
      </c>
      <c r="R650" t="b">
        <v>0</v>
      </c>
      <c r="T650" s="10">
        <v>0.576388888888889</v>
      </c>
      <c r="U650" s="10">
        <v>0.61875</v>
      </c>
      <c r="V650">
        <v>61</v>
      </c>
      <c r="W650" t="b">
        <v>0</v>
      </c>
    </row>
    <row r="651" spans="1:24">
      <c r="A651">
        <v>650</v>
      </c>
      <c r="B651" t="s">
        <v>890</v>
      </c>
      <c r="C651" t="s">
        <v>25</v>
      </c>
      <c r="D651" s="9">
        <v>41167</v>
      </c>
      <c r="E651" s="9" t="str">
        <f t="shared" si="80"/>
        <v>below 20</v>
      </c>
      <c r="F651">
        <v>12</v>
      </c>
      <c r="G651" t="s">
        <v>17</v>
      </c>
      <c r="H651">
        <v>3</v>
      </c>
      <c r="I651" t="s">
        <v>65</v>
      </c>
      <c r="K651">
        <f t="shared" si="87"/>
        <v>1</v>
      </c>
      <c r="L651">
        <f t="shared" si="81"/>
        <v>0</v>
      </c>
      <c r="M651">
        <f t="shared" si="82"/>
        <v>0</v>
      </c>
      <c r="N651">
        <f t="shared" si="83"/>
        <v>1</v>
      </c>
      <c r="O651">
        <f t="shared" si="84"/>
        <v>1</v>
      </c>
      <c r="P651">
        <f t="shared" si="85"/>
        <v>0</v>
      </c>
      <c r="Q651">
        <f t="shared" si="86"/>
        <v>0</v>
      </c>
      <c r="R651" t="b">
        <v>1</v>
      </c>
      <c r="S651" t="s">
        <v>345</v>
      </c>
      <c r="T651" s="10">
        <v>0.620833333333333</v>
      </c>
      <c r="U651" s="10">
        <v>0.665972222222222</v>
      </c>
      <c r="V651">
        <v>65</v>
      </c>
      <c r="W651" t="b">
        <v>0</v>
      </c>
    </row>
    <row r="652" spans="1:24">
      <c r="A652">
        <v>651</v>
      </c>
      <c r="B652" t="s">
        <v>946</v>
      </c>
      <c r="C652" t="s">
        <v>25</v>
      </c>
      <c r="D652" s="9">
        <v>40434</v>
      </c>
      <c r="E652" s="9" t="str">
        <f t="shared" si="80"/>
        <v>below 20</v>
      </c>
      <c r="F652">
        <v>14</v>
      </c>
      <c r="G652" t="s">
        <v>17</v>
      </c>
      <c r="H652">
        <v>4</v>
      </c>
      <c r="I652" t="s">
        <v>767</v>
      </c>
      <c r="K652">
        <f t="shared" si="87"/>
        <v>0</v>
      </c>
      <c r="L652">
        <f t="shared" si="81"/>
        <v>0</v>
      </c>
      <c r="M652">
        <f t="shared" si="82"/>
        <v>0</v>
      </c>
      <c r="N652">
        <f t="shared" si="83"/>
        <v>1</v>
      </c>
      <c r="O652">
        <f t="shared" si="84"/>
        <v>1</v>
      </c>
      <c r="P652">
        <f t="shared" si="85"/>
        <v>1</v>
      </c>
      <c r="Q652">
        <f t="shared" si="86"/>
        <v>1</v>
      </c>
      <c r="R652" t="b">
        <v>0</v>
      </c>
      <c r="T652" s="10">
        <v>0.858333333333333</v>
      </c>
      <c r="U652" s="10">
        <v>0.901388888888889</v>
      </c>
      <c r="V652">
        <v>62</v>
      </c>
      <c r="W652" t="b">
        <v>0</v>
      </c>
    </row>
    <row r="653" spans="1:24">
      <c r="A653">
        <v>652</v>
      </c>
      <c r="B653" t="s">
        <v>947</v>
      </c>
      <c r="C653" t="s">
        <v>25</v>
      </c>
      <c r="D653" s="9">
        <v>38951</v>
      </c>
      <c r="E653" s="9" t="str">
        <f t="shared" si="80"/>
        <v>below 20</v>
      </c>
      <c r="F653">
        <v>18</v>
      </c>
      <c r="G653" t="s">
        <v>17</v>
      </c>
      <c r="H653">
        <v>3</v>
      </c>
      <c r="I653" t="s">
        <v>148</v>
      </c>
      <c r="K653">
        <f t="shared" si="87"/>
        <v>0</v>
      </c>
      <c r="L653">
        <f t="shared" si="81"/>
        <v>0</v>
      </c>
      <c r="M653">
        <f t="shared" si="82"/>
        <v>0</v>
      </c>
      <c r="N653">
        <f t="shared" si="83"/>
        <v>1</v>
      </c>
      <c r="O653">
        <f t="shared" si="84"/>
        <v>1</v>
      </c>
      <c r="P653">
        <f t="shared" si="85"/>
        <v>1</v>
      </c>
      <c r="Q653">
        <f t="shared" si="86"/>
        <v>0</v>
      </c>
      <c r="R653" t="b">
        <v>0</v>
      </c>
      <c r="T653" s="10">
        <v>0.4625</v>
      </c>
      <c r="U653" s="10">
        <v>0.534722222222222</v>
      </c>
      <c r="V653">
        <v>104</v>
      </c>
      <c r="W653" t="b">
        <v>0</v>
      </c>
    </row>
    <row r="654" spans="1:24">
      <c r="A654">
        <v>653</v>
      </c>
      <c r="B654" t="s">
        <v>948</v>
      </c>
      <c r="C654" t="s">
        <v>25</v>
      </c>
      <c r="D654" s="9">
        <v>35728</v>
      </c>
      <c r="E654" s="9" t="str">
        <f t="shared" si="80"/>
        <v>20-30</v>
      </c>
      <c r="F654">
        <v>26</v>
      </c>
      <c r="G654" t="s">
        <v>21</v>
      </c>
      <c r="H654">
        <v>3</v>
      </c>
      <c r="I654" t="s">
        <v>251</v>
      </c>
      <c r="K654">
        <f t="shared" si="87"/>
        <v>1</v>
      </c>
      <c r="L654">
        <f t="shared" si="81"/>
        <v>0</v>
      </c>
      <c r="M654">
        <f t="shared" si="82"/>
        <v>1</v>
      </c>
      <c r="N654">
        <f t="shared" si="83"/>
        <v>1</v>
      </c>
      <c r="O654">
        <f t="shared" si="84"/>
        <v>0</v>
      </c>
      <c r="P654">
        <f t="shared" si="85"/>
        <v>0</v>
      </c>
      <c r="Q654">
        <f t="shared" si="86"/>
        <v>0</v>
      </c>
      <c r="R654" t="b">
        <v>0</v>
      </c>
      <c r="T654" s="10">
        <v>0.549305555555556</v>
      </c>
      <c r="U654" s="10">
        <v>0.628472222222222</v>
      </c>
      <c r="V654">
        <v>114</v>
      </c>
      <c r="W654" t="b">
        <v>0</v>
      </c>
    </row>
    <row r="655" spans="1:24">
      <c r="A655">
        <v>654</v>
      </c>
      <c r="B655" t="s">
        <v>949</v>
      </c>
      <c r="C655" t="s">
        <v>25</v>
      </c>
      <c r="D655" s="9">
        <v>28491</v>
      </c>
      <c r="E655" s="9" t="str">
        <f t="shared" si="80"/>
        <v>41-50</v>
      </c>
      <c r="F655">
        <v>46</v>
      </c>
      <c r="G655" t="s">
        <v>17</v>
      </c>
      <c r="H655">
        <v>1</v>
      </c>
      <c r="I655" t="s">
        <v>26</v>
      </c>
      <c r="K655">
        <f t="shared" si="87"/>
        <v>1</v>
      </c>
      <c r="L655">
        <f t="shared" si="81"/>
        <v>0</v>
      </c>
      <c r="M655">
        <f t="shared" si="82"/>
        <v>0</v>
      </c>
      <c r="N655">
        <f t="shared" si="83"/>
        <v>0</v>
      </c>
      <c r="O655">
        <f t="shared" si="84"/>
        <v>0</v>
      </c>
      <c r="P655">
        <f t="shared" si="85"/>
        <v>0</v>
      </c>
      <c r="Q655">
        <f t="shared" si="86"/>
        <v>0</v>
      </c>
      <c r="R655" t="b">
        <v>0</v>
      </c>
      <c r="T655" s="10">
        <v>0.609722222222222</v>
      </c>
      <c r="U655" s="10">
        <v>0.671527777777778</v>
      </c>
      <c r="V655">
        <v>89</v>
      </c>
      <c r="W655" t="b">
        <v>0</v>
      </c>
    </row>
    <row r="656" spans="1:24">
      <c r="A656">
        <v>655</v>
      </c>
      <c r="B656" t="s">
        <v>950</v>
      </c>
      <c r="C656" t="s">
        <v>25</v>
      </c>
      <c r="D656" s="9">
        <v>35268</v>
      </c>
      <c r="E656" s="9" t="str">
        <f t="shared" si="80"/>
        <v>20-30</v>
      </c>
      <c r="F656">
        <v>28</v>
      </c>
      <c r="G656" t="s">
        <v>21</v>
      </c>
      <c r="H656">
        <v>2</v>
      </c>
      <c r="I656" t="s">
        <v>72</v>
      </c>
      <c r="K656">
        <f t="shared" si="87"/>
        <v>0</v>
      </c>
      <c r="L656">
        <f t="shared" si="81"/>
        <v>0</v>
      </c>
      <c r="M656">
        <f t="shared" si="82"/>
        <v>0</v>
      </c>
      <c r="N656">
        <f t="shared" si="83"/>
        <v>0</v>
      </c>
      <c r="O656">
        <f t="shared" si="84"/>
        <v>1</v>
      </c>
      <c r="P656">
        <f t="shared" si="85"/>
        <v>0</v>
      </c>
      <c r="Q656">
        <f t="shared" si="86"/>
        <v>1</v>
      </c>
      <c r="R656" t="b">
        <v>0</v>
      </c>
      <c r="T656" s="10">
        <v>0.388888888888889</v>
      </c>
      <c r="U656" s="10">
        <v>0.471527777777778</v>
      </c>
      <c r="V656">
        <v>119</v>
      </c>
      <c r="W656" t="b">
        <v>1</v>
      </c>
      <c r="X656" t="s">
        <v>47</v>
      </c>
    </row>
    <row r="657" spans="1:24">
      <c r="A657">
        <v>656</v>
      </c>
      <c r="B657" t="s">
        <v>951</v>
      </c>
      <c r="C657" t="s">
        <v>25</v>
      </c>
      <c r="D657" s="9">
        <v>40810</v>
      </c>
      <c r="E657" s="9" t="str">
        <f t="shared" si="80"/>
        <v>below 20</v>
      </c>
      <c r="F657">
        <v>13</v>
      </c>
      <c r="G657" t="s">
        <v>21</v>
      </c>
      <c r="H657">
        <v>5</v>
      </c>
      <c r="I657" t="s">
        <v>104</v>
      </c>
      <c r="K657">
        <f t="shared" si="87"/>
        <v>0</v>
      </c>
      <c r="L657">
        <f t="shared" si="81"/>
        <v>0</v>
      </c>
      <c r="M657">
        <f t="shared" si="82"/>
        <v>1</v>
      </c>
      <c r="N657">
        <f t="shared" si="83"/>
        <v>1</v>
      </c>
      <c r="O657">
        <f t="shared" si="84"/>
        <v>1</v>
      </c>
      <c r="P657">
        <f t="shared" si="85"/>
        <v>1</v>
      </c>
      <c r="Q657">
        <f t="shared" si="86"/>
        <v>1</v>
      </c>
      <c r="R657" t="b">
        <v>1</v>
      </c>
      <c r="S657" t="s">
        <v>952</v>
      </c>
      <c r="T657" s="10">
        <v>0.717361111111111</v>
      </c>
      <c r="U657" s="10">
        <v>0.743055555555555</v>
      </c>
      <c r="V657">
        <v>37</v>
      </c>
      <c r="W657" t="b">
        <v>0</v>
      </c>
    </row>
    <row r="658" spans="1:24">
      <c r="A658">
        <v>657</v>
      </c>
      <c r="B658" t="s">
        <v>953</v>
      </c>
      <c r="C658" t="s">
        <v>25</v>
      </c>
      <c r="D658" s="9">
        <v>30848</v>
      </c>
      <c r="E658" s="9" t="str">
        <f t="shared" si="80"/>
        <v>31-41</v>
      </c>
      <c r="F658">
        <v>40</v>
      </c>
      <c r="G658" t="s">
        <v>17</v>
      </c>
      <c r="H658">
        <v>2</v>
      </c>
      <c r="I658" t="s">
        <v>187</v>
      </c>
      <c r="K658">
        <f t="shared" si="87"/>
        <v>0</v>
      </c>
      <c r="L658">
        <f t="shared" si="81"/>
        <v>0</v>
      </c>
      <c r="M658">
        <f t="shared" si="82"/>
        <v>0</v>
      </c>
      <c r="N658">
        <f t="shared" si="83"/>
        <v>1</v>
      </c>
      <c r="O658">
        <f t="shared" si="84"/>
        <v>1</v>
      </c>
      <c r="P658">
        <f t="shared" si="85"/>
        <v>0</v>
      </c>
      <c r="Q658">
        <f t="shared" si="86"/>
        <v>0</v>
      </c>
      <c r="R658" t="b">
        <v>1</v>
      </c>
      <c r="S658" t="s">
        <v>134</v>
      </c>
      <c r="T658" s="10">
        <v>0.623611111111111</v>
      </c>
      <c r="U658" s="10">
        <v>0.655555555555556</v>
      </c>
      <c r="V658">
        <v>46</v>
      </c>
      <c r="W658" t="b">
        <v>0</v>
      </c>
    </row>
    <row r="659" spans="1:24">
      <c r="A659">
        <v>658</v>
      </c>
      <c r="B659" t="s">
        <v>954</v>
      </c>
      <c r="C659" t="s">
        <v>25</v>
      </c>
      <c r="D659" s="9">
        <v>36161</v>
      </c>
      <c r="E659" s="9" t="str">
        <f t="shared" si="80"/>
        <v>20-30</v>
      </c>
      <c r="F659">
        <v>25</v>
      </c>
      <c r="G659" t="s">
        <v>21</v>
      </c>
      <c r="H659">
        <v>4</v>
      </c>
      <c r="I659" t="s">
        <v>955</v>
      </c>
      <c r="K659">
        <f t="shared" si="87"/>
        <v>1</v>
      </c>
      <c r="L659">
        <f t="shared" si="81"/>
        <v>0</v>
      </c>
      <c r="M659">
        <f t="shared" si="82"/>
        <v>1</v>
      </c>
      <c r="N659">
        <f t="shared" si="83"/>
        <v>0</v>
      </c>
      <c r="O659">
        <f t="shared" si="84"/>
        <v>0</v>
      </c>
      <c r="P659">
        <f t="shared" si="85"/>
        <v>1</v>
      </c>
      <c r="Q659">
        <f t="shared" si="86"/>
        <v>1</v>
      </c>
      <c r="R659" t="b">
        <v>0</v>
      </c>
      <c r="T659" s="10">
        <v>0.807638888888889</v>
      </c>
      <c r="U659" s="10">
        <v>0.85625</v>
      </c>
      <c r="V659">
        <v>70</v>
      </c>
      <c r="W659" t="b">
        <v>0</v>
      </c>
    </row>
    <row r="660" spans="1:24">
      <c r="A660">
        <v>659</v>
      </c>
      <c r="B660" t="s">
        <v>956</v>
      </c>
      <c r="C660" t="s">
        <v>16</v>
      </c>
      <c r="D660" s="9">
        <v>39005</v>
      </c>
      <c r="E660" s="9" t="str">
        <f t="shared" si="80"/>
        <v>below 20</v>
      </c>
      <c r="F660">
        <v>17</v>
      </c>
      <c r="G660" t="s">
        <v>21</v>
      </c>
      <c r="H660">
        <v>3</v>
      </c>
      <c r="I660" t="s">
        <v>247</v>
      </c>
      <c r="K660">
        <f t="shared" si="87"/>
        <v>0</v>
      </c>
      <c r="L660">
        <f t="shared" si="81"/>
        <v>0</v>
      </c>
      <c r="M660">
        <f t="shared" si="82"/>
        <v>1</v>
      </c>
      <c r="N660">
        <f t="shared" si="83"/>
        <v>1</v>
      </c>
      <c r="O660">
        <f t="shared" si="84"/>
        <v>0</v>
      </c>
      <c r="P660">
        <f t="shared" si="85"/>
        <v>1</v>
      </c>
      <c r="Q660">
        <f t="shared" si="86"/>
        <v>0</v>
      </c>
      <c r="R660" t="b">
        <v>0</v>
      </c>
      <c r="T660" s="10">
        <v>0.751388888888889</v>
      </c>
      <c r="U660" s="10">
        <v>0.85625</v>
      </c>
      <c r="V660">
        <v>151</v>
      </c>
      <c r="W660" t="b">
        <v>0</v>
      </c>
    </row>
    <row r="661" spans="1:24">
      <c r="A661">
        <v>660</v>
      </c>
      <c r="B661" t="s">
        <v>957</v>
      </c>
      <c r="C661" t="s">
        <v>25</v>
      </c>
      <c r="D661" s="9">
        <v>28293</v>
      </c>
      <c r="E661" s="9" t="str">
        <f t="shared" si="80"/>
        <v>41-50</v>
      </c>
      <c r="F661">
        <v>47</v>
      </c>
      <c r="G661" t="s">
        <v>17</v>
      </c>
      <c r="H661">
        <v>2</v>
      </c>
      <c r="I661" t="s">
        <v>69</v>
      </c>
      <c r="K661">
        <f t="shared" si="87"/>
        <v>0</v>
      </c>
      <c r="L661">
        <f t="shared" si="81"/>
        <v>0</v>
      </c>
      <c r="M661">
        <f t="shared" si="82"/>
        <v>0</v>
      </c>
      <c r="N661">
        <f t="shared" si="83"/>
        <v>1</v>
      </c>
      <c r="O661">
        <f t="shared" si="84"/>
        <v>0</v>
      </c>
      <c r="P661">
        <f t="shared" si="85"/>
        <v>0</v>
      </c>
      <c r="Q661">
        <f t="shared" si="86"/>
        <v>1</v>
      </c>
      <c r="R661" t="b">
        <v>0</v>
      </c>
      <c r="T661" s="10">
        <v>0.415277777777778</v>
      </c>
      <c r="U661" s="10">
        <v>0.519444444444444</v>
      </c>
      <c r="V661">
        <v>150</v>
      </c>
      <c r="W661" t="b">
        <v>0</v>
      </c>
    </row>
    <row r="662" spans="1:24">
      <c r="A662">
        <v>661</v>
      </c>
      <c r="B662" t="s">
        <v>382</v>
      </c>
      <c r="C662" t="s">
        <v>25</v>
      </c>
      <c r="D662" s="9">
        <v>40152</v>
      </c>
      <c r="E662" s="9" t="str">
        <f t="shared" si="80"/>
        <v>below 20</v>
      </c>
      <c r="F662">
        <v>14</v>
      </c>
      <c r="G662" t="s">
        <v>21</v>
      </c>
      <c r="H662">
        <v>3</v>
      </c>
      <c r="I662" t="s">
        <v>513</v>
      </c>
      <c r="K662">
        <f t="shared" si="87"/>
        <v>1</v>
      </c>
      <c r="L662">
        <f t="shared" si="81"/>
        <v>0</v>
      </c>
      <c r="M662">
        <f t="shared" si="82"/>
        <v>1</v>
      </c>
      <c r="N662">
        <f t="shared" si="83"/>
        <v>0</v>
      </c>
      <c r="O662">
        <f t="shared" si="84"/>
        <v>0</v>
      </c>
      <c r="P662">
        <f t="shared" si="85"/>
        <v>0</v>
      </c>
      <c r="Q662">
        <f t="shared" si="86"/>
        <v>1</v>
      </c>
      <c r="R662" t="b">
        <v>1</v>
      </c>
      <c r="S662" t="s">
        <v>453</v>
      </c>
      <c r="T662" s="10">
        <v>0.709722222222222</v>
      </c>
      <c r="U662" s="10">
        <v>0.76875</v>
      </c>
      <c r="V662">
        <v>85</v>
      </c>
      <c r="W662" t="b">
        <v>0</v>
      </c>
    </row>
    <row r="663" spans="1:24">
      <c r="A663">
        <v>662</v>
      </c>
      <c r="B663" t="s">
        <v>391</v>
      </c>
      <c r="C663" t="s">
        <v>25</v>
      </c>
      <c r="D663" s="9">
        <v>31388</v>
      </c>
      <c r="E663" s="9" t="str">
        <f t="shared" si="80"/>
        <v>31-41</v>
      </c>
      <c r="F663">
        <v>38</v>
      </c>
      <c r="G663" t="s">
        <v>17</v>
      </c>
      <c r="H663">
        <v>2</v>
      </c>
      <c r="I663" t="s">
        <v>461</v>
      </c>
      <c r="K663">
        <f t="shared" si="87"/>
        <v>0</v>
      </c>
      <c r="L663">
        <f t="shared" si="81"/>
        <v>0</v>
      </c>
      <c r="M663">
        <f t="shared" si="82"/>
        <v>0</v>
      </c>
      <c r="N663">
        <f t="shared" si="83"/>
        <v>0</v>
      </c>
      <c r="O663">
        <f t="shared" si="84"/>
        <v>1</v>
      </c>
      <c r="P663">
        <f t="shared" si="85"/>
        <v>1</v>
      </c>
      <c r="Q663">
        <f t="shared" si="86"/>
        <v>0</v>
      </c>
      <c r="R663" t="b">
        <v>1</v>
      </c>
      <c r="S663" t="s">
        <v>958</v>
      </c>
      <c r="T663" s="10">
        <v>0.486805555555556</v>
      </c>
      <c r="U663" s="10">
        <v>0.577083333333333</v>
      </c>
      <c r="V663">
        <v>130</v>
      </c>
      <c r="W663" t="b">
        <v>1</v>
      </c>
      <c r="X663" t="s">
        <v>50</v>
      </c>
    </row>
    <row r="664" spans="1:24">
      <c r="A664">
        <v>663</v>
      </c>
      <c r="B664" t="s">
        <v>959</v>
      </c>
      <c r="C664" t="s">
        <v>16</v>
      </c>
      <c r="D664" s="9">
        <v>33889</v>
      </c>
      <c r="E664" s="9" t="str">
        <f t="shared" si="80"/>
        <v>31-41</v>
      </c>
      <c r="F664">
        <v>31</v>
      </c>
      <c r="G664" t="s">
        <v>21</v>
      </c>
      <c r="H664">
        <v>3</v>
      </c>
      <c r="I664" t="s">
        <v>43</v>
      </c>
      <c r="K664">
        <f t="shared" si="87"/>
        <v>0</v>
      </c>
      <c r="L664">
        <f t="shared" si="81"/>
        <v>1</v>
      </c>
      <c r="M664">
        <f t="shared" si="82"/>
        <v>1</v>
      </c>
      <c r="N664">
        <f t="shared" si="83"/>
        <v>1</v>
      </c>
      <c r="O664">
        <f t="shared" si="84"/>
        <v>0</v>
      </c>
      <c r="P664">
        <f t="shared" si="85"/>
        <v>0</v>
      </c>
      <c r="Q664">
        <f t="shared" si="86"/>
        <v>0</v>
      </c>
      <c r="R664" t="b">
        <v>0</v>
      </c>
      <c r="T664" s="10">
        <v>0.584027777777778</v>
      </c>
      <c r="U664" s="10">
        <v>0.623611111111111</v>
      </c>
      <c r="V664">
        <v>57</v>
      </c>
      <c r="W664" t="b">
        <v>0</v>
      </c>
    </row>
    <row r="665" spans="1:24">
      <c r="A665">
        <v>664</v>
      </c>
      <c r="B665" t="s">
        <v>960</v>
      </c>
      <c r="C665" t="s">
        <v>16</v>
      </c>
      <c r="D665" s="9">
        <v>40629</v>
      </c>
      <c r="E665" s="9" t="str">
        <f t="shared" si="80"/>
        <v>below 20</v>
      </c>
      <c r="F665">
        <v>13</v>
      </c>
      <c r="G665" t="s">
        <v>21</v>
      </c>
      <c r="H665">
        <v>1</v>
      </c>
      <c r="I665" t="s">
        <v>59</v>
      </c>
      <c r="K665">
        <f t="shared" si="87"/>
        <v>0</v>
      </c>
      <c r="L665">
        <f t="shared" si="81"/>
        <v>0</v>
      </c>
      <c r="M665">
        <f t="shared" si="82"/>
        <v>0</v>
      </c>
      <c r="N665">
        <f t="shared" si="83"/>
        <v>0</v>
      </c>
      <c r="O665">
        <f t="shared" si="84"/>
        <v>0</v>
      </c>
      <c r="P665">
        <f t="shared" si="85"/>
        <v>0</v>
      </c>
      <c r="Q665">
        <f t="shared" si="86"/>
        <v>1</v>
      </c>
      <c r="R665" t="b">
        <v>0</v>
      </c>
      <c r="T665" s="10">
        <v>0.430555555555556</v>
      </c>
      <c r="U665" s="10">
        <v>0.532638888888889</v>
      </c>
      <c r="V665">
        <v>147</v>
      </c>
      <c r="W665" t="b">
        <v>0</v>
      </c>
    </row>
    <row r="666" spans="1:24">
      <c r="A666">
        <v>665</v>
      </c>
      <c r="B666" t="s">
        <v>961</v>
      </c>
      <c r="C666" t="s">
        <v>16</v>
      </c>
      <c r="D666" s="9">
        <v>30278</v>
      </c>
      <c r="E666" s="9" t="str">
        <f t="shared" si="80"/>
        <v>41-50</v>
      </c>
      <c r="F666">
        <v>41</v>
      </c>
      <c r="G666" t="s">
        <v>21</v>
      </c>
      <c r="H666">
        <v>1</v>
      </c>
      <c r="I666" t="s">
        <v>185</v>
      </c>
      <c r="K666">
        <f t="shared" si="87"/>
        <v>0</v>
      </c>
      <c r="L666">
        <f t="shared" si="81"/>
        <v>0</v>
      </c>
      <c r="M666">
        <f t="shared" si="82"/>
        <v>0</v>
      </c>
      <c r="N666">
        <f t="shared" si="83"/>
        <v>1</v>
      </c>
      <c r="O666">
        <f t="shared" si="84"/>
        <v>0</v>
      </c>
      <c r="P666">
        <f t="shared" si="85"/>
        <v>0</v>
      </c>
      <c r="Q666">
        <f t="shared" si="86"/>
        <v>0</v>
      </c>
      <c r="R666" t="b">
        <v>1</v>
      </c>
      <c r="S666" t="s">
        <v>962</v>
      </c>
      <c r="T666" s="10">
        <v>0.489583333333333</v>
      </c>
      <c r="U666" s="10">
        <v>0.6</v>
      </c>
      <c r="V666">
        <v>159</v>
      </c>
      <c r="W666" t="b">
        <v>1</v>
      </c>
      <c r="X666" t="s">
        <v>23</v>
      </c>
    </row>
    <row r="667" spans="1:24">
      <c r="A667">
        <v>666</v>
      </c>
      <c r="B667" t="s">
        <v>963</v>
      </c>
      <c r="C667" t="s">
        <v>16</v>
      </c>
      <c r="D667" s="9">
        <v>38401</v>
      </c>
      <c r="E667" s="9" t="str">
        <f t="shared" si="80"/>
        <v>below 20</v>
      </c>
      <c r="F667">
        <v>19</v>
      </c>
      <c r="G667" t="s">
        <v>17</v>
      </c>
      <c r="H667">
        <v>2</v>
      </c>
      <c r="I667" t="s">
        <v>72</v>
      </c>
      <c r="K667">
        <f t="shared" si="87"/>
        <v>0</v>
      </c>
      <c r="L667">
        <f t="shared" si="81"/>
        <v>0</v>
      </c>
      <c r="M667">
        <f t="shared" si="82"/>
        <v>0</v>
      </c>
      <c r="N667">
        <f t="shared" si="83"/>
        <v>0</v>
      </c>
      <c r="O667">
        <f t="shared" si="84"/>
        <v>1</v>
      </c>
      <c r="P667">
        <f t="shared" si="85"/>
        <v>0</v>
      </c>
      <c r="Q667">
        <f t="shared" si="86"/>
        <v>1</v>
      </c>
      <c r="R667" t="b">
        <v>1</v>
      </c>
      <c r="S667" t="s">
        <v>964</v>
      </c>
      <c r="T667" s="10">
        <v>0.445833333333333</v>
      </c>
      <c r="U667" s="10">
        <v>0.533333333333333</v>
      </c>
      <c r="V667">
        <v>126</v>
      </c>
      <c r="W667" t="b">
        <v>1</v>
      </c>
      <c r="X667" t="s">
        <v>28</v>
      </c>
    </row>
    <row r="668" spans="1:24">
      <c r="A668">
        <v>667</v>
      </c>
      <c r="B668" t="s">
        <v>965</v>
      </c>
      <c r="C668" t="s">
        <v>25</v>
      </c>
      <c r="D668" s="9">
        <v>27831</v>
      </c>
      <c r="E668" s="9" t="str">
        <f t="shared" si="80"/>
        <v>41-50</v>
      </c>
      <c r="F668">
        <v>48</v>
      </c>
      <c r="G668" t="s">
        <v>17</v>
      </c>
      <c r="H668">
        <v>2</v>
      </c>
      <c r="I668" t="s">
        <v>40</v>
      </c>
      <c r="K668">
        <f t="shared" si="87"/>
        <v>1</v>
      </c>
      <c r="L668">
        <f t="shared" si="81"/>
        <v>0</v>
      </c>
      <c r="M668">
        <f t="shared" si="82"/>
        <v>0</v>
      </c>
      <c r="N668">
        <f t="shared" si="83"/>
        <v>0</v>
      </c>
      <c r="O668">
        <f t="shared" si="84"/>
        <v>0</v>
      </c>
      <c r="P668">
        <f t="shared" si="85"/>
        <v>0</v>
      </c>
      <c r="Q668">
        <f t="shared" si="86"/>
        <v>1</v>
      </c>
      <c r="R668" t="b">
        <v>1</v>
      </c>
      <c r="S668" t="s">
        <v>966</v>
      </c>
      <c r="T668" s="10">
        <v>0.490277777777778</v>
      </c>
      <c r="U668" s="10">
        <v>0.560416666666667</v>
      </c>
      <c r="V668">
        <v>101</v>
      </c>
      <c r="W668" t="b">
        <v>0</v>
      </c>
    </row>
    <row r="669" spans="1:24">
      <c r="A669">
        <v>668</v>
      </c>
      <c r="B669" t="s">
        <v>967</v>
      </c>
      <c r="C669" t="s">
        <v>16</v>
      </c>
      <c r="D669" s="9">
        <v>32477</v>
      </c>
      <c r="E669" s="9" t="str">
        <f t="shared" si="80"/>
        <v>31-41</v>
      </c>
      <c r="F669">
        <v>35</v>
      </c>
      <c r="G669" t="s">
        <v>21</v>
      </c>
      <c r="H669">
        <v>3</v>
      </c>
      <c r="I669" t="s">
        <v>106</v>
      </c>
      <c r="K669">
        <f t="shared" si="87"/>
        <v>1</v>
      </c>
      <c r="L669">
        <f t="shared" si="81"/>
        <v>1</v>
      </c>
      <c r="M669">
        <f t="shared" si="82"/>
        <v>0</v>
      </c>
      <c r="N669">
        <f t="shared" si="83"/>
        <v>0</v>
      </c>
      <c r="O669">
        <f t="shared" si="84"/>
        <v>1</v>
      </c>
      <c r="P669">
        <f t="shared" si="85"/>
        <v>0</v>
      </c>
      <c r="Q669">
        <f t="shared" si="86"/>
        <v>0</v>
      </c>
      <c r="R669" t="b">
        <v>1</v>
      </c>
      <c r="S669" t="s">
        <v>751</v>
      </c>
      <c r="T669" s="10">
        <v>0.625</v>
      </c>
      <c r="U669" s="10">
        <v>0.697916666666667</v>
      </c>
      <c r="V669">
        <v>105</v>
      </c>
      <c r="W669" t="b">
        <v>0</v>
      </c>
    </row>
    <row r="670" spans="1:24">
      <c r="A670">
        <v>669</v>
      </c>
      <c r="B670" t="s">
        <v>968</v>
      </c>
      <c r="C670" t="s">
        <v>16</v>
      </c>
      <c r="D670" s="9">
        <v>31144</v>
      </c>
      <c r="E670" s="9" t="str">
        <f t="shared" si="80"/>
        <v>31-41</v>
      </c>
      <c r="F670">
        <v>39</v>
      </c>
      <c r="G670" t="s">
        <v>21</v>
      </c>
      <c r="H670">
        <v>5</v>
      </c>
      <c r="I670" t="s">
        <v>863</v>
      </c>
      <c r="K670">
        <f t="shared" si="87"/>
        <v>1</v>
      </c>
      <c r="L670">
        <f t="shared" si="81"/>
        <v>1</v>
      </c>
      <c r="M670">
        <f t="shared" si="82"/>
        <v>1</v>
      </c>
      <c r="N670">
        <f t="shared" si="83"/>
        <v>0</v>
      </c>
      <c r="O670">
        <f t="shared" si="84"/>
        <v>1</v>
      </c>
      <c r="P670">
        <f t="shared" si="85"/>
        <v>0</v>
      </c>
      <c r="Q670">
        <f t="shared" si="86"/>
        <v>1</v>
      </c>
      <c r="R670" t="b">
        <v>1</v>
      </c>
      <c r="S670" t="s">
        <v>969</v>
      </c>
      <c r="T670" s="10">
        <v>0.794444444444444</v>
      </c>
      <c r="U670" s="10">
        <v>0.919444444444444</v>
      </c>
      <c r="V670">
        <v>180</v>
      </c>
      <c r="W670" t="b">
        <v>0</v>
      </c>
    </row>
    <row r="671" spans="1:24">
      <c r="A671">
        <v>670</v>
      </c>
      <c r="B671" t="s">
        <v>263</v>
      </c>
      <c r="C671" t="s">
        <v>16</v>
      </c>
      <c r="D671" s="9">
        <v>36907</v>
      </c>
      <c r="E671" s="9" t="str">
        <f t="shared" si="80"/>
        <v>20-30</v>
      </c>
      <c r="F671">
        <v>23</v>
      </c>
      <c r="G671" t="s">
        <v>17</v>
      </c>
      <c r="H671">
        <v>4</v>
      </c>
      <c r="I671" t="s">
        <v>123</v>
      </c>
      <c r="K671">
        <f t="shared" si="87"/>
        <v>0</v>
      </c>
      <c r="L671">
        <f t="shared" si="81"/>
        <v>1</v>
      </c>
      <c r="M671">
        <f t="shared" si="82"/>
        <v>1</v>
      </c>
      <c r="N671">
        <f t="shared" si="83"/>
        <v>0</v>
      </c>
      <c r="O671">
        <f t="shared" si="84"/>
        <v>1</v>
      </c>
      <c r="P671">
        <f t="shared" si="85"/>
        <v>1</v>
      </c>
      <c r="Q671">
        <f t="shared" si="86"/>
        <v>0</v>
      </c>
      <c r="R671" t="b">
        <v>1</v>
      </c>
      <c r="S671" t="s">
        <v>970</v>
      </c>
      <c r="T671" s="10">
        <v>0.386805555555556</v>
      </c>
      <c r="U671" s="10">
        <v>0.479861111111111</v>
      </c>
      <c r="V671">
        <v>134</v>
      </c>
      <c r="W671" t="b">
        <v>0</v>
      </c>
    </row>
    <row r="672" spans="1:24">
      <c r="A672">
        <v>671</v>
      </c>
      <c r="B672" t="s">
        <v>971</v>
      </c>
      <c r="C672" t="s">
        <v>25</v>
      </c>
      <c r="D672" s="9">
        <v>31209</v>
      </c>
      <c r="E672" s="9" t="str">
        <f t="shared" si="80"/>
        <v>31-41</v>
      </c>
      <c r="F672">
        <v>39</v>
      </c>
      <c r="G672" t="s">
        <v>17</v>
      </c>
      <c r="H672">
        <v>3</v>
      </c>
      <c r="I672" t="s">
        <v>247</v>
      </c>
      <c r="K672">
        <f t="shared" si="87"/>
        <v>0</v>
      </c>
      <c r="L672">
        <f t="shared" si="81"/>
        <v>0</v>
      </c>
      <c r="M672">
        <f t="shared" si="82"/>
        <v>1</v>
      </c>
      <c r="N672">
        <f t="shared" si="83"/>
        <v>1</v>
      </c>
      <c r="O672">
        <f t="shared" si="84"/>
        <v>0</v>
      </c>
      <c r="P672">
        <f t="shared" si="85"/>
        <v>1</v>
      </c>
      <c r="Q672">
        <f t="shared" si="86"/>
        <v>0</v>
      </c>
      <c r="R672" t="b">
        <v>0</v>
      </c>
      <c r="T672" s="10">
        <v>0.525</v>
      </c>
      <c r="U672" s="10">
        <v>0.563194444444444</v>
      </c>
      <c r="V672">
        <v>55</v>
      </c>
      <c r="W672" t="b">
        <v>1</v>
      </c>
      <c r="X672" t="s">
        <v>23</v>
      </c>
    </row>
    <row r="673" spans="1:24">
      <c r="A673">
        <v>672</v>
      </c>
      <c r="B673" t="s">
        <v>908</v>
      </c>
      <c r="C673" t="s">
        <v>25</v>
      </c>
      <c r="D673" s="9">
        <v>28133</v>
      </c>
      <c r="E673" s="9" t="str">
        <f t="shared" si="80"/>
        <v>41-50</v>
      </c>
      <c r="F673">
        <v>47</v>
      </c>
      <c r="G673" t="s">
        <v>21</v>
      </c>
      <c r="H673">
        <v>2</v>
      </c>
      <c r="I673" t="s">
        <v>461</v>
      </c>
      <c r="K673">
        <f t="shared" si="87"/>
        <v>0</v>
      </c>
      <c r="L673">
        <f t="shared" si="81"/>
        <v>0</v>
      </c>
      <c r="M673">
        <f t="shared" si="82"/>
        <v>0</v>
      </c>
      <c r="N673">
        <f t="shared" si="83"/>
        <v>0</v>
      </c>
      <c r="O673">
        <f t="shared" si="84"/>
        <v>1</v>
      </c>
      <c r="P673">
        <f t="shared" si="85"/>
        <v>1</v>
      </c>
      <c r="Q673">
        <f t="shared" si="86"/>
        <v>0</v>
      </c>
      <c r="R673" t="b">
        <v>1</v>
      </c>
      <c r="S673" t="s">
        <v>784</v>
      </c>
      <c r="T673" s="10">
        <v>0.342361111111111</v>
      </c>
      <c r="U673" s="10">
        <v>0.403472222222222</v>
      </c>
      <c r="V673">
        <v>88</v>
      </c>
      <c r="W673" t="b">
        <v>1</v>
      </c>
      <c r="X673" t="s">
        <v>47</v>
      </c>
    </row>
    <row r="674" spans="1:24">
      <c r="A674">
        <v>673</v>
      </c>
      <c r="B674" t="s">
        <v>972</v>
      </c>
      <c r="C674" t="s">
        <v>16</v>
      </c>
      <c r="D674" s="9">
        <v>40134</v>
      </c>
      <c r="E674" s="9" t="str">
        <f t="shared" si="80"/>
        <v>below 20</v>
      </c>
      <c r="F674">
        <v>14</v>
      </c>
      <c r="G674" t="s">
        <v>17</v>
      </c>
      <c r="H674">
        <v>5</v>
      </c>
      <c r="I674" t="s">
        <v>152</v>
      </c>
      <c r="K674">
        <f t="shared" si="87"/>
        <v>1</v>
      </c>
      <c r="L674">
        <f t="shared" si="81"/>
        <v>0</v>
      </c>
      <c r="M674">
        <f t="shared" si="82"/>
        <v>1</v>
      </c>
      <c r="N674">
        <f t="shared" si="83"/>
        <v>1</v>
      </c>
      <c r="O674">
        <f t="shared" si="84"/>
        <v>1</v>
      </c>
      <c r="P674">
        <f t="shared" si="85"/>
        <v>0</v>
      </c>
      <c r="Q674">
        <f t="shared" si="86"/>
        <v>1</v>
      </c>
      <c r="R674" t="b">
        <v>1</v>
      </c>
      <c r="S674" t="s">
        <v>973</v>
      </c>
      <c r="T674" s="10">
        <v>0.450694444444444</v>
      </c>
      <c r="U674" s="10">
        <v>0.531944444444444</v>
      </c>
      <c r="V674">
        <v>117</v>
      </c>
      <c r="W674" t="b">
        <v>0</v>
      </c>
    </row>
    <row r="675" spans="1:24">
      <c r="A675">
        <v>674</v>
      </c>
      <c r="B675" t="s">
        <v>974</v>
      </c>
      <c r="C675" t="s">
        <v>25</v>
      </c>
      <c r="D675" s="9">
        <v>40282</v>
      </c>
      <c r="E675" s="9" t="str">
        <f t="shared" si="80"/>
        <v>below 20</v>
      </c>
      <c r="F675">
        <v>14</v>
      </c>
      <c r="G675" t="s">
        <v>21</v>
      </c>
      <c r="H675">
        <v>5</v>
      </c>
      <c r="I675" t="s">
        <v>417</v>
      </c>
      <c r="K675">
        <f t="shared" si="87"/>
        <v>1</v>
      </c>
      <c r="L675">
        <f t="shared" si="81"/>
        <v>1</v>
      </c>
      <c r="M675">
        <f t="shared" si="82"/>
        <v>0</v>
      </c>
      <c r="N675">
        <f t="shared" si="83"/>
        <v>1</v>
      </c>
      <c r="O675">
        <f t="shared" si="84"/>
        <v>1</v>
      </c>
      <c r="P675">
        <f t="shared" si="85"/>
        <v>1</v>
      </c>
      <c r="Q675">
        <f t="shared" si="86"/>
        <v>0</v>
      </c>
      <c r="R675" t="b">
        <v>1</v>
      </c>
      <c r="S675" t="s">
        <v>975</v>
      </c>
      <c r="T675" s="10">
        <v>0.844444444444444</v>
      </c>
      <c r="U675" s="10">
        <v>0.86875</v>
      </c>
      <c r="V675">
        <v>35</v>
      </c>
      <c r="W675" t="b">
        <v>0</v>
      </c>
    </row>
    <row r="676" spans="1:24">
      <c r="A676">
        <v>675</v>
      </c>
      <c r="B676" t="s">
        <v>976</v>
      </c>
      <c r="C676" t="s">
        <v>16</v>
      </c>
      <c r="D676" s="9">
        <v>30373</v>
      </c>
      <c r="E676" s="9" t="str">
        <f t="shared" si="80"/>
        <v>41-50</v>
      </c>
      <c r="F676">
        <v>41</v>
      </c>
      <c r="G676" t="s">
        <v>21</v>
      </c>
      <c r="H676">
        <v>1</v>
      </c>
      <c r="I676" t="s">
        <v>49</v>
      </c>
      <c r="K676">
        <f t="shared" si="87"/>
        <v>0</v>
      </c>
      <c r="L676">
        <f t="shared" si="81"/>
        <v>0</v>
      </c>
      <c r="M676">
        <f t="shared" si="82"/>
        <v>0</v>
      </c>
      <c r="N676">
        <f t="shared" si="83"/>
        <v>0</v>
      </c>
      <c r="O676">
        <f t="shared" si="84"/>
        <v>1</v>
      </c>
      <c r="P676">
        <f t="shared" si="85"/>
        <v>0</v>
      </c>
      <c r="Q676">
        <f t="shared" si="86"/>
        <v>0</v>
      </c>
      <c r="R676" t="b">
        <v>0</v>
      </c>
      <c r="T676" s="10">
        <v>0.494444444444444</v>
      </c>
      <c r="U676" s="10">
        <v>0.577777777777778</v>
      </c>
      <c r="V676">
        <v>120</v>
      </c>
      <c r="W676" t="b">
        <v>0</v>
      </c>
    </row>
    <row r="677" spans="1:24">
      <c r="A677">
        <v>676</v>
      </c>
      <c r="B677" t="s">
        <v>977</v>
      </c>
      <c r="C677" t="s">
        <v>16</v>
      </c>
      <c r="D677" s="9">
        <v>29385</v>
      </c>
      <c r="E677" s="9" t="str">
        <f t="shared" si="80"/>
        <v>41-50</v>
      </c>
      <c r="F677">
        <v>44</v>
      </c>
      <c r="G677" t="s">
        <v>21</v>
      </c>
      <c r="H677">
        <v>1</v>
      </c>
      <c r="I677" t="s">
        <v>26</v>
      </c>
      <c r="K677">
        <f t="shared" si="87"/>
        <v>1</v>
      </c>
      <c r="L677">
        <f t="shared" si="81"/>
        <v>0</v>
      </c>
      <c r="M677">
        <f t="shared" si="82"/>
        <v>0</v>
      </c>
      <c r="N677">
        <f t="shared" si="83"/>
        <v>0</v>
      </c>
      <c r="O677">
        <f t="shared" si="84"/>
        <v>0</v>
      </c>
      <c r="P677">
        <f t="shared" si="85"/>
        <v>0</v>
      </c>
      <c r="Q677">
        <f t="shared" si="86"/>
        <v>0</v>
      </c>
      <c r="R677" t="b">
        <v>1</v>
      </c>
      <c r="S677" t="s">
        <v>201</v>
      </c>
      <c r="T677" s="10">
        <v>0.345138888888889</v>
      </c>
      <c r="U677" s="10">
        <v>0.447916666666667</v>
      </c>
      <c r="V677">
        <v>148</v>
      </c>
      <c r="W677" t="b">
        <v>1</v>
      </c>
      <c r="X677" t="s">
        <v>47</v>
      </c>
    </row>
    <row r="678" spans="1:24">
      <c r="A678">
        <v>677</v>
      </c>
      <c r="B678" t="s">
        <v>978</v>
      </c>
      <c r="C678" t="s">
        <v>16</v>
      </c>
      <c r="D678" s="9">
        <v>36662</v>
      </c>
      <c r="E678" s="9" t="str">
        <f t="shared" si="80"/>
        <v>20-30</v>
      </c>
      <c r="F678">
        <v>24</v>
      </c>
      <c r="G678" t="s">
        <v>17</v>
      </c>
      <c r="H678">
        <v>5</v>
      </c>
      <c r="I678" t="s">
        <v>417</v>
      </c>
      <c r="K678">
        <f t="shared" si="87"/>
        <v>1</v>
      </c>
      <c r="L678">
        <f t="shared" si="81"/>
        <v>1</v>
      </c>
      <c r="M678">
        <f t="shared" si="82"/>
        <v>0</v>
      </c>
      <c r="N678">
        <f t="shared" si="83"/>
        <v>1</v>
      </c>
      <c r="O678">
        <f t="shared" si="84"/>
        <v>1</v>
      </c>
      <c r="P678">
        <f t="shared" si="85"/>
        <v>1</v>
      </c>
      <c r="Q678">
        <f t="shared" si="86"/>
        <v>0</v>
      </c>
      <c r="R678" t="b">
        <v>1</v>
      </c>
      <c r="S678" t="s">
        <v>841</v>
      </c>
      <c r="T678" s="10">
        <v>0.379166666666667</v>
      </c>
      <c r="U678" s="10">
        <v>0.409027777777778</v>
      </c>
      <c r="V678">
        <v>43</v>
      </c>
      <c r="W678" t="b">
        <v>0</v>
      </c>
    </row>
    <row r="679" spans="1:24">
      <c r="A679">
        <v>678</v>
      </c>
      <c r="B679" t="s">
        <v>979</v>
      </c>
      <c r="C679" t="s">
        <v>16</v>
      </c>
      <c r="D679" s="9">
        <v>31007</v>
      </c>
      <c r="E679" s="9" t="str">
        <f t="shared" si="80"/>
        <v>31-41</v>
      </c>
      <c r="F679">
        <v>39</v>
      </c>
      <c r="G679" t="s">
        <v>21</v>
      </c>
      <c r="H679">
        <v>4</v>
      </c>
      <c r="I679" t="s">
        <v>767</v>
      </c>
      <c r="K679">
        <f t="shared" si="87"/>
        <v>0</v>
      </c>
      <c r="L679">
        <f t="shared" si="81"/>
        <v>0</v>
      </c>
      <c r="M679">
        <f t="shared" si="82"/>
        <v>0</v>
      </c>
      <c r="N679">
        <f t="shared" si="83"/>
        <v>1</v>
      </c>
      <c r="O679">
        <f t="shared" si="84"/>
        <v>1</v>
      </c>
      <c r="P679">
        <f t="shared" si="85"/>
        <v>1</v>
      </c>
      <c r="Q679">
        <f t="shared" si="86"/>
        <v>1</v>
      </c>
      <c r="R679" t="b">
        <v>0</v>
      </c>
      <c r="T679" s="10">
        <v>0.58125</v>
      </c>
      <c r="U679" s="10">
        <v>0.698611111111111</v>
      </c>
      <c r="V679">
        <v>169</v>
      </c>
      <c r="W679" t="b">
        <v>1</v>
      </c>
      <c r="X679" t="s">
        <v>50</v>
      </c>
    </row>
    <row r="680" spans="1:24">
      <c r="A680">
        <v>679</v>
      </c>
      <c r="B680" t="s">
        <v>980</v>
      </c>
      <c r="C680" t="s">
        <v>25</v>
      </c>
      <c r="D680" s="9">
        <v>31788</v>
      </c>
      <c r="E680" s="9" t="str">
        <f t="shared" si="80"/>
        <v>31-41</v>
      </c>
      <c r="F680">
        <v>37</v>
      </c>
      <c r="G680" t="s">
        <v>17</v>
      </c>
      <c r="H680">
        <v>1</v>
      </c>
      <c r="I680" t="s">
        <v>35</v>
      </c>
      <c r="K680">
        <f t="shared" si="87"/>
        <v>0</v>
      </c>
      <c r="L680">
        <f t="shared" si="81"/>
        <v>0</v>
      </c>
      <c r="M680">
        <f t="shared" si="82"/>
        <v>1</v>
      </c>
      <c r="N680">
        <f t="shared" si="83"/>
        <v>0</v>
      </c>
      <c r="O680">
        <f t="shared" si="84"/>
        <v>0</v>
      </c>
      <c r="P680">
        <f t="shared" si="85"/>
        <v>0</v>
      </c>
      <c r="Q680">
        <f t="shared" si="86"/>
        <v>0</v>
      </c>
      <c r="R680" t="b">
        <v>1</v>
      </c>
      <c r="S680" t="s">
        <v>981</v>
      </c>
      <c r="T680" s="10">
        <v>0.381944444444444</v>
      </c>
      <c r="U680" s="10">
        <v>0.409027777777778</v>
      </c>
      <c r="V680">
        <v>39</v>
      </c>
      <c r="W680" t="b">
        <v>0</v>
      </c>
    </row>
    <row r="681" spans="1:24">
      <c r="A681">
        <v>680</v>
      </c>
      <c r="B681" t="s">
        <v>982</v>
      </c>
      <c r="C681" t="s">
        <v>25</v>
      </c>
      <c r="D681" s="9">
        <v>36392</v>
      </c>
      <c r="E681" s="9" t="str">
        <f t="shared" si="80"/>
        <v>20-30</v>
      </c>
      <c r="F681">
        <v>25</v>
      </c>
      <c r="G681" t="s">
        <v>21</v>
      </c>
      <c r="H681">
        <v>3</v>
      </c>
      <c r="I681" t="s">
        <v>150</v>
      </c>
      <c r="K681">
        <f t="shared" si="87"/>
        <v>0</v>
      </c>
      <c r="L681">
        <f t="shared" si="81"/>
        <v>1</v>
      </c>
      <c r="M681">
        <f t="shared" si="82"/>
        <v>0</v>
      </c>
      <c r="N681">
        <f t="shared" si="83"/>
        <v>1</v>
      </c>
      <c r="O681">
        <f t="shared" si="84"/>
        <v>0</v>
      </c>
      <c r="P681">
        <f t="shared" si="85"/>
        <v>0</v>
      </c>
      <c r="Q681">
        <f t="shared" si="86"/>
        <v>1</v>
      </c>
      <c r="R681" t="b">
        <v>1</v>
      </c>
      <c r="S681" t="s">
        <v>67</v>
      </c>
      <c r="T681" s="10">
        <v>0.689583333333333</v>
      </c>
      <c r="U681" s="10">
        <v>0.713888888888889</v>
      </c>
      <c r="V681">
        <v>35</v>
      </c>
      <c r="W681" t="b">
        <v>1</v>
      </c>
      <c r="X681" t="s">
        <v>47</v>
      </c>
    </row>
    <row r="682" spans="1:24">
      <c r="A682">
        <v>681</v>
      </c>
      <c r="B682" t="s">
        <v>983</v>
      </c>
      <c r="C682" t="s">
        <v>16</v>
      </c>
      <c r="D682" s="9">
        <v>31737</v>
      </c>
      <c r="E682" s="9" t="str">
        <f t="shared" si="80"/>
        <v>31-41</v>
      </c>
      <c r="F682">
        <v>37</v>
      </c>
      <c r="G682" t="s">
        <v>17</v>
      </c>
      <c r="H682">
        <v>1</v>
      </c>
      <c r="I682" t="s">
        <v>46</v>
      </c>
      <c r="K682">
        <f t="shared" si="87"/>
        <v>0</v>
      </c>
      <c r="L682">
        <f t="shared" si="81"/>
        <v>1</v>
      </c>
      <c r="M682">
        <f t="shared" si="82"/>
        <v>0</v>
      </c>
      <c r="N682">
        <f t="shared" si="83"/>
        <v>0</v>
      </c>
      <c r="O682">
        <f t="shared" si="84"/>
        <v>0</v>
      </c>
      <c r="P682">
        <f t="shared" si="85"/>
        <v>0</v>
      </c>
      <c r="Q682">
        <f t="shared" si="86"/>
        <v>0</v>
      </c>
      <c r="R682" t="b">
        <v>0</v>
      </c>
      <c r="T682" s="10">
        <v>0.382638888888889</v>
      </c>
      <c r="U682" s="10">
        <v>0.463888888888889</v>
      </c>
      <c r="V682">
        <v>117</v>
      </c>
      <c r="W682" t="b">
        <v>1</v>
      </c>
      <c r="X682" t="s">
        <v>28</v>
      </c>
    </row>
    <row r="683" spans="1:24">
      <c r="A683">
        <v>682</v>
      </c>
      <c r="B683" t="s">
        <v>984</v>
      </c>
      <c r="C683" t="s">
        <v>25</v>
      </c>
      <c r="D683" s="9">
        <v>32808</v>
      </c>
      <c r="E683" s="9" t="str">
        <f t="shared" si="80"/>
        <v>31-41</v>
      </c>
      <c r="F683">
        <v>34</v>
      </c>
      <c r="G683" t="s">
        <v>17</v>
      </c>
      <c r="H683">
        <v>3</v>
      </c>
      <c r="I683" t="s">
        <v>106</v>
      </c>
      <c r="K683">
        <f t="shared" si="87"/>
        <v>1</v>
      </c>
      <c r="L683">
        <f t="shared" si="81"/>
        <v>1</v>
      </c>
      <c r="M683">
        <f t="shared" si="82"/>
        <v>0</v>
      </c>
      <c r="N683">
        <f t="shared" si="83"/>
        <v>0</v>
      </c>
      <c r="O683">
        <f t="shared" si="84"/>
        <v>1</v>
      </c>
      <c r="P683">
        <f t="shared" si="85"/>
        <v>0</v>
      </c>
      <c r="Q683">
        <f t="shared" si="86"/>
        <v>0</v>
      </c>
      <c r="R683" t="b">
        <v>0</v>
      </c>
      <c r="T683" s="10">
        <v>0.454166666666667</v>
      </c>
      <c r="U683" s="10">
        <v>0.5125</v>
      </c>
      <c r="V683">
        <v>84</v>
      </c>
      <c r="W683" t="b">
        <v>1</v>
      </c>
      <c r="X683" t="s">
        <v>50</v>
      </c>
    </row>
    <row r="684" spans="1:24">
      <c r="A684">
        <v>683</v>
      </c>
      <c r="B684" t="s">
        <v>985</v>
      </c>
      <c r="C684" t="s">
        <v>25</v>
      </c>
      <c r="D684" s="9">
        <v>27550</v>
      </c>
      <c r="E684" s="9" t="str">
        <f t="shared" si="80"/>
        <v>41-50</v>
      </c>
      <c r="F684">
        <v>49</v>
      </c>
      <c r="G684" t="s">
        <v>21</v>
      </c>
      <c r="H684">
        <v>1</v>
      </c>
      <c r="I684" t="s">
        <v>46</v>
      </c>
      <c r="K684">
        <f t="shared" si="87"/>
        <v>0</v>
      </c>
      <c r="L684">
        <f t="shared" si="81"/>
        <v>1</v>
      </c>
      <c r="M684">
        <f t="shared" si="82"/>
        <v>0</v>
      </c>
      <c r="N684">
        <f t="shared" si="83"/>
        <v>0</v>
      </c>
      <c r="O684">
        <f t="shared" si="84"/>
        <v>0</v>
      </c>
      <c r="P684">
        <f t="shared" si="85"/>
        <v>0</v>
      </c>
      <c r="Q684">
        <f t="shared" si="86"/>
        <v>0</v>
      </c>
      <c r="R684" t="b">
        <v>1</v>
      </c>
      <c r="S684" t="s">
        <v>986</v>
      </c>
      <c r="T684" s="10">
        <v>0.849305555555556</v>
      </c>
      <c r="U684" s="10">
        <v>0.966666666666667</v>
      </c>
      <c r="V684">
        <v>169</v>
      </c>
      <c r="W684" t="b">
        <v>0</v>
      </c>
    </row>
    <row r="685" spans="1:24">
      <c r="A685">
        <v>684</v>
      </c>
      <c r="B685" t="s">
        <v>987</v>
      </c>
      <c r="C685" t="s">
        <v>16</v>
      </c>
      <c r="D685" s="9">
        <v>38711</v>
      </c>
      <c r="E685" s="9" t="str">
        <f t="shared" si="80"/>
        <v>below 20</v>
      </c>
      <c r="F685">
        <v>18</v>
      </c>
      <c r="G685" t="s">
        <v>21</v>
      </c>
      <c r="H685">
        <v>1</v>
      </c>
      <c r="I685" t="s">
        <v>81</v>
      </c>
      <c r="K685">
        <f t="shared" si="87"/>
        <v>0</v>
      </c>
      <c r="L685">
        <f t="shared" si="81"/>
        <v>0</v>
      </c>
      <c r="M685">
        <f t="shared" si="82"/>
        <v>0</v>
      </c>
      <c r="N685">
        <f t="shared" si="83"/>
        <v>0</v>
      </c>
      <c r="O685">
        <f t="shared" si="84"/>
        <v>0</v>
      </c>
      <c r="P685">
        <f t="shared" si="85"/>
        <v>1</v>
      </c>
      <c r="Q685">
        <f t="shared" si="86"/>
        <v>0</v>
      </c>
      <c r="R685" t="b">
        <v>1</v>
      </c>
      <c r="S685" t="s">
        <v>19</v>
      </c>
      <c r="T685" s="10">
        <v>0.74375</v>
      </c>
      <c r="U685" s="10">
        <v>0.771527777777778</v>
      </c>
      <c r="V685">
        <v>40</v>
      </c>
      <c r="W685" t="b">
        <v>0</v>
      </c>
    </row>
    <row r="686" spans="1:24">
      <c r="A686">
        <v>685</v>
      </c>
      <c r="B686" t="s">
        <v>906</v>
      </c>
      <c r="C686" t="s">
        <v>25</v>
      </c>
      <c r="D686" s="9">
        <v>29813</v>
      </c>
      <c r="E686" s="9" t="str">
        <f t="shared" si="80"/>
        <v>41-50</v>
      </c>
      <c r="F686">
        <v>43</v>
      </c>
      <c r="G686" t="s">
        <v>21</v>
      </c>
      <c r="H686">
        <v>2</v>
      </c>
      <c r="I686" t="s">
        <v>203</v>
      </c>
      <c r="K686">
        <f t="shared" si="87"/>
        <v>1</v>
      </c>
      <c r="L686">
        <f t="shared" si="81"/>
        <v>0</v>
      </c>
      <c r="M686">
        <f t="shared" si="82"/>
        <v>0</v>
      </c>
      <c r="N686">
        <f t="shared" si="83"/>
        <v>0</v>
      </c>
      <c r="O686">
        <f t="shared" si="84"/>
        <v>0</v>
      </c>
      <c r="P686">
        <f t="shared" si="85"/>
        <v>1</v>
      </c>
      <c r="Q686">
        <f t="shared" si="86"/>
        <v>0</v>
      </c>
      <c r="R686" t="b">
        <v>0</v>
      </c>
      <c r="T686" s="10">
        <v>0.774305555555555</v>
      </c>
      <c r="U686" s="10">
        <v>0.861111111111111</v>
      </c>
      <c r="V686">
        <v>125</v>
      </c>
      <c r="W686" t="b">
        <v>1</v>
      </c>
      <c r="X686" t="s">
        <v>23</v>
      </c>
    </row>
    <row r="687" spans="1:24">
      <c r="A687">
        <v>686</v>
      </c>
      <c r="B687" t="s">
        <v>988</v>
      </c>
      <c r="C687" t="s">
        <v>16</v>
      </c>
      <c r="D687" s="9">
        <v>34458</v>
      </c>
      <c r="E687" s="9" t="str">
        <f t="shared" si="80"/>
        <v>20-30</v>
      </c>
      <c r="F687">
        <v>30</v>
      </c>
      <c r="G687" t="s">
        <v>17</v>
      </c>
      <c r="H687">
        <v>3</v>
      </c>
      <c r="I687" t="s">
        <v>315</v>
      </c>
      <c r="K687">
        <f t="shared" si="87"/>
        <v>0</v>
      </c>
      <c r="L687">
        <f t="shared" si="81"/>
        <v>0</v>
      </c>
      <c r="M687">
        <f t="shared" si="82"/>
        <v>1</v>
      </c>
      <c r="N687">
        <f t="shared" si="83"/>
        <v>0</v>
      </c>
      <c r="O687">
        <f t="shared" si="84"/>
        <v>1</v>
      </c>
      <c r="P687">
        <f t="shared" si="85"/>
        <v>0</v>
      </c>
      <c r="Q687">
        <f t="shared" si="86"/>
        <v>1</v>
      </c>
      <c r="R687" t="b">
        <v>0</v>
      </c>
      <c r="T687" s="10">
        <v>0.427777777777778</v>
      </c>
      <c r="U687" s="10">
        <v>0.540972222222222</v>
      </c>
      <c r="V687">
        <v>163</v>
      </c>
      <c r="W687" t="b">
        <v>0</v>
      </c>
    </row>
    <row r="688" spans="1:24">
      <c r="A688">
        <v>687</v>
      </c>
      <c r="B688" t="s">
        <v>989</v>
      </c>
      <c r="C688" t="s">
        <v>25</v>
      </c>
      <c r="D688" s="9">
        <v>34753</v>
      </c>
      <c r="E688" s="9" t="str">
        <f t="shared" si="80"/>
        <v>20-30</v>
      </c>
      <c r="F688">
        <v>29</v>
      </c>
      <c r="G688" t="s">
        <v>21</v>
      </c>
      <c r="H688">
        <v>3</v>
      </c>
      <c r="I688" t="s">
        <v>22</v>
      </c>
      <c r="K688">
        <f t="shared" si="87"/>
        <v>1</v>
      </c>
      <c r="L688">
        <f t="shared" si="81"/>
        <v>0</v>
      </c>
      <c r="M688">
        <f t="shared" si="82"/>
        <v>0</v>
      </c>
      <c r="N688">
        <f t="shared" si="83"/>
        <v>0</v>
      </c>
      <c r="O688">
        <f t="shared" si="84"/>
        <v>0</v>
      </c>
      <c r="P688">
        <f t="shared" si="85"/>
        <v>1</v>
      </c>
      <c r="Q688">
        <f t="shared" si="86"/>
        <v>1</v>
      </c>
      <c r="R688" t="b">
        <v>1</v>
      </c>
      <c r="S688" t="s">
        <v>19</v>
      </c>
      <c r="T688" s="10">
        <v>0.384027777777778</v>
      </c>
      <c r="U688" s="10">
        <v>0.456944444444444</v>
      </c>
      <c r="V688">
        <v>105</v>
      </c>
      <c r="W688" t="b">
        <v>0</v>
      </c>
    </row>
    <row r="689" spans="1:24">
      <c r="A689">
        <v>688</v>
      </c>
      <c r="B689" t="s">
        <v>990</v>
      </c>
      <c r="C689" t="s">
        <v>25</v>
      </c>
      <c r="D689" s="9">
        <v>40760</v>
      </c>
      <c r="E689" s="9" t="str">
        <f t="shared" si="80"/>
        <v>below 20</v>
      </c>
      <c r="F689">
        <v>13</v>
      </c>
      <c r="G689" t="s">
        <v>17</v>
      </c>
      <c r="H689">
        <v>3</v>
      </c>
      <c r="I689" t="s">
        <v>215</v>
      </c>
      <c r="K689">
        <f t="shared" si="87"/>
        <v>1</v>
      </c>
      <c r="L689">
        <f t="shared" si="81"/>
        <v>1</v>
      </c>
      <c r="M689">
        <f t="shared" si="82"/>
        <v>1</v>
      </c>
      <c r="N689">
        <f t="shared" si="83"/>
        <v>0</v>
      </c>
      <c r="O689">
        <f t="shared" si="84"/>
        <v>0</v>
      </c>
      <c r="P689">
        <f t="shared" si="85"/>
        <v>0</v>
      </c>
      <c r="Q689">
        <f t="shared" si="86"/>
        <v>0</v>
      </c>
      <c r="R689" t="b">
        <v>0</v>
      </c>
      <c r="T689" s="10">
        <v>0.850694444444445</v>
      </c>
      <c r="U689" s="10">
        <v>0.959722222222222</v>
      </c>
      <c r="V689">
        <v>157</v>
      </c>
      <c r="W689" t="b">
        <v>1</v>
      </c>
      <c r="X689" t="s">
        <v>23</v>
      </c>
    </row>
    <row r="690" spans="1:24">
      <c r="A690">
        <v>689</v>
      </c>
      <c r="B690" t="s">
        <v>991</v>
      </c>
      <c r="C690" t="s">
        <v>16</v>
      </c>
      <c r="D690" s="9">
        <v>40665</v>
      </c>
      <c r="E690" s="9" t="str">
        <f t="shared" si="80"/>
        <v>below 20</v>
      </c>
      <c r="F690">
        <v>13</v>
      </c>
      <c r="G690" t="s">
        <v>21</v>
      </c>
      <c r="H690">
        <v>5</v>
      </c>
      <c r="I690" t="s">
        <v>567</v>
      </c>
      <c r="K690">
        <f t="shared" si="87"/>
        <v>1</v>
      </c>
      <c r="L690">
        <f t="shared" si="81"/>
        <v>0</v>
      </c>
      <c r="M690">
        <f t="shared" si="82"/>
        <v>0</v>
      </c>
      <c r="N690">
        <f t="shared" si="83"/>
        <v>1</v>
      </c>
      <c r="O690">
        <f t="shared" si="84"/>
        <v>1</v>
      </c>
      <c r="P690">
        <f t="shared" si="85"/>
        <v>1</v>
      </c>
      <c r="Q690">
        <f t="shared" si="86"/>
        <v>1</v>
      </c>
      <c r="R690" t="b">
        <v>0</v>
      </c>
      <c r="T690" s="10">
        <v>0.407638888888889</v>
      </c>
      <c r="U690" s="10">
        <v>0.472222222222222</v>
      </c>
      <c r="V690">
        <v>93</v>
      </c>
      <c r="W690" t="b">
        <v>1</v>
      </c>
      <c r="X690" t="s">
        <v>47</v>
      </c>
    </row>
    <row r="691" spans="1:24">
      <c r="A691">
        <v>690</v>
      </c>
      <c r="B691" t="s">
        <v>992</v>
      </c>
      <c r="C691" t="s">
        <v>25</v>
      </c>
      <c r="D691" s="9">
        <v>29095</v>
      </c>
      <c r="E691" s="9" t="str">
        <f t="shared" si="80"/>
        <v>41-50</v>
      </c>
      <c r="F691">
        <v>45</v>
      </c>
      <c r="G691" t="s">
        <v>17</v>
      </c>
      <c r="H691">
        <v>3</v>
      </c>
      <c r="I691" t="s">
        <v>164</v>
      </c>
      <c r="K691">
        <f t="shared" si="87"/>
        <v>0</v>
      </c>
      <c r="L691">
        <f t="shared" si="81"/>
        <v>0</v>
      </c>
      <c r="M691">
        <f t="shared" si="82"/>
        <v>1</v>
      </c>
      <c r="N691">
        <f t="shared" si="83"/>
        <v>0</v>
      </c>
      <c r="O691">
        <f t="shared" si="84"/>
        <v>1</v>
      </c>
      <c r="P691">
        <f t="shared" si="85"/>
        <v>1</v>
      </c>
      <c r="Q691">
        <f t="shared" si="86"/>
        <v>0</v>
      </c>
      <c r="R691" t="b">
        <v>0</v>
      </c>
      <c r="T691" s="10">
        <v>0.548611111111111</v>
      </c>
      <c r="U691" s="10">
        <v>0.604166666666667</v>
      </c>
      <c r="V691">
        <v>80</v>
      </c>
      <c r="W691" t="b">
        <v>0</v>
      </c>
    </row>
    <row r="692" spans="1:24">
      <c r="A692">
        <v>691</v>
      </c>
      <c r="B692" t="s">
        <v>993</v>
      </c>
      <c r="C692" t="s">
        <v>25</v>
      </c>
      <c r="D692" s="9">
        <v>35191</v>
      </c>
      <c r="E692" s="9" t="str">
        <f t="shared" si="80"/>
        <v>20-30</v>
      </c>
      <c r="F692">
        <v>28</v>
      </c>
      <c r="G692" t="s">
        <v>17</v>
      </c>
      <c r="H692">
        <v>3</v>
      </c>
      <c r="I692" t="s">
        <v>159</v>
      </c>
      <c r="K692">
        <f t="shared" si="87"/>
        <v>0</v>
      </c>
      <c r="L692">
        <f t="shared" si="81"/>
        <v>1</v>
      </c>
      <c r="M692">
        <f t="shared" si="82"/>
        <v>0</v>
      </c>
      <c r="N692">
        <f t="shared" si="83"/>
        <v>0</v>
      </c>
      <c r="O692">
        <f t="shared" si="84"/>
        <v>1</v>
      </c>
      <c r="P692">
        <f t="shared" si="85"/>
        <v>0</v>
      </c>
      <c r="Q692">
        <f t="shared" si="86"/>
        <v>1</v>
      </c>
      <c r="R692" t="b">
        <v>0</v>
      </c>
      <c r="T692" s="10">
        <v>0.428472222222222</v>
      </c>
      <c r="U692" s="10">
        <v>0.478472222222222</v>
      </c>
      <c r="V692">
        <v>72</v>
      </c>
      <c r="W692" t="b">
        <v>1</v>
      </c>
      <c r="X692" t="s">
        <v>50</v>
      </c>
    </row>
    <row r="693" spans="1:24">
      <c r="A693">
        <v>692</v>
      </c>
      <c r="B693" t="s">
        <v>994</v>
      </c>
      <c r="C693" t="s">
        <v>16</v>
      </c>
      <c r="D693" s="9">
        <v>39416</v>
      </c>
      <c r="E693" s="9" t="str">
        <f t="shared" si="80"/>
        <v>below 20</v>
      </c>
      <c r="F693">
        <v>16</v>
      </c>
      <c r="G693" t="s">
        <v>17</v>
      </c>
      <c r="H693">
        <v>4</v>
      </c>
      <c r="I693" t="s">
        <v>219</v>
      </c>
      <c r="K693">
        <f t="shared" si="87"/>
        <v>0</v>
      </c>
      <c r="L693">
        <f t="shared" si="81"/>
        <v>1</v>
      </c>
      <c r="M693">
        <f t="shared" si="82"/>
        <v>0</v>
      </c>
      <c r="N693">
        <f t="shared" si="83"/>
        <v>1</v>
      </c>
      <c r="O693">
        <f t="shared" si="84"/>
        <v>1</v>
      </c>
      <c r="P693">
        <f t="shared" si="85"/>
        <v>0</v>
      </c>
      <c r="Q693">
        <f t="shared" si="86"/>
        <v>1</v>
      </c>
      <c r="R693" t="b">
        <v>1</v>
      </c>
      <c r="S693" t="s">
        <v>70</v>
      </c>
      <c r="T693" s="10">
        <v>0.68125</v>
      </c>
      <c r="U693" s="10">
        <v>0.76875</v>
      </c>
      <c r="V693">
        <v>126</v>
      </c>
      <c r="W693" t="b">
        <v>1</v>
      </c>
      <c r="X693" t="s">
        <v>50</v>
      </c>
    </row>
    <row r="694" spans="1:24">
      <c r="A694">
        <v>693</v>
      </c>
      <c r="B694" t="s">
        <v>995</v>
      </c>
      <c r="C694" t="s">
        <v>16</v>
      </c>
      <c r="D694" s="9">
        <v>32125</v>
      </c>
      <c r="E694" s="9" t="str">
        <f t="shared" si="80"/>
        <v>31-41</v>
      </c>
      <c r="F694">
        <v>36</v>
      </c>
      <c r="G694" t="s">
        <v>21</v>
      </c>
      <c r="H694">
        <v>4</v>
      </c>
      <c r="I694" t="s">
        <v>439</v>
      </c>
      <c r="K694">
        <f t="shared" si="87"/>
        <v>0</v>
      </c>
      <c r="L694">
        <f t="shared" si="81"/>
        <v>1</v>
      </c>
      <c r="M694">
        <f t="shared" si="82"/>
        <v>1</v>
      </c>
      <c r="N694">
        <f t="shared" si="83"/>
        <v>1</v>
      </c>
      <c r="O694">
        <f t="shared" si="84"/>
        <v>1</v>
      </c>
      <c r="P694">
        <f t="shared" si="85"/>
        <v>0</v>
      </c>
      <c r="Q694">
        <f t="shared" si="86"/>
        <v>0</v>
      </c>
      <c r="R694" t="b">
        <v>0</v>
      </c>
      <c r="T694" s="10">
        <v>0.731944444444444</v>
      </c>
      <c r="U694" s="10">
        <v>0.763194444444444</v>
      </c>
      <c r="V694">
        <v>45</v>
      </c>
      <c r="W694" t="b">
        <v>1</v>
      </c>
      <c r="X694" t="s">
        <v>47</v>
      </c>
    </row>
    <row r="695" spans="1:24">
      <c r="A695">
        <v>694</v>
      </c>
      <c r="B695" t="s">
        <v>996</v>
      </c>
      <c r="C695" t="s">
        <v>16</v>
      </c>
      <c r="D695" s="9">
        <v>38381</v>
      </c>
      <c r="E695" s="9" t="str">
        <f t="shared" si="80"/>
        <v>below 20</v>
      </c>
      <c r="F695">
        <v>19</v>
      </c>
      <c r="G695" t="s">
        <v>21</v>
      </c>
      <c r="H695">
        <v>2</v>
      </c>
      <c r="I695" t="s">
        <v>272</v>
      </c>
      <c r="K695">
        <f t="shared" si="87"/>
        <v>0</v>
      </c>
      <c r="L695">
        <f t="shared" si="81"/>
        <v>0</v>
      </c>
      <c r="M695">
        <f t="shared" si="82"/>
        <v>1</v>
      </c>
      <c r="N695">
        <f t="shared" si="83"/>
        <v>1</v>
      </c>
      <c r="O695">
        <f t="shared" si="84"/>
        <v>0</v>
      </c>
      <c r="P695">
        <f t="shared" si="85"/>
        <v>0</v>
      </c>
      <c r="Q695">
        <f t="shared" si="86"/>
        <v>0</v>
      </c>
      <c r="R695" t="b">
        <v>0</v>
      </c>
      <c r="T695" s="10">
        <v>0.694444444444445</v>
      </c>
      <c r="U695" s="10">
        <v>0.733333333333333</v>
      </c>
      <c r="V695">
        <v>56</v>
      </c>
      <c r="W695" t="b">
        <v>1</v>
      </c>
      <c r="X695" t="s">
        <v>28</v>
      </c>
    </row>
    <row r="696" spans="1:24">
      <c r="A696">
        <v>695</v>
      </c>
      <c r="B696" t="s">
        <v>997</v>
      </c>
      <c r="C696" t="s">
        <v>16</v>
      </c>
      <c r="D696" s="9">
        <v>35635</v>
      </c>
      <c r="E696" s="9" t="str">
        <f t="shared" si="80"/>
        <v>20-30</v>
      </c>
      <c r="F696">
        <v>27</v>
      </c>
      <c r="G696" t="s">
        <v>21</v>
      </c>
      <c r="H696">
        <v>1</v>
      </c>
      <c r="I696" t="s">
        <v>185</v>
      </c>
      <c r="K696">
        <f t="shared" si="87"/>
        <v>0</v>
      </c>
      <c r="L696">
        <f t="shared" si="81"/>
        <v>0</v>
      </c>
      <c r="M696">
        <f t="shared" si="82"/>
        <v>0</v>
      </c>
      <c r="N696">
        <f t="shared" si="83"/>
        <v>1</v>
      </c>
      <c r="O696">
        <f t="shared" si="84"/>
        <v>0</v>
      </c>
      <c r="P696">
        <f t="shared" si="85"/>
        <v>0</v>
      </c>
      <c r="Q696">
        <f t="shared" si="86"/>
        <v>0</v>
      </c>
      <c r="R696" t="b">
        <v>0</v>
      </c>
      <c r="T696" s="10">
        <v>0.520833333333333</v>
      </c>
      <c r="U696" s="10">
        <v>0.631944444444444</v>
      </c>
      <c r="V696">
        <v>160</v>
      </c>
      <c r="W696" t="b">
        <v>0</v>
      </c>
    </row>
    <row r="697" spans="1:24">
      <c r="A697">
        <v>696</v>
      </c>
      <c r="B697" t="s">
        <v>998</v>
      </c>
      <c r="C697" t="s">
        <v>16</v>
      </c>
      <c r="D697" s="9">
        <v>36740</v>
      </c>
      <c r="E697" s="9" t="str">
        <f t="shared" si="80"/>
        <v>20-30</v>
      </c>
      <c r="F697">
        <v>24</v>
      </c>
      <c r="G697" t="s">
        <v>21</v>
      </c>
      <c r="H697">
        <v>4</v>
      </c>
      <c r="I697" t="s">
        <v>123</v>
      </c>
      <c r="K697">
        <f t="shared" si="87"/>
        <v>0</v>
      </c>
      <c r="L697">
        <f t="shared" si="81"/>
        <v>1</v>
      </c>
      <c r="M697">
        <f t="shared" si="82"/>
        <v>1</v>
      </c>
      <c r="N697">
        <f t="shared" si="83"/>
        <v>0</v>
      </c>
      <c r="O697">
        <f t="shared" si="84"/>
        <v>1</v>
      </c>
      <c r="P697">
        <f t="shared" si="85"/>
        <v>1</v>
      </c>
      <c r="Q697">
        <f t="shared" si="86"/>
        <v>0</v>
      </c>
      <c r="R697" t="b">
        <v>1</v>
      </c>
      <c r="S697" t="s">
        <v>260</v>
      </c>
      <c r="T697" s="10">
        <v>0.488194444444444</v>
      </c>
      <c r="U697" s="10">
        <v>0.552083333333333</v>
      </c>
      <c r="V697">
        <v>92</v>
      </c>
      <c r="W697" t="b">
        <v>0</v>
      </c>
    </row>
    <row r="698" spans="1:24">
      <c r="A698">
        <v>697</v>
      </c>
      <c r="B698" t="s">
        <v>584</v>
      </c>
      <c r="C698" t="s">
        <v>25</v>
      </c>
      <c r="D698" s="9">
        <v>37326</v>
      </c>
      <c r="E698" s="9" t="str">
        <f t="shared" si="80"/>
        <v>20-30</v>
      </c>
      <c r="F698">
        <v>22</v>
      </c>
      <c r="G698" t="s">
        <v>21</v>
      </c>
      <c r="H698">
        <v>5</v>
      </c>
      <c r="I698" t="s">
        <v>152</v>
      </c>
      <c r="K698">
        <f t="shared" si="87"/>
        <v>1</v>
      </c>
      <c r="L698">
        <f t="shared" si="81"/>
        <v>0</v>
      </c>
      <c r="M698">
        <f t="shared" si="82"/>
        <v>1</v>
      </c>
      <c r="N698">
        <f t="shared" si="83"/>
        <v>1</v>
      </c>
      <c r="O698">
        <f t="shared" si="84"/>
        <v>1</v>
      </c>
      <c r="P698">
        <f t="shared" si="85"/>
        <v>0</v>
      </c>
      <c r="Q698">
        <f t="shared" si="86"/>
        <v>1</v>
      </c>
      <c r="R698" t="b">
        <v>1</v>
      </c>
      <c r="S698" t="s">
        <v>83</v>
      </c>
      <c r="T698" s="10">
        <v>0.438194444444444</v>
      </c>
      <c r="U698" s="10">
        <v>0.531944444444444</v>
      </c>
      <c r="V698">
        <v>135</v>
      </c>
      <c r="W698" t="b">
        <v>1</v>
      </c>
      <c r="X698" t="s">
        <v>28</v>
      </c>
    </row>
    <row r="699" spans="1:24">
      <c r="A699">
        <v>698</v>
      </c>
      <c r="B699" t="s">
        <v>191</v>
      </c>
      <c r="C699" t="s">
        <v>25</v>
      </c>
      <c r="D699" s="9">
        <v>27474</v>
      </c>
      <c r="E699" s="9" t="str">
        <f t="shared" si="80"/>
        <v>41-50</v>
      </c>
      <c r="F699">
        <v>49</v>
      </c>
      <c r="G699" t="s">
        <v>21</v>
      </c>
      <c r="H699">
        <v>3</v>
      </c>
      <c r="I699" t="s">
        <v>241</v>
      </c>
      <c r="K699">
        <f t="shared" si="87"/>
        <v>0</v>
      </c>
      <c r="L699">
        <f t="shared" si="81"/>
        <v>0</v>
      </c>
      <c r="M699">
        <f t="shared" si="82"/>
        <v>1</v>
      </c>
      <c r="N699">
        <f t="shared" si="83"/>
        <v>1</v>
      </c>
      <c r="O699">
        <f t="shared" si="84"/>
        <v>1</v>
      </c>
      <c r="P699">
        <f t="shared" si="85"/>
        <v>0</v>
      </c>
      <c r="Q699">
        <f t="shared" si="86"/>
        <v>0</v>
      </c>
      <c r="R699" t="b">
        <v>0</v>
      </c>
      <c r="T699" s="10">
        <v>0.619444444444444</v>
      </c>
      <c r="U699" s="10">
        <v>0.718055555555556</v>
      </c>
      <c r="V699">
        <v>142</v>
      </c>
      <c r="W699" t="b">
        <v>1</v>
      </c>
      <c r="X699" t="s">
        <v>23</v>
      </c>
    </row>
    <row r="700" spans="1:24">
      <c r="A700">
        <v>699</v>
      </c>
      <c r="B700" t="s">
        <v>999</v>
      </c>
      <c r="C700" t="s">
        <v>25</v>
      </c>
      <c r="D700" s="9">
        <v>39939</v>
      </c>
      <c r="E700" s="9" t="str">
        <f t="shared" si="80"/>
        <v>below 20</v>
      </c>
      <c r="F700">
        <v>15</v>
      </c>
      <c r="G700" t="s">
        <v>17</v>
      </c>
      <c r="H700">
        <v>3</v>
      </c>
      <c r="I700" t="s">
        <v>159</v>
      </c>
      <c r="K700">
        <f t="shared" si="87"/>
        <v>0</v>
      </c>
      <c r="L700">
        <f t="shared" si="81"/>
        <v>1</v>
      </c>
      <c r="M700">
        <f t="shared" si="82"/>
        <v>0</v>
      </c>
      <c r="N700">
        <f t="shared" si="83"/>
        <v>0</v>
      </c>
      <c r="O700">
        <f t="shared" si="84"/>
        <v>1</v>
      </c>
      <c r="P700">
        <f t="shared" si="85"/>
        <v>0</v>
      </c>
      <c r="Q700">
        <f t="shared" si="86"/>
        <v>1</v>
      </c>
      <c r="R700" t="b">
        <v>1</v>
      </c>
      <c r="S700" t="s">
        <v>201</v>
      </c>
      <c r="T700" s="10">
        <v>0.754166666666667</v>
      </c>
      <c r="U700" s="10">
        <v>0.827083333333333</v>
      </c>
      <c r="V700">
        <v>105</v>
      </c>
      <c r="W700" t="b">
        <v>1</v>
      </c>
      <c r="X700" t="s">
        <v>47</v>
      </c>
    </row>
    <row r="701" spans="1:24">
      <c r="A701">
        <v>700</v>
      </c>
      <c r="B701" t="s">
        <v>1000</v>
      </c>
      <c r="C701" t="s">
        <v>16</v>
      </c>
      <c r="D701" s="9">
        <v>32490</v>
      </c>
      <c r="E701" s="9" t="str">
        <f t="shared" si="80"/>
        <v>31-41</v>
      </c>
      <c r="F701">
        <v>35</v>
      </c>
      <c r="G701" t="s">
        <v>17</v>
      </c>
      <c r="H701">
        <v>3</v>
      </c>
      <c r="I701" t="s">
        <v>315</v>
      </c>
      <c r="K701">
        <f t="shared" si="87"/>
        <v>0</v>
      </c>
      <c r="L701">
        <f t="shared" si="81"/>
        <v>0</v>
      </c>
      <c r="M701">
        <f t="shared" si="82"/>
        <v>1</v>
      </c>
      <c r="N701">
        <f t="shared" si="83"/>
        <v>0</v>
      </c>
      <c r="O701">
        <f t="shared" si="84"/>
        <v>1</v>
      </c>
      <c r="P701">
        <f t="shared" si="85"/>
        <v>0</v>
      </c>
      <c r="Q701">
        <f t="shared" si="86"/>
        <v>1</v>
      </c>
      <c r="R701" t="b">
        <v>0</v>
      </c>
      <c r="T701" s="10">
        <v>0.690972222222222</v>
      </c>
      <c r="U701" s="10">
        <v>0.734027777777778</v>
      </c>
      <c r="V701">
        <v>62</v>
      </c>
      <c r="W701" t="b">
        <v>0</v>
      </c>
    </row>
    <row r="702" spans="1:24">
      <c r="A702">
        <v>701</v>
      </c>
      <c r="B702" t="s">
        <v>1001</v>
      </c>
      <c r="C702" t="s">
        <v>16</v>
      </c>
      <c r="D702" s="9">
        <v>36813</v>
      </c>
      <c r="E702" s="9" t="str">
        <f t="shared" si="80"/>
        <v>20-30</v>
      </c>
      <c r="F702">
        <v>23</v>
      </c>
      <c r="G702" t="s">
        <v>21</v>
      </c>
      <c r="H702">
        <v>5</v>
      </c>
      <c r="I702" t="s">
        <v>863</v>
      </c>
      <c r="K702">
        <f t="shared" si="87"/>
        <v>1</v>
      </c>
      <c r="L702">
        <f t="shared" si="81"/>
        <v>1</v>
      </c>
      <c r="M702">
        <f t="shared" si="82"/>
        <v>1</v>
      </c>
      <c r="N702">
        <f t="shared" si="83"/>
        <v>0</v>
      </c>
      <c r="O702">
        <f t="shared" si="84"/>
        <v>1</v>
      </c>
      <c r="P702">
        <f t="shared" si="85"/>
        <v>0</v>
      </c>
      <c r="Q702">
        <f t="shared" si="86"/>
        <v>1</v>
      </c>
      <c r="R702" t="b">
        <v>1</v>
      </c>
      <c r="S702" t="s">
        <v>973</v>
      </c>
      <c r="T702" s="10">
        <v>0.471527777777778</v>
      </c>
      <c r="U702" s="10">
        <v>0.577777777777778</v>
      </c>
      <c r="V702">
        <v>153</v>
      </c>
      <c r="W702" t="b">
        <v>0</v>
      </c>
    </row>
    <row r="703" spans="1:24">
      <c r="A703">
        <v>702</v>
      </c>
      <c r="B703" t="s">
        <v>1002</v>
      </c>
      <c r="C703" t="s">
        <v>25</v>
      </c>
      <c r="D703" s="9">
        <v>30564</v>
      </c>
      <c r="E703" s="9" t="str">
        <f t="shared" si="80"/>
        <v>41-50</v>
      </c>
      <c r="F703">
        <v>41</v>
      </c>
      <c r="G703" t="s">
        <v>21</v>
      </c>
      <c r="H703">
        <v>5</v>
      </c>
      <c r="I703" t="s">
        <v>152</v>
      </c>
      <c r="K703">
        <f t="shared" si="87"/>
        <v>1</v>
      </c>
      <c r="L703">
        <f t="shared" si="81"/>
        <v>0</v>
      </c>
      <c r="M703">
        <f t="shared" si="82"/>
        <v>1</v>
      </c>
      <c r="N703">
        <f t="shared" si="83"/>
        <v>1</v>
      </c>
      <c r="O703">
        <f t="shared" si="84"/>
        <v>1</v>
      </c>
      <c r="P703">
        <f t="shared" si="85"/>
        <v>0</v>
      </c>
      <c r="Q703">
        <f t="shared" si="86"/>
        <v>1</v>
      </c>
      <c r="R703" t="b">
        <v>0</v>
      </c>
      <c r="T703" s="10">
        <v>0.431944444444444</v>
      </c>
      <c r="U703" s="10">
        <v>0.469444444444444</v>
      </c>
      <c r="V703">
        <v>54</v>
      </c>
      <c r="W703" t="b">
        <v>0</v>
      </c>
    </row>
    <row r="704" spans="1:24">
      <c r="A704">
        <v>703</v>
      </c>
      <c r="B704" t="s">
        <v>1003</v>
      </c>
      <c r="C704" t="s">
        <v>25</v>
      </c>
      <c r="D704" s="9">
        <v>32312</v>
      </c>
      <c r="E704" s="9" t="str">
        <f t="shared" si="80"/>
        <v>31-41</v>
      </c>
      <c r="F704">
        <v>36</v>
      </c>
      <c r="G704" t="s">
        <v>17</v>
      </c>
      <c r="H704">
        <v>3</v>
      </c>
      <c r="I704" t="s">
        <v>85</v>
      </c>
      <c r="K704">
        <f t="shared" si="87"/>
        <v>0</v>
      </c>
      <c r="L704">
        <f t="shared" si="81"/>
        <v>1</v>
      </c>
      <c r="M704">
        <f t="shared" si="82"/>
        <v>1</v>
      </c>
      <c r="N704">
        <f t="shared" si="83"/>
        <v>0</v>
      </c>
      <c r="O704">
        <f t="shared" si="84"/>
        <v>1</v>
      </c>
      <c r="P704">
        <f t="shared" si="85"/>
        <v>0</v>
      </c>
      <c r="Q704">
        <f t="shared" si="86"/>
        <v>0</v>
      </c>
      <c r="R704" t="b">
        <v>1</v>
      </c>
      <c r="S704" t="s">
        <v>1004</v>
      </c>
      <c r="T704" s="10">
        <v>0.667361111111111</v>
      </c>
      <c r="U704" s="10">
        <v>0.747916666666667</v>
      </c>
      <c r="V704">
        <v>116</v>
      </c>
      <c r="W704" t="b">
        <v>1</v>
      </c>
      <c r="X704" t="s">
        <v>28</v>
      </c>
    </row>
    <row r="705" spans="1:24">
      <c r="A705">
        <v>704</v>
      </c>
      <c r="B705" t="s">
        <v>1005</v>
      </c>
      <c r="C705" t="s">
        <v>25</v>
      </c>
      <c r="D705" s="9">
        <v>32555</v>
      </c>
      <c r="E705" s="9" t="str">
        <f t="shared" si="80"/>
        <v>31-41</v>
      </c>
      <c r="F705">
        <v>35</v>
      </c>
      <c r="G705" t="s">
        <v>17</v>
      </c>
      <c r="H705">
        <v>2</v>
      </c>
      <c r="I705" t="s">
        <v>133</v>
      </c>
      <c r="K705">
        <f t="shared" si="87"/>
        <v>1</v>
      </c>
      <c r="L705">
        <f t="shared" si="81"/>
        <v>0</v>
      </c>
      <c r="M705">
        <f t="shared" si="82"/>
        <v>1</v>
      </c>
      <c r="N705">
        <f t="shared" si="83"/>
        <v>0</v>
      </c>
      <c r="O705">
        <f t="shared" si="84"/>
        <v>0</v>
      </c>
      <c r="P705">
        <f t="shared" si="85"/>
        <v>0</v>
      </c>
      <c r="Q705">
        <f t="shared" si="86"/>
        <v>0</v>
      </c>
      <c r="R705" t="b">
        <v>1</v>
      </c>
      <c r="S705" t="s">
        <v>1006</v>
      </c>
      <c r="T705" s="10">
        <v>0.843055555555556</v>
      </c>
      <c r="U705" s="10">
        <v>0.875</v>
      </c>
      <c r="V705">
        <v>46</v>
      </c>
      <c r="W705" t="b">
        <v>1</v>
      </c>
      <c r="X705" t="s">
        <v>47</v>
      </c>
    </row>
    <row r="706" spans="1:24">
      <c r="A706">
        <v>705</v>
      </c>
      <c r="B706" t="s">
        <v>1007</v>
      </c>
      <c r="C706" t="s">
        <v>25</v>
      </c>
      <c r="D706" s="9">
        <v>33572</v>
      </c>
      <c r="E706" s="9" t="str">
        <f t="shared" ref="E706:E769" si="88">IF(F706&lt;20,"below 20",IF(F706&lt;=30,"20-30",IF(F706&lt;=40,"31-41",IF(F706&lt;=50,"41-50","above 50"))))</f>
        <v>31-41</v>
      </c>
      <c r="F706">
        <v>32</v>
      </c>
      <c r="G706" t="s">
        <v>21</v>
      </c>
      <c r="H706">
        <v>3</v>
      </c>
      <c r="I706" t="s">
        <v>266</v>
      </c>
      <c r="K706">
        <f t="shared" si="87"/>
        <v>1</v>
      </c>
      <c r="L706">
        <f t="shared" si="81"/>
        <v>0</v>
      </c>
      <c r="M706">
        <f t="shared" si="82"/>
        <v>0</v>
      </c>
      <c r="N706">
        <f t="shared" si="83"/>
        <v>0</v>
      </c>
      <c r="O706">
        <f t="shared" si="84"/>
        <v>1</v>
      </c>
      <c r="P706">
        <f t="shared" si="85"/>
        <v>1</v>
      </c>
      <c r="Q706">
        <f t="shared" si="86"/>
        <v>0</v>
      </c>
      <c r="R706" t="b">
        <v>1</v>
      </c>
      <c r="S706" t="s">
        <v>1008</v>
      </c>
      <c r="T706" s="10">
        <v>0.728472222222222</v>
      </c>
      <c r="U706" s="10">
        <v>0.799305555555556</v>
      </c>
      <c r="V706">
        <v>102</v>
      </c>
      <c r="W706" t="b">
        <v>0</v>
      </c>
    </row>
    <row r="707" spans="1:24">
      <c r="A707">
        <v>706</v>
      </c>
      <c r="B707" t="s">
        <v>1009</v>
      </c>
      <c r="C707" t="s">
        <v>16</v>
      </c>
      <c r="D707" s="9">
        <v>31211</v>
      </c>
      <c r="E707" s="9" t="str">
        <f t="shared" si="88"/>
        <v>31-41</v>
      </c>
      <c r="F707">
        <v>39</v>
      </c>
      <c r="G707" t="s">
        <v>21</v>
      </c>
      <c r="H707">
        <v>3</v>
      </c>
      <c r="I707" t="s">
        <v>315</v>
      </c>
      <c r="K707">
        <f t="shared" si="87"/>
        <v>0</v>
      </c>
      <c r="L707">
        <f t="shared" ref="L707:L770" si="89">--ISNUMBER(SEARCH("Mon",I707))</f>
        <v>0</v>
      </c>
      <c r="M707">
        <f t="shared" ref="M707:M770" si="90">--ISNUMBER(SEARCH("Tue",I707))</f>
        <v>1</v>
      </c>
      <c r="N707">
        <f t="shared" ref="N707:N770" si="91">--ISNUMBER(SEARCH("Wed",I707))</f>
        <v>0</v>
      </c>
      <c r="O707">
        <f t="shared" ref="O707:O770" si="92">--ISNUMBER(SEARCH("Thu",I707))</f>
        <v>1</v>
      </c>
      <c r="P707">
        <f t="shared" ref="P707:P770" si="93">--ISNUMBER(SEARCH("Fri",I707))</f>
        <v>0</v>
      </c>
      <c r="Q707">
        <f t="shared" ref="Q707:Q770" si="94">--ISNUMBER(SEARCH("Sat",I707))</f>
        <v>1</v>
      </c>
      <c r="R707" t="b">
        <v>0</v>
      </c>
      <c r="T707" s="10">
        <v>0.461805555555556</v>
      </c>
      <c r="U707" s="10">
        <v>0.574305555555556</v>
      </c>
      <c r="V707">
        <v>162</v>
      </c>
      <c r="W707" t="b">
        <v>1</v>
      </c>
      <c r="X707" t="s">
        <v>50</v>
      </c>
    </row>
    <row r="708" spans="1:24">
      <c r="A708">
        <v>707</v>
      </c>
      <c r="B708" t="s">
        <v>1010</v>
      </c>
      <c r="C708" t="s">
        <v>25</v>
      </c>
      <c r="D708" s="9">
        <v>35232</v>
      </c>
      <c r="E708" s="9" t="str">
        <f t="shared" si="88"/>
        <v>20-30</v>
      </c>
      <c r="F708">
        <v>28</v>
      </c>
      <c r="G708" t="s">
        <v>17</v>
      </c>
      <c r="H708">
        <v>5</v>
      </c>
      <c r="I708" t="s">
        <v>183</v>
      </c>
      <c r="K708">
        <f t="shared" si="87"/>
        <v>0</v>
      </c>
      <c r="L708">
        <f t="shared" si="89"/>
        <v>1</v>
      </c>
      <c r="M708">
        <f t="shared" si="90"/>
        <v>1</v>
      </c>
      <c r="N708">
        <f t="shared" si="91"/>
        <v>1</v>
      </c>
      <c r="O708">
        <f t="shared" si="92"/>
        <v>0</v>
      </c>
      <c r="P708">
        <f t="shared" si="93"/>
        <v>1</v>
      </c>
      <c r="Q708">
        <f t="shared" si="94"/>
        <v>1</v>
      </c>
      <c r="R708" t="b">
        <v>1</v>
      </c>
      <c r="S708" t="s">
        <v>1011</v>
      </c>
      <c r="T708" s="10">
        <v>0.563194444444444</v>
      </c>
      <c r="U708" s="10">
        <v>0.625694444444444</v>
      </c>
      <c r="V708">
        <v>90</v>
      </c>
      <c r="W708" t="b">
        <v>1</v>
      </c>
      <c r="X708" t="s">
        <v>23</v>
      </c>
    </row>
    <row r="709" spans="1:24">
      <c r="A709">
        <v>708</v>
      </c>
      <c r="B709" t="s">
        <v>1012</v>
      </c>
      <c r="C709" t="s">
        <v>25</v>
      </c>
      <c r="D709" s="9">
        <v>37054</v>
      </c>
      <c r="E709" s="9" t="str">
        <f t="shared" si="88"/>
        <v>20-30</v>
      </c>
      <c r="F709">
        <v>23</v>
      </c>
      <c r="G709" t="s">
        <v>17</v>
      </c>
      <c r="H709">
        <v>2</v>
      </c>
      <c r="I709" t="s">
        <v>40</v>
      </c>
      <c r="K709">
        <f t="shared" ref="K709:K772" si="95">--ISNUMBER(SEARCH("Sun",I709))</f>
        <v>1</v>
      </c>
      <c r="L709">
        <f t="shared" si="89"/>
        <v>0</v>
      </c>
      <c r="M709">
        <f t="shared" si="90"/>
        <v>0</v>
      </c>
      <c r="N709">
        <f t="shared" si="91"/>
        <v>0</v>
      </c>
      <c r="O709">
        <f t="shared" si="92"/>
        <v>0</v>
      </c>
      <c r="P709">
        <f t="shared" si="93"/>
        <v>0</v>
      </c>
      <c r="Q709">
        <f t="shared" si="94"/>
        <v>1</v>
      </c>
      <c r="R709" t="b">
        <v>1</v>
      </c>
      <c r="S709" t="s">
        <v>67</v>
      </c>
      <c r="T709" s="10">
        <v>0.750694444444444</v>
      </c>
      <c r="U709" s="10">
        <v>0.870138888888889</v>
      </c>
      <c r="V709">
        <v>172</v>
      </c>
      <c r="W709" t="b">
        <v>1</v>
      </c>
      <c r="X709" t="s">
        <v>50</v>
      </c>
    </row>
    <row r="710" spans="1:24">
      <c r="A710">
        <v>709</v>
      </c>
      <c r="B710" t="s">
        <v>1013</v>
      </c>
      <c r="C710" t="s">
        <v>25</v>
      </c>
      <c r="D710" s="9">
        <v>30645</v>
      </c>
      <c r="E710" s="9" t="str">
        <f t="shared" si="88"/>
        <v>31-41</v>
      </c>
      <c r="F710">
        <v>40</v>
      </c>
      <c r="G710" t="s">
        <v>21</v>
      </c>
      <c r="H710">
        <v>3</v>
      </c>
      <c r="I710" t="s">
        <v>215</v>
      </c>
      <c r="K710">
        <f t="shared" si="95"/>
        <v>1</v>
      </c>
      <c r="L710">
        <f t="shared" si="89"/>
        <v>1</v>
      </c>
      <c r="M710">
        <f t="shared" si="90"/>
        <v>1</v>
      </c>
      <c r="N710">
        <f t="shared" si="91"/>
        <v>0</v>
      </c>
      <c r="O710">
        <f t="shared" si="92"/>
        <v>0</v>
      </c>
      <c r="P710">
        <f t="shared" si="93"/>
        <v>0</v>
      </c>
      <c r="Q710">
        <f t="shared" si="94"/>
        <v>0</v>
      </c>
      <c r="R710" t="b">
        <v>1</v>
      </c>
      <c r="S710" t="s">
        <v>1014</v>
      </c>
      <c r="T710" s="10">
        <v>0.748611111111111</v>
      </c>
      <c r="U710" s="10">
        <v>0.838194444444444</v>
      </c>
      <c r="V710">
        <v>129</v>
      </c>
      <c r="W710" t="b">
        <v>0</v>
      </c>
    </row>
    <row r="711" spans="1:24">
      <c r="A711">
        <v>710</v>
      </c>
      <c r="B711" t="s">
        <v>1015</v>
      </c>
      <c r="C711" t="s">
        <v>16</v>
      </c>
      <c r="D711" s="9">
        <v>38583</v>
      </c>
      <c r="E711" s="9" t="str">
        <f t="shared" si="88"/>
        <v>below 20</v>
      </c>
      <c r="F711">
        <v>19</v>
      </c>
      <c r="G711" t="s">
        <v>17</v>
      </c>
      <c r="H711">
        <v>5</v>
      </c>
      <c r="I711" t="s">
        <v>347</v>
      </c>
      <c r="K711">
        <f t="shared" si="95"/>
        <v>0</v>
      </c>
      <c r="L711">
        <f t="shared" si="89"/>
        <v>1</v>
      </c>
      <c r="M711">
        <f t="shared" si="90"/>
        <v>1</v>
      </c>
      <c r="N711">
        <f t="shared" si="91"/>
        <v>0</v>
      </c>
      <c r="O711">
        <f t="shared" si="92"/>
        <v>1</v>
      </c>
      <c r="P711">
        <f t="shared" si="93"/>
        <v>1</v>
      </c>
      <c r="Q711">
        <f t="shared" si="94"/>
        <v>1</v>
      </c>
      <c r="R711" t="b">
        <v>1</v>
      </c>
      <c r="S711" t="s">
        <v>1016</v>
      </c>
      <c r="T711" s="10">
        <v>0.454166666666667</v>
      </c>
      <c r="U711" s="10">
        <v>0.502083333333333</v>
      </c>
      <c r="V711">
        <v>69</v>
      </c>
      <c r="W711" t="b">
        <v>1</v>
      </c>
      <c r="X711" t="s">
        <v>28</v>
      </c>
    </row>
    <row r="712" spans="1:24">
      <c r="A712">
        <v>711</v>
      </c>
      <c r="B712" t="s">
        <v>1017</v>
      </c>
      <c r="C712" t="s">
        <v>16</v>
      </c>
      <c r="D712" s="9">
        <v>30395</v>
      </c>
      <c r="E712" s="9" t="str">
        <f t="shared" si="88"/>
        <v>41-50</v>
      </c>
      <c r="F712">
        <v>41</v>
      </c>
      <c r="G712" t="s">
        <v>21</v>
      </c>
      <c r="H712">
        <v>2</v>
      </c>
      <c r="I712" t="s">
        <v>133</v>
      </c>
      <c r="K712">
        <f t="shared" si="95"/>
        <v>1</v>
      </c>
      <c r="L712">
        <f t="shared" si="89"/>
        <v>0</v>
      </c>
      <c r="M712">
        <f t="shared" si="90"/>
        <v>1</v>
      </c>
      <c r="N712">
        <f t="shared" si="91"/>
        <v>0</v>
      </c>
      <c r="O712">
        <f t="shared" si="92"/>
        <v>0</v>
      </c>
      <c r="P712">
        <f t="shared" si="93"/>
        <v>0</v>
      </c>
      <c r="Q712">
        <f t="shared" si="94"/>
        <v>0</v>
      </c>
      <c r="R712" t="b">
        <v>1</v>
      </c>
      <c r="S712" t="s">
        <v>174</v>
      </c>
      <c r="T712" s="10">
        <v>0.414583333333333</v>
      </c>
      <c r="U712" s="10">
        <v>0.492361111111111</v>
      </c>
      <c r="V712">
        <v>112</v>
      </c>
      <c r="W712" t="b">
        <v>0</v>
      </c>
    </row>
    <row r="713" spans="1:24">
      <c r="A713">
        <v>712</v>
      </c>
      <c r="B713" t="s">
        <v>1018</v>
      </c>
      <c r="C713" t="s">
        <v>25</v>
      </c>
      <c r="D713" s="9">
        <v>36502</v>
      </c>
      <c r="E713" s="9" t="str">
        <f t="shared" si="88"/>
        <v>20-30</v>
      </c>
      <c r="F713">
        <v>24</v>
      </c>
      <c r="G713" t="s">
        <v>21</v>
      </c>
      <c r="H713">
        <v>4</v>
      </c>
      <c r="I713" t="s">
        <v>123</v>
      </c>
      <c r="K713">
        <f t="shared" si="95"/>
        <v>0</v>
      </c>
      <c r="L713">
        <f t="shared" si="89"/>
        <v>1</v>
      </c>
      <c r="M713">
        <f t="shared" si="90"/>
        <v>1</v>
      </c>
      <c r="N713">
        <f t="shared" si="91"/>
        <v>0</v>
      </c>
      <c r="O713">
        <f t="shared" si="92"/>
        <v>1</v>
      </c>
      <c r="P713">
        <f t="shared" si="93"/>
        <v>1</v>
      </c>
      <c r="Q713">
        <f t="shared" si="94"/>
        <v>0</v>
      </c>
      <c r="R713" t="b">
        <v>1</v>
      </c>
      <c r="S713" t="s">
        <v>1019</v>
      </c>
      <c r="T713" s="10">
        <v>0.55</v>
      </c>
      <c r="U713" s="10">
        <v>0.629166666666667</v>
      </c>
      <c r="V713">
        <v>114</v>
      </c>
      <c r="W713" t="b">
        <v>1</v>
      </c>
      <c r="X713" t="s">
        <v>50</v>
      </c>
    </row>
    <row r="714" spans="1:24">
      <c r="A714">
        <v>713</v>
      </c>
      <c r="B714" t="s">
        <v>1020</v>
      </c>
      <c r="C714" t="s">
        <v>25</v>
      </c>
      <c r="D714" s="9">
        <v>31722</v>
      </c>
      <c r="E714" s="9" t="str">
        <f t="shared" si="88"/>
        <v>31-41</v>
      </c>
      <c r="F714">
        <v>37</v>
      </c>
      <c r="G714" t="s">
        <v>21</v>
      </c>
      <c r="H714">
        <v>3</v>
      </c>
      <c r="I714" t="s">
        <v>92</v>
      </c>
      <c r="K714">
        <f t="shared" si="95"/>
        <v>0</v>
      </c>
      <c r="L714">
        <f t="shared" si="89"/>
        <v>1</v>
      </c>
      <c r="M714">
        <f t="shared" si="90"/>
        <v>0</v>
      </c>
      <c r="N714">
        <f t="shared" si="91"/>
        <v>1</v>
      </c>
      <c r="O714">
        <f t="shared" si="92"/>
        <v>0</v>
      </c>
      <c r="P714">
        <f t="shared" si="93"/>
        <v>1</v>
      </c>
      <c r="Q714">
        <f t="shared" si="94"/>
        <v>0</v>
      </c>
      <c r="R714" t="b">
        <v>1</v>
      </c>
      <c r="S714" t="s">
        <v>44</v>
      </c>
      <c r="T714" s="10">
        <v>0.442361111111111</v>
      </c>
      <c r="U714" s="10">
        <v>0.486111111111111</v>
      </c>
      <c r="V714">
        <v>63</v>
      </c>
      <c r="W714" t="b">
        <v>1</v>
      </c>
      <c r="X714" t="s">
        <v>23</v>
      </c>
    </row>
    <row r="715" spans="1:24">
      <c r="A715">
        <v>714</v>
      </c>
      <c r="B715" t="s">
        <v>730</v>
      </c>
      <c r="C715" t="s">
        <v>16</v>
      </c>
      <c r="D715" s="9">
        <v>29817</v>
      </c>
      <c r="E715" s="9" t="str">
        <f t="shared" si="88"/>
        <v>41-50</v>
      </c>
      <c r="F715">
        <v>43</v>
      </c>
      <c r="G715" t="s">
        <v>21</v>
      </c>
      <c r="H715">
        <v>1</v>
      </c>
      <c r="I715" t="s">
        <v>81</v>
      </c>
      <c r="K715">
        <f t="shared" si="95"/>
        <v>0</v>
      </c>
      <c r="L715">
        <f t="shared" si="89"/>
        <v>0</v>
      </c>
      <c r="M715">
        <f t="shared" si="90"/>
        <v>0</v>
      </c>
      <c r="N715">
        <f t="shared" si="91"/>
        <v>0</v>
      </c>
      <c r="O715">
        <f t="shared" si="92"/>
        <v>0</v>
      </c>
      <c r="P715">
        <f t="shared" si="93"/>
        <v>1</v>
      </c>
      <c r="Q715">
        <f t="shared" si="94"/>
        <v>0</v>
      </c>
      <c r="R715" t="b">
        <v>1</v>
      </c>
      <c r="S715" t="s">
        <v>958</v>
      </c>
      <c r="T715" s="10">
        <v>0.451388888888889</v>
      </c>
      <c r="U715" s="10">
        <v>0.495833333333333</v>
      </c>
      <c r="V715">
        <v>64</v>
      </c>
      <c r="W715" t="b">
        <v>0</v>
      </c>
    </row>
    <row r="716" spans="1:24">
      <c r="A716">
        <v>715</v>
      </c>
      <c r="B716" t="s">
        <v>1021</v>
      </c>
      <c r="C716" t="s">
        <v>25</v>
      </c>
      <c r="D716" s="9">
        <v>29743</v>
      </c>
      <c r="E716" s="9" t="str">
        <f t="shared" si="88"/>
        <v>41-50</v>
      </c>
      <c r="F716">
        <v>43</v>
      </c>
      <c r="G716" t="s">
        <v>17</v>
      </c>
      <c r="H716">
        <v>3</v>
      </c>
      <c r="I716" t="s">
        <v>85</v>
      </c>
      <c r="K716">
        <f t="shared" si="95"/>
        <v>0</v>
      </c>
      <c r="L716">
        <f t="shared" si="89"/>
        <v>1</v>
      </c>
      <c r="M716">
        <f t="shared" si="90"/>
        <v>1</v>
      </c>
      <c r="N716">
        <f t="shared" si="91"/>
        <v>0</v>
      </c>
      <c r="O716">
        <f t="shared" si="92"/>
        <v>1</v>
      </c>
      <c r="P716">
        <f t="shared" si="93"/>
        <v>0</v>
      </c>
      <c r="Q716">
        <f t="shared" si="94"/>
        <v>0</v>
      </c>
      <c r="R716" t="b">
        <v>0</v>
      </c>
      <c r="T716" s="10">
        <v>0.501388888888889</v>
      </c>
      <c r="U716" s="10">
        <v>0.536805555555556</v>
      </c>
      <c r="V716">
        <v>51</v>
      </c>
      <c r="W716" t="b">
        <v>1</v>
      </c>
      <c r="X716" t="s">
        <v>28</v>
      </c>
    </row>
    <row r="717" spans="1:24">
      <c r="A717">
        <v>716</v>
      </c>
      <c r="B717" t="s">
        <v>1022</v>
      </c>
      <c r="C717" t="s">
        <v>16</v>
      </c>
      <c r="D717" s="9">
        <v>34913</v>
      </c>
      <c r="E717" s="9" t="str">
        <f t="shared" si="88"/>
        <v>20-30</v>
      </c>
      <c r="F717">
        <v>29</v>
      </c>
      <c r="G717" t="s">
        <v>21</v>
      </c>
      <c r="H717">
        <v>4</v>
      </c>
      <c r="I717" t="s">
        <v>955</v>
      </c>
      <c r="K717">
        <f t="shared" si="95"/>
        <v>1</v>
      </c>
      <c r="L717">
        <f t="shared" si="89"/>
        <v>0</v>
      </c>
      <c r="M717">
        <f t="shared" si="90"/>
        <v>1</v>
      </c>
      <c r="N717">
        <f t="shared" si="91"/>
        <v>0</v>
      </c>
      <c r="O717">
        <f t="shared" si="92"/>
        <v>0</v>
      </c>
      <c r="P717">
        <f t="shared" si="93"/>
        <v>1</v>
      </c>
      <c r="Q717">
        <f t="shared" si="94"/>
        <v>1</v>
      </c>
      <c r="R717" t="b">
        <v>1</v>
      </c>
      <c r="S717" t="s">
        <v>93</v>
      </c>
      <c r="T717" s="10">
        <v>0.760416666666667</v>
      </c>
      <c r="U717" s="10">
        <v>0.818055555555556</v>
      </c>
      <c r="V717">
        <v>83</v>
      </c>
      <c r="W717" t="b">
        <v>1</v>
      </c>
      <c r="X717" t="s">
        <v>28</v>
      </c>
    </row>
    <row r="718" spans="1:24">
      <c r="A718">
        <v>717</v>
      </c>
      <c r="B718" t="s">
        <v>1023</v>
      </c>
      <c r="C718" t="s">
        <v>25</v>
      </c>
      <c r="D718" s="9">
        <v>29258</v>
      </c>
      <c r="E718" s="9" t="str">
        <f t="shared" si="88"/>
        <v>41-50</v>
      </c>
      <c r="F718">
        <v>44</v>
      </c>
      <c r="G718" t="s">
        <v>17</v>
      </c>
      <c r="H718">
        <v>4</v>
      </c>
      <c r="I718" t="s">
        <v>1024</v>
      </c>
      <c r="K718">
        <f t="shared" si="95"/>
        <v>1</v>
      </c>
      <c r="L718">
        <f t="shared" si="89"/>
        <v>1</v>
      </c>
      <c r="M718">
        <f t="shared" si="90"/>
        <v>0</v>
      </c>
      <c r="N718">
        <f t="shared" si="91"/>
        <v>1</v>
      </c>
      <c r="O718">
        <f t="shared" si="92"/>
        <v>1</v>
      </c>
      <c r="P718">
        <f t="shared" si="93"/>
        <v>0</v>
      </c>
      <c r="Q718">
        <f t="shared" si="94"/>
        <v>0</v>
      </c>
      <c r="R718" t="b">
        <v>0</v>
      </c>
      <c r="T718" s="10">
        <v>0.465277777777778</v>
      </c>
      <c r="U718" s="10">
        <v>0.536805555555556</v>
      </c>
      <c r="V718">
        <v>103</v>
      </c>
      <c r="W718" t="b">
        <v>0</v>
      </c>
    </row>
    <row r="719" spans="1:24">
      <c r="A719">
        <v>718</v>
      </c>
      <c r="B719" t="s">
        <v>820</v>
      </c>
      <c r="C719" t="s">
        <v>25</v>
      </c>
      <c r="D719" s="9">
        <v>35397</v>
      </c>
      <c r="E719" s="9" t="str">
        <f t="shared" si="88"/>
        <v>20-30</v>
      </c>
      <c r="F719">
        <v>27</v>
      </c>
      <c r="G719" t="s">
        <v>21</v>
      </c>
      <c r="H719">
        <v>2</v>
      </c>
      <c r="I719" t="s">
        <v>272</v>
      </c>
      <c r="K719">
        <f t="shared" si="95"/>
        <v>0</v>
      </c>
      <c r="L719">
        <f t="shared" si="89"/>
        <v>0</v>
      </c>
      <c r="M719">
        <f t="shared" si="90"/>
        <v>1</v>
      </c>
      <c r="N719">
        <f t="shared" si="91"/>
        <v>1</v>
      </c>
      <c r="O719">
        <f t="shared" si="92"/>
        <v>0</v>
      </c>
      <c r="P719">
        <f t="shared" si="93"/>
        <v>0</v>
      </c>
      <c r="Q719">
        <f t="shared" si="94"/>
        <v>0</v>
      </c>
      <c r="R719" t="b">
        <v>1</v>
      </c>
      <c r="S719" t="s">
        <v>102</v>
      </c>
      <c r="T719" s="10">
        <v>0.855555555555556</v>
      </c>
      <c r="U719" s="10">
        <v>0.888194444444444</v>
      </c>
      <c r="V719">
        <v>47</v>
      </c>
      <c r="W719" t="b">
        <v>0</v>
      </c>
    </row>
    <row r="720" spans="1:24">
      <c r="A720">
        <v>719</v>
      </c>
      <c r="B720" t="s">
        <v>1025</v>
      </c>
      <c r="C720" t="s">
        <v>25</v>
      </c>
      <c r="D720" s="9">
        <v>32893</v>
      </c>
      <c r="E720" s="9" t="str">
        <f t="shared" si="88"/>
        <v>31-41</v>
      </c>
      <c r="F720">
        <v>34</v>
      </c>
      <c r="G720" t="s">
        <v>21</v>
      </c>
      <c r="H720">
        <v>5</v>
      </c>
      <c r="I720" t="s">
        <v>192</v>
      </c>
      <c r="K720">
        <f t="shared" si="95"/>
        <v>1</v>
      </c>
      <c r="L720">
        <f t="shared" si="89"/>
        <v>1</v>
      </c>
      <c r="M720">
        <f t="shared" si="90"/>
        <v>1</v>
      </c>
      <c r="N720">
        <f t="shared" si="91"/>
        <v>0</v>
      </c>
      <c r="O720">
        <f t="shared" si="92"/>
        <v>0</v>
      </c>
      <c r="P720">
        <f t="shared" si="93"/>
        <v>1</v>
      </c>
      <c r="Q720">
        <f t="shared" si="94"/>
        <v>1</v>
      </c>
      <c r="R720" t="b">
        <v>0</v>
      </c>
      <c r="T720" s="10">
        <v>0.35625</v>
      </c>
      <c r="U720" s="10">
        <v>0.473611111111111</v>
      </c>
      <c r="V720">
        <v>169</v>
      </c>
      <c r="W720" t="b">
        <v>0</v>
      </c>
    </row>
    <row r="721" spans="1:24">
      <c r="A721">
        <v>720</v>
      </c>
      <c r="B721" t="s">
        <v>1026</v>
      </c>
      <c r="C721" t="s">
        <v>25</v>
      </c>
      <c r="D721" s="9">
        <v>38765</v>
      </c>
      <c r="E721" s="9" t="str">
        <f t="shared" si="88"/>
        <v>below 20</v>
      </c>
      <c r="F721">
        <v>18</v>
      </c>
      <c r="G721" t="s">
        <v>21</v>
      </c>
      <c r="H721">
        <v>4</v>
      </c>
      <c r="I721" t="s">
        <v>1027</v>
      </c>
      <c r="K721">
        <f t="shared" si="95"/>
        <v>1</v>
      </c>
      <c r="L721">
        <f t="shared" si="89"/>
        <v>0</v>
      </c>
      <c r="M721">
        <f t="shared" si="90"/>
        <v>0</v>
      </c>
      <c r="N721">
        <f t="shared" si="91"/>
        <v>0</v>
      </c>
      <c r="O721">
        <f t="shared" si="92"/>
        <v>1</v>
      </c>
      <c r="P721">
        <f t="shared" si="93"/>
        <v>1</v>
      </c>
      <c r="Q721">
        <f t="shared" si="94"/>
        <v>1</v>
      </c>
      <c r="R721" t="b">
        <v>1</v>
      </c>
      <c r="S721" t="s">
        <v>201</v>
      </c>
      <c r="T721" s="10">
        <v>0.820833333333333</v>
      </c>
      <c r="U721" s="10">
        <v>0.909027777777778</v>
      </c>
      <c r="V721">
        <v>127</v>
      </c>
      <c r="W721" t="b">
        <v>0</v>
      </c>
    </row>
    <row r="722" spans="1:24">
      <c r="A722">
        <v>721</v>
      </c>
      <c r="B722" t="s">
        <v>1028</v>
      </c>
      <c r="C722" t="s">
        <v>25</v>
      </c>
      <c r="D722" s="9">
        <v>34544</v>
      </c>
      <c r="E722" s="9" t="str">
        <f t="shared" si="88"/>
        <v>20-30</v>
      </c>
      <c r="F722">
        <v>30</v>
      </c>
      <c r="G722" t="s">
        <v>17</v>
      </c>
      <c r="H722">
        <v>2</v>
      </c>
      <c r="I722" t="s">
        <v>203</v>
      </c>
      <c r="K722">
        <f t="shared" si="95"/>
        <v>1</v>
      </c>
      <c r="L722">
        <f t="shared" si="89"/>
        <v>0</v>
      </c>
      <c r="M722">
        <f t="shared" si="90"/>
        <v>0</v>
      </c>
      <c r="N722">
        <f t="shared" si="91"/>
        <v>0</v>
      </c>
      <c r="O722">
        <f t="shared" si="92"/>
        <v>0</v>
      </c>
      <c r="P722">
        <f t="shared" si="93"/>
        <v>1</v>
      </c>
      <c r="Q722">
        <f t="shared" si="94"/>
        <v>0</v>
      </c>
      <c r="R722" t="b">
        <v>0</v>
      </c>
      <c r="T722" s="10">
        <v>0.359722222222222</v>
      </c>
      <c r="U722" s="10">
        <v>0.382638888888889</v>
      </c>
      <c r="V722">
        <v>33</v>
      </c>
      <c r="W722" t="b">
        <v>1</v>
      </c>
      <c r="X722" t="s">
        <v>23</v>
      </c>
    </row>
    <row r="723" spans="1:24">
      <c r="A723">
        <v>722</v>
      </c>
      <c r="B723" t="s">
        <v>147</v>
      </c>
      <c r="C723" t="s">
        <v>25</v>
      </c>
      <c r="D723" s="9">
        <v>38515</v>
      </c>
      <c r="E723" s="9" t="str">
        <f t="shared" si="88"/>
        <v>below 20</v>
      </c>
      <c r="F723">
        <v>19</v>
      </c>
      <c r="G723" t="s">
        <v>21</v>
      </c>
      <c r="H723">
        <v>1</v>
      </c>
      <c r="I723" t="s">
        <v>59</v>
      </c>
      <c r="K723">
        <f t="shared" si="95"/>
        <v>0</v>
      </c>
      <c r="L723">
        <f t="shared" si="89"/>
        <v>0</v>
      </c>
      <c r="M723">
        <f t="shared" si="90"/>
        <v>0</v>
      </c>
      <c r="N723">
        <f t="shared" si="91"/>
        <v>0</v>
      </c>
      <c r="O723">
        <f t="shared" si="92"/>
        <v>0</v>
      </c>
      <c r="P723">
        <f t="shared" si="93"/>
        <v>0</v>
      </c>
      <c r="Q723">
        <f t="shared" si="94"/>
        <v>1</v>
      </c>
      <c r="R723" t="b">
        <v>0</v>
      </c>
      <c r="T723" s="10">
        <v>0.478472222222222</v>
      </c>
      <c r="U723" s="10">
        <v>0.568055555555556</v>
      </c>
      <c r="V723">
        <v>129</v>
      </c>
      <c r="W723" t="b">
        <v>1</v>
      </c>
      <c r="X723" t="s">
        <v>47</v>
      </c>
    </row>
    <row r="724" spans="1:24">
      <c r="A724">
        <v>723</v>
      </c>
      <c r="B724" t="s">
        <v>1029</v>
      </c>
      <c r="C724" t="s">
        <v>25</v>
      </c>
      <c r="D724" s="9">
        <v>35676</v>
      </c>
      <c r="E724" s="9" t="str">
        <f t="shared" si="88"/>
        <v>20-30</v>
      </c>
      <c r="F724">
        <v>27</v>
      </c>
      <c r="G724" t="s">
        <v>17</v>
      </c>
      <c r="H724">
        <v>1</v>
      </c>
      <c r="I724" t="s">
        <v>46</v>
      </c>
      <c r="K724">
        <f t="shared" si="95"/>
        <v>0</v>
      </c>
      <c r="L724">
        <f t="shared" si="89"/>
        <v>1</v>
      </c>
      <c r="M724">
        <f t="shared" si="90"/>
        <v>0</v>
      </c>
      <c r="N724">
        <f t="shared" si="91"/>
        <v>0</v>
      </c>
      <c r="O724">
        <f t="shared" si="92"/>
        <v>0</v>
      </c>
      <c r="P724">
        <f t="shared" si="93"/>
        <v>0</v>
      </c>
      <c r="Q724">
        <f t="shared" si="94"/>
        <v>0</v>
      </c>
      <c r="R724" t="b">
        <v>1</v>
      </c>
      <c r="S724" t="s">
        <v>762</v>
      </c>
      <c r="T724" s="10">
        <v>0.765277777777778</v>
      </c>
      <c r="U724" s="10">
        <v>0.838888888888889</v>
      </c>
      <c r="V724">
        <v>106</v>
      </c>
      <c r="W724" t="b">
        <v>0</v>
      </c>
    </row>
    <row r="725" spans="1:24">
      <c r="A725">
        <v>724</v>
      </c>
      <c r="B725" t="s">
        <v>1030</v>
      </c>
      <c r="C725" t="s">
        <v>25</v>
      </c>
      <c r="D725" s="9">
        <v>28321</v>
      </c>
      <c r="E725" s="9" t="str">
        <f t="shared" si="88"/>
        <v>41-50</v>
      </c>
      <c r="F725">
        <v>47</v>
      </c>
      <c r="G725" t="s">
        <v>17</v>
      </c>
      <c r="H725">
        <v>2</v>
      </c>
      <c r="I725" t="s">
        <v>40</v>
      </c>
      <c r="K725">
        <f t="shared" si="95"/>
        <v>1</v>
      </c>
      <c r="L725">
        <f t="shared" si="89"/>
        <v>0</v>
      </c>
      <c r="M725">
        <f t="shared" si="90"/>
        <v>0</v>
      </c>
      <c r="N725">
        <f t="shared" si="91"/>
        <v>0</v>
      </c>
      <c r="O725">
        <f t="shared" si="92"/>
        <v>0</v>
      </c>
      <c r="P725">
        <f t="shared" si="93"/>
        <v>0</v>
      </c>
      <c r="Q725">
        <f t="shared" si="94"/>
        <v>1</v>
      </c>
      <c r="R725" t="b">
        <v>1</v>
      </c>
      <c r="S725" t="s">
        <v>230</v>
      </c>
      <c r="T725" s="10">
        <v>0.795833333333333</v>
      </c>
      <c r="U725" s="10">
        <v>0.899305555555555</v>
      </c>
      <c r="V725">
        <v>149</v>
      </c>
      <c r="W725" t="b">
        <v>1</v>
      </c>
      <c r="X725" t="s">
        <v>23</v>
      </c>
    </row>
    <row r="726" spans="1:24">
      <c r="A726">
        <v>725</v>
      </c>
      <c r="B726" t="s">
        <v>1031</v>
      </c>
      <c r="C726" t="s">
        <v>16</v>
      </c>
      <c r="D726" s="9">
        <v>30236</v>
      </c>
      <c r="E726" s="9" t="str">
        <f t="shared" si="88"/>
        <v>41-50</v>
      </c>
      <c r="F726">
        <v>41</v>
      </c>
      <c r="G726" t="s">
        <v>17</v>
      </c>
      <c r="H726">
        <v>2</v>
      </c>
      <c r="I726" t="s">
        <v>40</v>
      </c>
      <c r="K726">
        <f t="shared" si="95"/>
        <v>1</v>
      </c>
      <c r="L726">
        <f t="shared" si="89"/>
        <v>0</v>
      </c>
      <c r="M726">
        <f t="shared" si="90"/>
        <v>0</v>
      </c>
      <c r="N726">
        <f t="shared" si="91"/>
        <v>0</v>
      </c>
      <c r="O726">
        <f t="shared" si="92"/>
        <v>0</v>
      </c>
      <c r="P726">
        <f t="shared" si="93"/>
        <v>0</v>
      </c>
      <c r="Q726">
        <f t="shared" si="94"/>
        <v>1</v>
      </c>
      <c r="R726" t="b">
        <v>0</v>
      </c>
      <c r="T726" s="10">
        <v>0.804166666666667</v>
      </c>
      <c r="U726" s="10">
        <v>0.836805555555555</v>
      </c>
      <c r="V726">
        <v>47</v>
      </c>
      <c r="W726" t="b">
        <v>1</v>
      </c>
      <c r="X726" t="s">
        <v>50</v>
      </c>
    </row>
    <row r="727" spans="1:24">
      <c r="A727">
        <v>726</v>
      </c>
      <c r="B727" t="s">
        <v>1032</v>
      </c>
      <c r="C727" t="s">
        <v>25</v>
      </c>
      <c r="D727" s="9">
        <v>33041</v>
      </c>
      <c r="E727" s="9" t="str">
        <f t="shared" si="88"/>
        <v>31-41</v>
      </c>
      <c r="F727">
        <v>34</v>
      </c>
      <c r="G727" t="s">
        <v>17</v>
      </c>
      <c r="H727">
        <v>3</v>
      </c>
      <c r="I727" t="s">
        <v>295</v>
      </c>
      <c r="K727">
        <f t="shared" si="95"/>
        <v>1</v>
      </c>
      <c r="L727">
        <f t="shared" si="89"/>
        <v>0</v>
      </c>
      <c r="M727">
        <f t="shared" si="90"/>
        <v>0</v>
      </c>
      <c r="N727">
        <f t="shared" si="91"/>
        <v>0</v>
      </c>
      <c r="O727">
        <f t="shared" si="92"/>
        <v>1</v>
      </c>
      <c r="P727">
        <f t="shared" si="93"/>
        <v>0</v>
      </c>
      <c r="Q727">
        <f t="shared" si="94"/>
        <v>1</v>
      </c>
      <c r="R727" t="b">
        <v>0</v>
      </c>
      <c r="T727" s="10">
        <v>0.454166666666667</v>
      </c>
      <c r="U727" s="10">
        <v>0.536805555555556</v>
      </c>
      <c r="V727">
        <v>119</v>
      </c>
      <c r="W727" t="b">
        <v>0</v>
      </c>
    </row>
    <row r="728" spans="1:24">
      <c r="A728">
        <v>727</v>
      </c>
      <c r="B728" t="s">
        <v>1033</v>
      </c>
      <c r="C728" t="s">
        <v>25</v>
      </c>
      <c r="D728" s="9">
        <v>31204</v>
      </c>
      <c r="E728" s="9" t="str">
        <f t="shared" si="88"/>
        <v>31-41</v>
      </c>
      <c r="F728">
        <v>39</v>
      </c>
      <c r="G728" t="s">
        <v>17</v>
      </c>
      <c r="H728">
        <v>4</v>
      </c>
      <c r="I728" t="s">
        <v>1034</v>
      </c>
      <c r="K728">
        <f t="shared" si="95"/>
        <v>1</v>
      </c>
      <c r="L728">
        <f t="shared" si="89"/>
        <v>0</v>
      </c>
      <c r="M728">
        <f t="shared" si="90"/>
        <v>1</v>
      </c>
      <c r="N728">
        <f t="shared" si="91"/>
        <v>0</v>
      </c>
      <c r="O728">
        <f t="shared" si="92"/>
        <v>1</v>
      </c>
      <c r="P728">
        <f t="shared" si="93"/>
        <v>1</v>
      </c>
      <c r="Q728">
        <f t="shared" si="94"/>
        <v>0</v>
      </c>
      <c r="R728" t="b">
        <v>1</v>
      </c>
      <c r="S728" t="s">
        <v>691</v>
      </c>
      <c r="T728" s="10">
        <v>0.49375</v>
      </c>
      <c r="U728" s="10">
        <v>0.595138888888889</v>
      </c>
      <c r="V728">
        <v>146</v>
      </c>
      <c r="W728" t="b">
        <v>0</v>
      </c>
    </row>
    <row r="729" spans="1:24">
      <c r="A729">
        <v>728</v>
      </c>
      <c r="B729" t="s">
        <v>1035</v>
      </c>
      <c r="C729" t="s">
        <v>16</v>
      </c>
      <c r="D729" s="9">
        <v>36967</v>
      </c>
      <c r="E729" s="9" t="str">
        <f t="shared" si="88"/>
        <v>20-30</v>
      </c>
      <c r="F729">
        <v>23</v>
      </c>
      <c r="G729" t="s">
        <v>17</v>
      </c>
      <c r="H729">
        <v>5</v>
      </c>
      <c r="I729" t="s">
        <v>417</v>
      </c>
      <c r="K729">
        <f t="shared" si="95"/>
        <v>1</v>
      </c>
      <c r="L729">
        <f t="shared" si="89"/>
        <v>1</v>
      </c>
      <c r="M729">
        <f t="shared" si="90"/>
        <v>0</v>
      </c>
      <c r="N729">
        <f t="shared" si="91"/>
        <v>1</v>
      </c>
      <c r="O729">
        <f t="shared" si="92"/>
        <v>1</v>
      </c>
      <c r="P729">
        <f t="shared" si="93"/>
        <v>1</v>
      </c>
      <c r="Q729">
        <f t="shared" si="94"/>
        <v>0</v>
      </c>
      <c r="R729" t="b">
        <v>1</v>
      </c>
      <c r="S729" t="s">
        <v>1036</v>
      </c>
      <c r="T729" s="10">
        <v>0.872916666666667</v>
      </c>
      <c r="U729" s="10">
        <v>0.978472222222222</v>
      </c>
      <c r="V729">
        <v>152</v>
      </c>
      <c r="W729" t="b">
        <v>0</v>
      </c>
    </row>
    <row r="730" spans="1:24">
      <c r="A730">
        <v>729</v>
      </c>
      <c r="B730" t="s">
        <v>1037</v>
      </c>
      <c r="C730" t="s">
        <v>25</v>
      </c>
      <c r="D730" s="9">
        <v>30621</v>
      </c>
      <c r="E730" s="9" t="str">
        <f t="shared" si="88"/>
        <v>31-41</v>
      </c>
      <c r="F730">
        <v>40</v>
      </c>
      <c r="G730" t="s">
        <v>21</v>
      </c>
      <c r="H730">
        <v>3</v>
      </c>
      <c r="I730" t="s">
        <v>245</v>
      </c>
      <c r="K730">
        <f t="shared" si="95"/>
        <v>1</v>
      </c>
      <c r="L730">
        <f t="shared" si="89"/>
        <v>0</v>
      </c>
      <c r="M730">
        <f t="shared" si="90"/>
        <v>1</v>
      </c>
      <c r="N730">
        <f t="shared" si="91"/>
        <v>0</v>
      </c>
      <c r="O730">
        <f t="shared" si="92"/>
        <v>0</v>
      </c>
      <c r="P730">
        <f t="shared" si="93"/>
        <v>1</v>
      </c>
      <c r="Q730">
        <f t="shared" si="94"/>
        <v>0</v>
      </c>
      <c r="R730" t="b">
        <v>0</v>
      </c>
      <c r="T730" s="10">
        <v>0.818055555555556</v>
      </c>
      <c r="U730" s="10">
        <v>0.943055555555556</v>
      </c>
      <c r="V730">
        <v>180</v>
      </c>
      <c r="W730" t="b">
        <v>1</v>
      </c>
      <c r="X730" t="s">
        <v>23</v>
      </c>
    </row>
    <row r="731" spans="1:24">
      <c r="A731">
        <v>730</v>
      </c>
      <c r="B731" t="s">
        <v>1038</v>
      </c>
      <c r="C731" t="s">
        <v>25</v>
      </c>
      <c r="D731" s="9">
        <v>31238</v>
      </c>
      <c r="E731" s="9" t="str">
        <f t="shared" si="88"/>
        <v>31-41</v>
      </c>
      <c r="F731">
        <v>39</v>
      </c>
      <c r="G731" t="s">
        <v>17</v>
      </c>
      <c r="H731">
        <v>5</v>
      </c>
      <c r="I731" t="s">
        <v>816</v>
      </c>
      <c r="K731">
        <f t="shared" si="95"/>
        <v>1</v>
      </c>
      <c r="L731">
        <f t="shared" si="89"/>
        <v>0</v>
      </c>
      <c r="M731">
        <f t="shared" si="90"/>
        <v>1</v>
      </c>
      <c r="N731">
        <f t="shared" si="91"/>
        <v>1</v>
      </c>
      <c r="O731">
        <f t="shared" si="92"/>
        <v>0</v>
      </c>
      <c r="P731">
        <f t="shared" si="93"/>
        <v>1</v>
      </c>
      <c r="Q731">
        <f t="shared" si="94"/>
        <v>1</v>
      </c>
      <c r="R731" t="b">
        <v>0</v>
      </c>
      <c r="T731" s="10">
        <v>0.644444444444444</v>
      </c>
      <c r="U731" s="10">
        <v>0.763194444444444</v>
      </c>
      <c r="V731">
        <v>171</v>
      </c>
      <c r="W731" t="b">
        <v>1</v>
      </c>
      <c r="X731" t="s">
        <v>23</v>
      </c>
    </row>
    <row r="732" spans="1:24">
      <c r="A732">
        <v>731</v>
      </c>
      <c r="B732" t="s">
        <v>1039</v>
      </c>
      <c r="C732" t="s">
        <v>16</v>
      </c>
      <c r="D732" s="9">
        <v>39592</v>
      </c>
      <c r="E732" s="9" t="str">
        <f t="shared" si="88"/>
        <v>below 20</v>
      </c>
      <c r="F732">
        <v>16</v>
      </c>
      <c r="G732" t="s">
        <v>17</v>
      </c>
      <c r="H732">
        <v>2</v>
      </c>
      <c r="I732" t="s">
        <v>40</v>
      </c>
      <c r="K732">
        <f t="shared" si="95"/>
        <v>1</v>
      </c>
      <c r="L732">
        <f t="shared" si="89"/>
        <v>0</v>
      </c>
      <c r="M732">
        <f t="shared" si="90"/>
        <v>0</v>
      </c>
      <c r="N732">
        <f t="shared" si="91"/>
        <v>0</v>
      </c>
      <c r="O732">
        <f t="shared" si="92"/>
        <v>0</v>
      </c>
      <c r="P732">
        <f t="shared" si="93"/>
        <v>0</v>
      </c>
      <c r="Q732">
        <f t="shared" si="94"/>
        <v>1</v>
      </c>
      <c r="R732" t="b">
        <v>1</v>
      </c>
      <c r="S732" t="s">
        <v>418</v>
      </c>
      <c r="T732" s="10">
        <v>0.381944444444444</v>
      </c>
      <c r="U732" s="10">
        <v>0.497916666666667</v>
      </c>
      <c r="V732">
        <v>167</v>
      </c>
      <c r="W732" t="b">
        <v>1</v>
      </c>
      <c r="X732" t="s">
        <v>50</v>
      </c>
    </row>
    <row r="733" spans="1:24">
      <c r="A733">
        <v>732</v>
      </c>
      <c r="B733" t="s">
        <v>1040</v>
      </c>
      <c r="C733" t="s">
        <v>16</v>
      </c>
      <c r="D733" s="9">
        <v>33409</v>
      </c>
      <c r="E733" s="9" t="str">
        <f t="shared" si="88"/>
        <v>31-41</v>
      </c>
      <c r="F733">
        <v>33</v>
      </c>
      <c r="G733" t="s">
        <v>17</v>
      </c>
      <c r="H733">
        <v>4</v>
      </c>
      <c r="I733" t="s">
        <v>212</v>
      </c>
      <c r="K733">
        <f t="shared" si="95"/>
        <v>0</v>
      </c>
      <c r="L733">
        <f t="shared" si="89"/>
        <v>1</v>
      </c>
      <c r="M733">
        <f t="shared" si="90"/>
        <v>1</v>
      </c>
      <c r="N733">
        <f t="shared" si="91"/>
        <v>1</v>
      </c>
      <c r="O733">
        <f t="shared" si="92"/>
        <v>0</v>
      </c>
      <c r="P733">
        <f t="shared" si="93"/>
        <v>1</v>
      </c>
      <c r="Q733">
        <f t="shared" si="94"/>
        <v>0</v>
      </c>
      <c r="R733" t="b">
        <v>0</v>
      </c>
      <c r="T733" s="10">
        <v>0.5625</v>
      </c>
      <c r="U733" s="10">
        <v>0.623611111111111</v>
      </c>
      <c r="V733">
        <v>88</v>
      </c>
      <c r="W733" t="b">
        <v>1</v>
      </c>
      <c r="X733" t="s">
        <v>50</v>
      </c>
    </row>
    <row r="734" spans="1:24">
      <c r="A734">
        <v>733</v>
      </c>
      <c r="B734" t="s">
        <v>301</v>
      </c>
      <c r="C734" t="s">
        <v>25</v>
      </c>
      <c r="D734" s="9">
        <v>28149</v>
      </c>
      <c r="E734" s="9" t="str">
        <f t="shared" si="88"/>
        <v>41-50</v>
      </c>
      <c r="F734">
        <v>47</v>
      </c>
      <c r="G734" t="s">
        <v>21</v>
      </c>
      <c r="H734">
        <v>1</v>
      </c>
      <c r="I734" t="s">
        <v>26</v>
      </c>
      <c r="K734">
        <f t="shared" si="95"/>
        <v>1</v>
      </c>
      <c r="L734">
        <f t="shared" si="89"/>
        <v>0</v>
      </c>
      <c r="M734">
        <f t="shared" si="90"/>
        <v>0</v>
      </c>
      <c r="N734">
        <f t="shared" si="91"/>
        <v>0</v>
      </c>
      <c r="O734">
        <f t="shared" si="92"/>
        <v>0</v>
      </c>
      <c r="P734">
        <f t="shared" si="93"/>
        <v>0</v>
      </c>
      <c r="Q734">
        <f t="shared" si="94"/>
        <v>0</v>
      </c>
      <c r="R734" t="b">
        <v>1</v>
      </c>
      <c r="S734" t="s">
        <v>44</v>
      </c>
      <c r="T734" s="10">
        <v>0.760416666666667</v>
      </c>
      <c r="U734" s="10">
        <v>0.7875</v>
      </c>
      <c r="V734">
        <v>39</v>
      </c>
      <c r="W734" t="b">
        <v>0</v>
      </c>
    </row>
    <row r="735" spans="1:24">
      <c r="A735">
        <v>734</v>
      </c>
      <c r="B735" t="s">
        <v>1041</v>
      </c>
      <c r="C735" t="s">
        <v>25</v>
      </c>
      <c r="D735" s="9">
        <v>36502</v>
      </c>
      <c r="E735" s="9" t="str">
        <f t="shared" si="88"/>
        <v>20-30</v>
      </c>
      <c r="F735">
        <v>24</v>
      </c>
      <c r="G735" t="s">
        <v>17</v>
      </c>
      <c r="H735">
        <v>3</v>
      </c>
      <c r="I735" t="s">
        <v>150</v>
      </c>
      <c r="K735">
        <f t="shared" si="95"/>
        <v>0</v>
      </c>
      <c r="L735">
        <f t="shared" si="89"/>
        <v>1</v>
      </c>
      <c r="M735">
        <f t="shared" si="90"/>
        <v>0</v>
      </c>
      <c r="N735">
        <f t="shared" si="91"/>
        <v>1</v>
      </c>
      <c r="O735">
        <f t="shared" si="92"/>
        <v>0</v>
      </c>
      <c r="P735">
        <f t="shared" si="93"/>
        <v>0</v>
      </c>
      <c r="Q735">
        <f t="shared" si="94"/>
        <v>1</v>
      </c>
      <c r="R735" t="b">
        <v>0</v>
      </c>
      <c r="T735" s="10">
        <v>0.384027777777778</v>
      </c>
      <c r="U735" s="10">
        <v>0.4125</v>
      </c>
      <c r="V735">
        <v>41</v>
      </c>
      <c r="W735" t="b">
        <v>0</v>
      </c>
    </row>
    <row r="736" spans="1:24">
      <c r="A736">
        <v>735</v>
      </c>
      <c r="B736" t="s">
        <v>1042</v>
      </c>
      <c r="C736" t="s">
        <v>16</v>
      </c>
      <c r="D736" s="9">
        <v>33274</v>
      </c>
      <c r="E736" s="9" t="str">
        <f t="shared" si="88"/>
        <v>31-41</v>
      </c>
      <c r="F736">
        <v>33</v>
      </c>
      <c r="G736" t="s">
        <v>21</v>
      </c>
      <c r="H736">
        <v>2</v>
      </c>
      <c r="I736" t="s">
        <v>189</v>
      </c>
      <c r="K736">
        <f t="shared" si="95"/>
        <v>0</v>
      </c>
      <c r="L736">
        <f t="shared" si="89"/>
        <v>1</v>
      </c>
      <c r="M736">
        <f t="shared" si="90"/>
        <v>1</v>
      </c>
      <c r="N736">
        <f t="shared" si="91"/>
        <v>0</v>
      </c>
      <c r="O736">
        <f t="shared" si="92"/>
        <v>0</v>
      </c>
      <c r="P736">
        <f t="shared" si="93"/>
        <v>0</v>
      </c>
      <c r="Q736">
        <f t="shared" si="94"/>
        <v>0</v>
      </c>
      <c r="R736" t="b">
        <v>1</v>
      </c>
      <c r="S736" t="s">
        <v>1043</v>
      </c>
      <c r="T736" s="10">
        <v>0.391666666666667</v>
      </c>
      <c r="U736" s="10">
        <v>0.470833333333333</v>
      </c>
      <c r="V736">
        <v>114</v>
      </c>
      <c r="W736" t="b">
        <v>1</v>
      </c>
      <c r="X736" t="s">
        <v>47</v>
      </c>
    </row>
    <row r="737" spans="1:24">
      <c r="A737">
        <v>736</v>
      </c>
      <c r="B737" t="s">
        <v>1044</v>
      </c>
      <c r="C737" t="s">
        <v>25</v>
      </c>
      <c r="D737" s="9">
        <v>30301</v>
      </c>
      <c r="E737" s="9" t="str">
        <f t="shared" si="88"/>
        <v>41-50</v>
      </c>
      <c r="F737">
        <v>41</v>
      </c>
      <c r="G737" t="s">
        <v>17</v>
      </c>
      <c r="H737">
        <v>2</v>
      </c>
      <c r="I737" t="s">
        <v>166</v>
      </c>
      <c r="K737">
        <f t="shared" si="95"/>
        <v>0</v>
      </c>
      <c r="L737">
        <f t="shared" si="89"/>
        <v>1</v>
      </c>
      <c r="M737">
        <f t="shared" si="90"/>
        <v>0</v>
      </c>
      <c r="N737">
        <f t="shared" si="91"/>
        <v>1</v>
      </c>
      <c r="O737">
        <f t="shared" si="92"/>
        <v>0</v>
      </c>
      <c r="P737">
        <f t="shared" si="93"/>
        <v>0</v>
      </c>
      <c r="Q737">
        <f t="shared" si="94"/>
        <v>0</v>
      </c>
      <c r="R737" t="b">
        <v>1</v>
      </c>
      <c r="S737" t="s">
        <v>1045</v>
      </c>
      <c r="T737" s="10">
        <v>0.870833333333333</v>
      </c>
      <c r="U737" s="10">
        <v>0.931944444444444</v>
      </c>
      <c r="V737">
        <v>88</v>
      </c>
      <c r="W737" t="b">
        <v>1</v>
      </c>
      <c r="X737" t="s">
        <v>23</v>
      </c>
    </row>
    <row r="738" spans="1:24">
      <c r="A738">
        <v>737</v>
      </c>
      <c r="B738" t="s">
        <v>1046</v>
      </c>
      <c r="C738" t="s">
        <v>25</v>
      </c>
      <c r="D738" s="9">
        <v>32218</v>
      </c>
      <c r="E738" s="9" t="str">
        <f t="shared" si="88"/>
        <v>31-41</v>
      </c>
      <c r="F738">
        <v>36</v>
      </c>
      <c r="G738" t="s">
        <v>17</v>
      </c>
      <c r="H738">
        <v>1</v>
      </c>
      <c r="I738" t="s">
        <v>35</v>
      </c>
      <c r="K738">
        <f t="shared" si="95"/>
        <v>0</v>
      </c>
      <c r="L738">
        <f t="shared" si="89"/>
        <v>0</v>
      </c>
      <c r="M738">
        <f t="shared" si="90"/>
        <v>1</v>
      </c>
      <c r="N738">
        <f t="shared" si="91"/>
        <v>0</v>
      </c>
      <c r="O738">
        <f t="shared" si="92"/>
        <v>0</v>
      </c>
      <c r="P738">
        <f t="shared" si="93"/>
        <v>0</v>
      </c>
      <c r="Q738">
        <f t="shared" si="94"/>
        <v>0</v>
      </c>
      <c r="R738" t="b">
        <v>0</v>
      </c>
      <c r="T738" s="10">
        <v>0.363194444444444</v>
      </c>
      <c r="U738" s="10">
        <v>0.453472222222222</v>
      </c>
      <c r="V738">
        <v>130</v>
      </c>
      <c r="W738" t="b">
        <v>0</v>
      </c>
    </row>
    <row r="739" spans="1:24">
      <c r="A739">
        <v>738</v>
      </c>
      <c r="B739" t="s">
        <v>1047</v>
      </c>
      <c r="C739" t="s">
        <v>16</v>
      </c>
      <c r="D739" s="9">
        <v>28031</v>
      </c>
      <c r="E739" s="9" t="str">
        <f t="shared" si="88"/>
        <v>41-50</v>
      </c>
      <c r="F739">
        <v>48</v>
      </c>
      <c r="G739" t="s">
        <v>21</v>
      </c>
      <c r="H739">
        <v>5</v>
      </c>
      <c r="I739" t="s">
        <v>88</v>
      </c>
      <c r="K739">
        <f t="shared" si="95"/>
        <v>0</v>
      </c>
      <c r="L739">
        <f t="shared" si="89"/>
        <v>1</v>
      </c>
      <c r="M739">
        <f t="shared" si="90"/>
        <v>0</v>
      </c>
      <c r="N739">
        <f t="shared" si="91"/>
        <v>1</v>
      </c>
      <c r="O739">
        <f t="shared" si="92"/>
        <v>1</v>
      </c>
      <c r="P739">
        <f t="shared" si="93"/>
        <v>1</v>
      </c>
      <c r="Q739">
        <f t="shared" si="94"/>
        <v>1</v>
      </c>
      <c r="R739" t="b">
        <v>1</v>
      </c>
      <c r="S739" t="s">
        <v>201</v>
      </c>
      <c r="T739" s="10">
        <v>0.472916666666667</v>
      </c>
      <c r="U739" s="10">
        <v>0.499305555555556</v>
      </c>
      <c r="V739">
        <v>38</v>
      </c>
      <c r="W739" t="b">
        <v>1</v>
      </c>
      <c r="X739" t="s">
        <v>47</v>
      </c>
    </row>
    <row r="740" spans="1:24">
      <c r="A740">
        <v>739</v>
      </c>
      <c r="B740" t="s">
        <v>1048</v>
      </c>
      <c r="C740" t="s">
        <v>16</v>
      </c>
      <c r="D740" s="9">
        <v>37934</v>
      </c>
      <c r="E740" s="9" t="str">
        <f t="shared" si="88"/>
        <v>20-30</v>
      </c>
      <c r="F740">
        <v>20</v>
      </c>
      <c r="G740" t="s">
        <v>17</v>
      </c>
      <c r="H740">
        <v>3</v>
      </c>
      <c r="I740" t="s">
        <v>106</v>
      </c>
      <c r="K740">
        <f t="shared" si="95"/>
        <v>1</v>
      </c>
      <c r="L740">
        <f t="shared" si="89"/>
        <v>1</v>
      </c>
      <c r="M740">
        <f t="shared" si="90"/>
        <v>0</v>
      </c>
      <c r="N740">
        <f t="shared" si="91"/>
        <v>0</v>
      </c>
      <c r="O740">
        <f t="shared" si="92"/>
        <v>1</v>
      </c>
      <c r="P740">
        <f t="shared" si="93"/>
        <v>0</v>
      </c>
      <c r="Q740">
        <f t="shared" si="94"/>
        <v>0</v>
      </c>
      <c r="R740" t="b">
        <v>0</v>
      </c>
      <c r="T740" s="10">
        <v>0.644444444444444</v>
      </c>
      <c r="U740" s="10">
        <v>0.681944444444444</v>
      </c>
      <c r="V740">
        <v>54</v>
      </c>
      <c r="W740" t="b">
        <v>0</v>
      </c>
    </row>
    <row r="741" spans="1:24">
      <c r="A741">
        <v>740</v>
      </c>
      <c r="B741" t="s">
        <v>1049</v>
      </c>
      <c r="C741" t="s">
        <v>16</v>
      </c>
      <c r="D741" s="9">
        <v>38528</v>
      </c>
      <c r="E741" s="9" t="str">
        <f t="shared" si="88"/>
        <v>below 20</v>
      </c>
      <c r="F741">
        <v>19</v>
      </c>
      <c r="G741" t="s">
        <v>17</v>
      </c>
      <c r="H741">
        <v>4</v>
      </c>
      <c r="I741" t="s">
        <v>725</v>
      </c>
      <c r="K741">
        <f t="shared" si="95"/>
        <v>1</v>
      </c>
      <c r="L741">
        <f t="shared" si="89"/>
        <v>0</v>
      </c>
      <c r="M741">
        <f t="shared" si="90"/>
        <v>1</v>
      </c>
      <c r="N741">
        <f t="shared" si="91"/>
        <v>0</v>
      </c>
      <c r="O741">
        <f t="shared" si="92"/>
        <v>1</v>
      </c>
      <c r="P741">
        <f t="shared" si="93"/>
        <v>0</v>
      </c>
      <c r="Q741">
        <f t="shared" si="94"/>
        <v>1</v>
      </c>
      <c r="R741" t="b">
        <v>0</v>
      </c>
      <c r="T741" s="10">
        <v>0.469444444444444</v>
      </c>
      <c r="U741" s="10">
        <v>0.59375</v>
      </c>
      <c r="V741">
        <v>179</v>
      </c>
      <c r="W741" t="b">
        <v>0</v>
      </c>
    </row>
    <row r="742" spans="1:24">
      <c r="A742">
        <v>741</v>
      </c>
      <c r="B742" t="s">
        <v>1050</v>
      </c>
      <c r="C742" t="s">
        <v>25</v>
      </c>
      <c r="D742" s="9">
        <v>39909</v>
      </c>
      <c r="E742" s="9" t="str">
        <f t="shared" si="88"/>
        <v>below 20</v>
      </c>
      <c r="F742">
        <v>15</v>
      </c>
      <c r="G742" t="s">
        <v>21</v>
      </c>
      <c r="H742">
        <v>2</v>
      </c>
      <c r="I742" t="s">
        <v>306</v>
      </c>
      <c r="K742">
        <f t="shared" si="95"/>
        <v>1</v>
      </c>
      <c r="L742">
        <f t="shared" si="89"/>
        <v>0</v>
      </c>
      <c r="M742">
        <f t="shared" si="90"/>
        <v>0</v>
      </c>
      <c r="N742">
        <f t="shared" si="91"/>
        <v>0</v>
      </c>
      <c r="O742">
        <f t="shared" si="92"/>
        <v>1</v>
      </c>
      <c r="P742">
        <f t="shared" si="93"/>
        <v>0</v>
      </c>
      <c r="Q742">
        <f t="shared" si="94"/>
        <v>0</v>
      </c>
      <c r="R742" t="b">
        <v>1</v>
      </c>
      <c r="S742" t="s">
        <v>67</v>
      </c>
      <c r="T742" s="10">
        <v>0.838194444444444</v>
      </c>
      <c r="U742" s="10">
        <v>0.913888888888889</v>
      </c>
      <c r="V742">
        <v>109</v>
      </c>
      <c r="W742" t="b">
        <v>0</v>
      </c>
    </row>
    <row r="743" spans="1:24">
      <c r="A743">
        <v>742</v>
      </c>
      <c r="B743" t="s">
        <v>1051</v>
      </c>
      <c r="C743" t="s">
        <v>25</v>
      </c>
      <c r="D743" s="9">
        <v>35669</v>
      </c>
      <c r="E743" s="9" t="str">
        <f t="shared" si="88"/>
        <v>20-30</v>
      </c>
      <c r="F743">
        <v>27</v>
      </c>
      <c r="G743" t="s">
        <v>21</v>
      </c>
      <c r="H743">
        <v>1</v>
      </c>
      <c r="I743" t="s">
        <v>26</v>
      </c>
      <c r="K743">
        <f t="shared" si="95"/>
        <v>1</v>
      </c>
      <c r="L743">
        <f t="shared" si="89"/>
        <v>0</v>
      </c>
      <c r="M743">
        <f t="shared" si="90"/>
        <v>0</v>
      </c>
      <c r="N743">
        <f t="shared" si="91"/>
        <v>0</v>
      </c>
      <c r="O743">
        <f t="shared" si="92"/>
        <v>0</v>
      </c>
      <c r="P743">
        <f t="shared" si="93"/>
        <v>0</v>
      </c>
      <c r="Q743">
        <f t="shared" si="94"/>
        <v>0</v>
      </c>
      <c r="R743" t="b">
        <v>0</v>
      </c>
      <c r="T743" s="10">
        <v>0.751388888888889</v>
      </c>
      <c r="U743" s="10">
        <v>0.800694444444444</v>
      </c>
      <c r="V743">
        <v>71</v>
      </c>
      <c r="W743" t="b">
        <v>0</v>
      </c>
    </row>
    <row r="744" spans="1:24">
      <c r="A744">
        <v>743</v>
      </c>
      <c r="B744" t="s">
        <v>1052</v>
      </c>
      <c r="C744" t="s">
        <v>25</v>
      </c>
      <c r="D744" s="9">
        <v>33946</v>
      </c>
      <c r="E744" s="9" t="str">
        <f t="shared" si="88"/>
        <v>31-41</v>
      </c>
      <c r="F744">
        <v>31</v>
      </c>
      <c r="G744" t="s">
        <v>21</v>
      </c>
      <c r="H744">
        <v>2</v>
      </c>
      <c r="I744" t="s">
        <v>55</v>
      </c>
      <c r="K744">
        <f t="shared" si="95"/>
        <v>1</v>
      </c>
      <c r="L744">
        <f t="shared" si="89"/>
        <v>0</v>
      </c>
      <c r="M744">
        <f t="shared" si="90"/>
        <v>0</v>
      </c>
      <c r="N744">
        <f t="shared" si="91"/>
        <v>1</v>
      </c>
      <c r="O744">
        <f t="shared" si="92"/>
        <v>0</v>
      </c>
      <c r="P744">
        <f t="shared" si="93"/>
        <v>0</v>
      </c>
      <c r="Q744">
        <f t="shared" si="94"/>
        <v>0</v>
      </c>
      <c r="R744" t="b">
        <v>1</v>
      </c>
      <c r="S744" t="s">
        <v>114</v>
      </c>
      <c r="T744" s="10">
        <v>0.852777777777778</v>
      </c>
      <c r="U744" s="10">
        <v>0.877777777777778</v>
      </c>
      <c r="V744">
        <v>36</v>
      </c>
      <c r="W744" t="b">
        <v>1</v>
      </c>
      <c r="X744" t="s">
        <v>28</v>
      </c>
    </row>
    <row r="745" spans="1:24">
      <c r="A745">
        <v>744</v>
      </c>
      <c r="B745" t="s">
        <v>1053</v>
      </c>
      <c r="C745" t="s">
        <v>25</v>
      </c>
      <c r="D745" s="9">
        <v>38262</v>
      </c>
      <c r="E745" s="9" t="str">
        <f t="shared" si="88"/>
        <v>20-30</v>
      </c>
      <c r="F745">
        <v>20</v>
      </c>
      <c r="G745" t="s">
        <v>17</v>
      </c>
      <c r="H745">
        <v>3</v>
      </c>
      <c r="I745" t="s">
        <v>247</v>
      </c>
      <c r="K745">
        <f t="shared" si="95"/>
        <v>0</v>
      </c>
      <c r="L745">
        <f t="shared" si="89"/>
        <v>0</v>
      </c>
      <c r="M745">
        <f t="shared" si="90"/>
        <v>1</v>
      </c>
      <c r="N745">
        <f t="shared" si="91"/>
        <v>1</v>
      </c>
      <c r="O745">
        <f t="shared" si="92"/>
        <v>0</v>
      </c>
      <c r="P745">
        <f t="shared" si="93"/>
        <v>1</v>
      </c>
      <c r="Q745">
        <f t="shared" si="94"/>
        <v>0</v>
      </c>
      <c r="R745" t="b">
        <v>1</v>
      </c>
      <c r="S745" t="s">
        <v>1054</v>
      </c>
      <c r="T745" s="10">
        <v>0.445833333333333</v>
      </c>
      <c r="U745" s="10">
        <v>0.5625</v>
      </c>
      <c r="V745">
        <v>168</v>
      </c>
      <c r="W745" t="b">
        <v>1</v>
      </c>
      <c r="X745" t="s">
        <v>28</v>
      </c>
    </row>
    <row r="746" spans="1:24">
      <c r="A746">
        <v>745</v>
      </c>
      <c r="B746" t="s">
        <v>1055</v>
      </c>
      <c r="C746" t="s">
        <v>16</v>
      </c>
      <c r="D746" s="9">
        <v>40664</v>
      </c>
      <c r="E746" s="9" t="str">
        <f t="shared" si="88"/>
        <v>below 20</v>
      </c>
      <c r="F746">
        <v>13</v>
      </c>
      <c r="G746" t="s">
        <v>21</v>
      </c>
      <c r="H746">
        <v>3</v>
      </c>
      <c r="I746" t="s">
        <v>215</v>
      </c>
      <c r="K746">
        <f t="shared" si="95"/>
        <v>1</v>
      </c>
      <c r="L746">
        <f t="shared" si="89"/>
        <v>1</v>
      </c>
      <c r="M746">
        <f t="shared" si="90"/>
        <v>1</v>
      </c>
      <c r="N746">
        <f t="shared" si="91"/>
        <v>0</v>
      </c>
      <c r="O746">
        <f t="shared" si="92"/>
        <v>0</v>
      </c>
      <c r="P746">
        <f t="shared" si="93"/>
        <v>0</v>
      </c>
      <c r="Q746">
        <f t="shared" si="94"/>
        <v>0</v>
      </c>
      <c r="R746" t="b">
        <v>1</v>
      </c>
      <c r="S746" t="s">
        <v>83</v>
      </c>
      <c r="T746" s="10">
        <v>0.567361111111111</v>
      </c>
      <c r="U746" s="10">
        <v>0.609722222222222</v>
      </c>
      <c r="V746">
        <v>61</v>
      </c>
      <c r="W746" t="b">
        <v>0</v>
      </c>
    </row>
    <row r="747" spans="1:24">
      <c r="A747">
        <v>746</v>
      </c>
      <c r="B747" t="s">
        <v>1056</v>
      </c>
      <c r="C747" t="s">
        <v>25</v>
      </c>
      <c r="D747" s="9">
        <v>39295</v>
      </c>
      <c r="E747" s="9" t="str">
        <f t="shared" si="88"/>
        <v>below 20</v>
      </c>
      <c r="F747">
        <v>17</v>
      </c>
      <c r="G747" t="s">
        <v>17</v>
      </c>
      <c r="H747">
        <v>2</v>
      </c>
      <c r="I747" t="s">
        <v>55</v>
      </c>
      <c r="K747">
        <f t="shared" si="95"/>
        <v>1</v>
      </c>
      <c r="L747">
        <f t="shared" si="89"/>
        <v>0</v>
      </c>
      <c r="M747">
        <f t="shared" si="90"/>
        <v>0</v>
      </c>
      <c r="N747">
        <f t="shared" si="91"/>
        <v>1</v>
      </c>
      <c r="O747">
        <f t="shared" si="92"/>
        <v>0</v>
      </c>
      <c r="P747">
        <f t="shared" si="93"/>
        <v>0</v>
      </c>
      <c r="Q747">
        <f t="shared" si="94"/>
        <v>0</v>
      </c>
      <c r="R747" t="b">
        <v>1</v>
      </c>
      <c r="S747" t="s">
        <v>67</v>
      </c>
      <c r="T747" s="10">
        <v>0.422916666666667</v>
      </c>
      <c r="U747" s="10">
        <v>0.482638888888889</v>
      </c>
      <c r="V747">
        <v>86</v>
      </c>
      <c r="W747" t="b">
        <v>0</v>
      </c>
    </row>
    <row r="748" spans="1:24">
      <c r="A748">
        <v>747</v>
      </c>
      <c r="B748" t="s">
        <v>1057</v>
      </c>
      <c r="C748" t="s">
        <v>25</v>
      </c>
      <c r="D748" s="9">
        <v>29519</v>
      </c>
      <c r="E748" s="9" t="str">
        <f t="shared" si="88"/>
        <v>41-50</v>
      </c>
      <c r="F748">
        <v>43</v>
      </c>
      <c r="G748" t="s">
        <v>21</v>
      </c>
      <c r="H748">
        <v>2</v>
      </c>
      <c r="I748" t="s">
        <v>138</v>
      </c>
      <c r="K748">
        <f t="shared" si="95"/>
        <v>0</v>
      </c>
      <c r="L748">
        <f t="shared" si="89"/>
        <v>0</v>
      </c>
      <c r="M748">
        <f t="shared" si="90"/>
        <v>1</v>
      </c>
      <c r="N748">
        <f t="shared" si="91"/>
        <v>0</v>
      </c>
      <c r="O748">
        <f t="shared" si="92"/>
        <v>0</v>
      </c>
      <c r="P748">
        <f t="shared" si="93"/>
        <v>1</v>
      </c>
      <c r="Q748">
        <f t="shared" si="94"/>
        <v>0</v>
      </c>
      <c r="R748" t="b">
        <v>0</v>
      </c>
      <c r="T748" s="10">
        <v>0.548611111111111</v>
      </c>
      <c r="U748" s="10">
        <v>0.570833333333333</v>
      </c>
      <c r="V748">
        <v>32</v>
      </c>
      <c r="W748" t="b">
        <v>1</v>
      </c>
      <c r="X748" t="s">
        <v>28</v>
      </c>
    </row>
    <row r="749" spans="1:24">
      <c r="A749">
        <v>748</v>
      </c>
      <c r="B749" t="s">
        <v>399</v>
      </c>
      <c r="C749" t="s">
        <v>25</v>
      </c>
      <c r="D749" s="9">
        <v>29830</v>
      </c>
      <c r="E749" s="9" t="str">
        <f t="shared" si="88"/>
        <v>41-50</v>
      </c>
      <c r="F749">
        <v>43</v>
      </c>
      <c r="G749" t="s">
        <v>17</v>
      </c>
      <c r="H749">
        <v>1</v>
      </c>
      <c r="I749" t="s">
        <v>46</v>
      </c>
      <c r="K749">
        <f t="shared" si="95"/>
        <v>0</v>
      </c>
      <c r="L749">
        <f t="shared" si="89"/>
        <v>1</v>
      </c>
      <c r="M749">
        <f t="shared" si="90"/>
        <v>0</v>
      </c>
      <c r="N749">
        <f t="shared" si="91"/>
        <v>0</v>
      </c>
      <c r="O749">
        <f t="shared" si="92"/>
        <v>0</v>
      </c>
      <c r="P749">
        <f t="shared" si="93"/>
        <v>0</v>
      </c>
      <c r="Q749">
        <f t="shared" si="94"/>
        <v>0</v>
      </c>
      <c r="R749" t="b">
        <v>0</v>
      </c>
      <c r="T749" s="10">
        <v>0.821527777777778</v>
      </c>
      <c r="U749" s="10">
        <v>0.9</v>
      </c>
      <c r="V749">
        <v>113</v>
      </c>
      <c r="W749" t="b">
        <v>1</v>
      </c>
      <c r="X749" t="s">
        <v>28</v>
      </c>
    </row>
    <row r="750" spans="1:24">
      <c r="A750">
        <v>749</v>
      </c>
      <c r="B750" t="s">
        <v>1058</v>
      </c>
      <c r="C750" t="s">
        <v>16</v>
      </c>
      <c r="D750" s="9">
        <v>41111</v>
      </c>
      <c r="E750" s="9" t="str">
        <f t="shared" si="88"/>
        <v>below 20</v>
      </c>
      <c r="F750">
        <v>12</v>
      </c>
      <c r="G750" t="s">
        <v>17</v>
      </c>
      <c r="H750">
        <v>2</v>
      </c>
      <c r="I750" t="s">
        <v>111</v>
      </c>
      <c r="K750">
        <f t="shared" si="95"/>
        <v>0</v>
      </c>
      <c r="L750">
        <f t="shared" si="89"/>
        <v>1</v>
      </c>
      <c r="M750">
        <f t="shared" si="90"/>
        <v>0</v>
      </c>
      <c r="N750">
        <f t="shared" si="91"/>
        <v>0</v>
      </c>
      <c r="O750">
        <f t="shared" si="92"/>
        <v>0</v>
      </c>
      <c r="P750">
        <f t="shared" si="93"/>
        <v>0</v>
      </c>
      <c r="Q750">
        <f t="shared" si="94"/>
        <v>1</v>
      </c>
      <c r="R750" t="b">
        <v>1</v>
      </c>
      <c r="S750" t="s">
        <v>969</v>
      </c>
      <c r="T750" s="10">
        <v>0.445833333333333</v>
      </c>
      <c r="U750" s="10">
        <v>0.540277777777778</v>
      </c>
      <c r="V750">
        <v>136</v>
      </c>
      <c r="W750" t="b">
        <v>0</v>
      </c>
    </row>
    <row r="751" spans="1:24">
      <c r="A751">
        <v>750</v>
      </c>
      <c r="B751" t="s">
        <v>1059</v>
      </c>
      <c r="C751" t="s">
        <v>16</v>
      </c>
      <c r="D751" s="9">
        <v>27510</v>
      </c>
      <c r="E751" s="9" t="str">
        <f t="shared" si="88"/>
        <v>41-50</v>
      </c>
      <c r="F751">
        <v>49</v>
      </c>
      <c r="G751" t="s">
        <v>21</v>
      </c>
      <c r="H751">
        <v>5</v>
      </c>
      <c r="I751" t="s">
        <v>152</v>
      </c>
      <c r="K751">
        <f t="shared" si="95"/>
        <v>1</v>
      </c>
      <c r="L751">
        <f t="shared" si="89"/>
        <v>0</v>
      </c>
      <c r="M751">
        <f t="shared" si="90"/>
        <v>1</v>
      </c>
      <c r="N751">
        <f t="shared" si="91"/>
        <v>1</v>
      </c>
      <c r="O751">
        <f t="shared" si="92"/>
        <v>1</v>
      </c>
      <c r="P751">
        <f t="shared" si="93"/>
        <v>0</v>
      </c>
      <c r="Q751">
        <f t="shared" si="94"/>
        <v>1</v>
      </c>
      <c r="R751" t="b">
        <v>1</v>
      </c>
      <c r="S751" t="s">
        <v>319</v>
      </c>
      <c r="T751" s="10">
        <v>0.436111111111111</v>
      </c>
      <c r="U751" s="10">
        <v>0.555555555555556</v>
      </c>
      <c r="V751">
        <v>172</v>
      </c>
      <c r="W751" t="b">
        <v>0</v>
      </c>
    </row>
    <row r="752" spans="1:24">
      <c r="A752">
        <v>751</v>
      </c>
      <c r="B752" t="s">
        <v>1060</v>
      </c>
      <c r="C752" t="s">
        <v>16</v>
      </c>
      <c r="D752" s="9">
        <v>33421</v>
      </c>
      <c r="E752" s="9" t="str">
        <f t="shared" si="88"/>
        <v>31-41</v>
      </c>
      <c r="F752">
        <v>33</v>
      </c>
      <c r="G752" t="s">
        <v>21</v>
      </c>
      <c r="H752">
        <v>3</v>
      </c>
      <c r="I752" t="s">
        <v>37</v>
      </c>
      <c r="K752">
        <f t="shared" si="95"/>
        <v>1</v>
      </c>
      <c r="L752">
        <f t="shared" si="89"/>
        <v>1</v>
      </c>
      <c r="M752">
        <f t="shared" si="90"/>
        <v>0</v>
      </c>
      <c r="N752">
        <f t="shared" si="91"/>
        <v>0</v>
      </c>
      <c r="O752">
        <f t="shared" si="92"/>
        <v>0</v>
      </c>
      <c r="P752">
        <f t="shared" si="93"/>
        <v>0</v>
      </c>
      <c r="Q752">
        <f t="shared" si="94"/>
        <v>1</v>
      </c>
      <c r="R752" t="b">
        <v>1</v>
      </c>
      <c r="S752" t="s">
        <v>1061</v>
      </c>
      <c r="T752" s="10">
        <v>0.549305555555556</v>
      </c>
      <c r="U752" s="10">
        <v>0.571527777777778</v>
      </c>
      <c r="V752">
        <v>32</v>
      </c>
      <c r="W752" t="b">
        <v>0</v>
      </c>
    </row>
    <row r="753" spans="1:24">
      <c r="A753">
        <v>752</v>
      </c>
      <c r="B753" t="s">
        <v>1062</v>
      </c>
      <c r="C753" t="s">
        <v>16</v>
      </c>
      <c r="D753" s="9">
        <v>34551</v>
      </c>
      <c r="E753" s="9" t="str">
        <f t="shared" si="88"/>
        <v>20-30</v>
      </c>
      <c r="F753">
        <v>30</v>
      </c>
      <c r="G753" t="s">
        <v>21</v>
      </c>
      <c r="H753">
        <v>3</v>
      </c>
      <c r="I753" t="s">
        <v>295</v>
      </c>
      <c r="K753">
        <f t="shared" si="95"/>
        <v>1</v>
      </c>
      <c r="L753">
        <f t="shared" si="89"/>
        <v>0</v>
      </c>
      <c r="M753">
        <f t="shared" si="90"/>
        <v>0</v>
      </c>
      <c r="N753">
        <f t="shared" si="91"/>
        <v>0</v>
      </c>
      <c r="O753">
        <f t="shared" si="92"/>
        <v>1</v>
      </c>
      <c r="P753">
        <f t="shared" si="93"/>
        <v>0</v>
      </c>
      <c r="Q753">
        <f t="shared" si="94"/>
        <v>1</v>
      </c>
      <c r="R753" t="b">
        <v>0</v>
      </c>
      <c r="T753" s="10">
        <v>0.336805555555556</v>
      </c>
      <c r="U753" s="10">
        <v>0.438888888888889</v>
      </c>
      <c r="V753">
        <v>147</v>
      </c>
      <c r="W753" t="b">
        <v>1</v>
      </c>
      <c r="X753" t="s">
        <v>47</v>
      </c>
    </row>
    <row r="754" spans="1:24">
      <c r="A754">
        <v>753</v>
      </c>
      <c r="B754" t="s">
        <v>1063</v>
      </c>
      <c r="C754" t="s">
        <v>16</v>
      </c>
      <c r="D754" s="9">
        <v>35002</v>
      </c>
      <c r="E754" s="9" t="str">
        <f t="shared" si="88"/>
        <v>20-30</v>
      </c>
      <c r="F754">
        <v>28</v>
      </c>
      <c r="G754" t="s">
        <v>17</v>
      </c>
      <c r="H754">
        <v>3</v>
      </c>
      <c r="I754" t="s">
        <v>30</v>
      </c>
      <c r="K754">
        <f t="shared" si="95"/>
        <v>0</v>
      </c>
      <c r="L754">
        <f t="shared" si="89"/>
        <v>0</v>
      </c>
      <c r="M754">
        <f t="shared" si="90"/>
        <v>1</v>
      </c>
      <c r="N754">
        <f t="shared" si="91"/>
        <v>0</v>
      </c>
      <c r="O754">
        <f t="shared" si="92"/>
        <v>0</v>
      </c>
      <c r="P754">
        <f t="shared" si="93"/>
        <v>1</v>
      </c>
      <c r="Q754">
        <f t="shared" si="94"/>
        <v>1</v>
      </c>
      <c r="R754" t="b">
        <v>0</v>
      </c>
      <c r="T754" s="10">
        <v>0.424305555555556</v>
      </c>
      <c r="U754" s="10">
        <v>0.529166666666667</v>
      </c>
      <c r="V754">
        <v>151</v>
      </c>
      <c r="W754" t="b">
        <v>0</v>
      </c>
    </row>
    <row r="755" spans="1:24">
      <c r="A755">
        <v>754</v>
      </c>
      <c r="B755" t="s">
        <v>1064</v>
      </c>
      <c r="C755" t="s">
        <v>16</v>
      </c>
      <c r="D755" s="9">
        <v>33216</v>
      </c>
      <c r="E755" s="9" t="str">
        <f t="shared" si="88"/>
        <v>31-41</v>
      </c>
      <c r="F755">
        <v>33</v>
      </c>
      <c r="G755" t="s">
        <v>21</v>
      </c>
      <c r="H755">
        <v>3</v>
      </c>
      <c r="I755" t="s">
        <v>164</v>
      </c>
      <c r="K755">
        <f t="shared" si="95"/>
        <v>0</v>
      </c>
      <c r="L755">
        <f t="shared" si="89"/>
        <v>0</v>
      </c>
      <c r="M755">
        <f t="shared" si="90"/>
        <v>1</v>
      </c>
      <c r="N755">
        <f t="shared" si="91"/>
        <v>0</v>
      </c>
      <c r="O755">
        <f t="shared" si="92"/>
        <v>1</v>
      </c>
      <c r="P755">
        <f t="shared" si="93"/>
        <v>1</v>
      </c>
      <c r="Q755">
        <f t="shared" si="94"/>
        <v>0</v>
      </c>
      <c r="R755" t="b">
        <v>0</v>
      </c>
      <c r="T755" s="10">
        <v>0.634027777777778</v>
      </c>
      <c r="U755" s="10">
        <v>0.665277777777778</v>
      </c>
      <c r="V755">
        <v>45</v>
      </c>
      <c r="W755" t="b">
        <v>1</v>
      </c>
      <c r="X755" t="s">
        <v>23</v>
      </c>
    </row>
    <row r="756" spans="1:24">
      <c r="A756">
        <v>755</v>
      </c>
      <c r="B756" t="s">
        <v>1065</v>
      </c>
      <c r="C756" t="s">
        <v>16</v>
      </c>
      <c r="D756" s="9">
        <v>39576</v>
      </c>
      <c r="E756" s="9" t="str">
        <f t="shared" si="88"/>
        <v>below 20</v>
      </c>
      <c r="F756">
        <v>16</v>
      </c>
      <c r="G756" t="s">
        <v>21</v>
      </c>
      <c r="H756">
        <v>3</v>
      </c>
      <c r="I756" t="s">
        <v>130</v>
      </c>
      <c r="K756">
        <f t="shared" si="95"/>
        <v>0</v>
      </c>
      <c r="L756">
        <f t="shared" si="89"/>
        <v>1</v>
      </c>
      <c r="M756">
        <f t="shared" si="90"/>
        <v>0</v>
      </c>
      <c r="N756">
        <f t="shared" si="91"/>
        <v>1</v>
      </c>
      <c r="O756">
        <f t="shared" si="92"/>
        <v>1</v>
      </c>
      <c r="P756">
        <f t="shared" si="93"/>
        <v>0</v>
      </c>
      <c r="Q756">
        <f t="shared" si="94"/>
        <v>0</v>
      </c>
      <c r="R756" t="b">
        <v>0</v>
      </c>
      <c r="T756" s="10">
        <v>0.777083333333333</v>
      </c>
      <c r="U756" s="10">
        <v>0.85625</v>
      </c>
      <c r="V756">
        <v>114</v>
      </c>
      <c r="W756" t="b">
        <v>0</v>
      </c>
    </row>
    <row r="757" spans="1:24">
      <c r="A757">
        <v>756</v>
      </c>
      <c r="B757" t="s">
        <v>197</v>
      </c>
      <c r="C757" t="s">
        <v>25</v>
      </c>
      <c r="D757" s="9">
        <v>30445</v>
      </c>
      <c r="E757" s="9" t="str">
        <f t="shared" si="88"/>
        <v>41-50</v>
      </c>
      <c r="F757">
        <v>41</v>
      </c>
      <c r="G757" t="s">
        <v>17</v>
      </c>
      <c r="H757">
        <v>1</v>
      </c>
      <c r="I757" t="s">
        <v>35</v>
      </c>
      <c r="K757">
        <f t="shared" si="95"/>
        <v>0</v>
      </c>
      <c r="L757">
        <f t="shared" si="89"/>
        <v>0</v>
      </c>
      <c r="M757">
        <f t="shared" si="90"/>
        <v>1</v>
      </c>
      <c r="N757">
        <f t="shared" si="91"/>
        <v>0</v>
      </c>
      <c r="O757">
        <f t="shared" si="92"/>
        <v>0</v>
      </c>
      <c r="P757">
        <f t="shared" si="93"/>
        <v>0</v>
      </c>
      <c r="Q757">
        <f t="shared" si="94"/>
        <v>0</v>
      </c>
      <c r="R757" t="b">
        <v>1</v>
      </c>
      <c r="S757" t="s">
        <v>1066</v>
      </c>
      <c r="T757" s="10">
        <v>0.807638888888889</v>
      </c>
      <c r="U757" s="10">
        <v>0.904166666666667</v>
      </c>
      <c r="V757">
        <v>139</v>
      </c>
      <c r="W757" t="b">
        <v>0</v>
      </c>
    </row>
    <row r="758" spans="1:24">
      <c r="A758">
        <v>757</v>
      </c>
      <c r="B758" t="s">
        <v>1067</v>
      </c>
      <c r="C758" t="s">
        <v>25</v>
      </c>
      <c r="D758" s="9">
        <v>37985</v>
      </c>
      <c r="E758" s="9" t="str">
        <f t="shared" si="88"/>
        <v>20-30</v>
      </c>
      <c r="F758">
        <v>20</v>
      </c>
      <c r="G758" t="s">
        <v>17</v>
      </c>
      <c r="H758">
        <v>1</v>
      </c>
      <c r="I758" t="s">
        <v>185</v>
      </c>
      <c r="K758">
        <f t="shared" si="95"/>
        <v>0</v>
      </c>
      <c r="L758">
        <f t="shared" si="89"/>
        <v>0</v>
      </c>
      <c r="M758">
        <f t="shared" si="90"/>
        <v>0</v>
      </c>
      <c r="N758">
        <f t="shared" si="91"/>
        <v>1</v>
      </c>
      <c r="O758">
        <f t="shared" si="92"/>
        <v>0</v>
      </c>
      <c r="P758">
        <f t="shared" si="93"/>
        <v>0</v>
      </c>
      <c r="Q758">
        <f t="shared" si="94"/>
        <v>0</v>
      </c>
      <c r="R758" t="b">
        <v>0</v>
      </c>
      <c r="T758" s="10">
        <v>0.474305555555556</v>
      </c>
      <c r="U758" s="10">
        <v>0.515277777777778</v>
      </c>
      <c r="V758">
        <v>59</v>
      </c>
      <c r="W758" t="b">
        <v>0</v>
      </c>
    </row>
    <row r="759" spans="1:24">
      <c r="A759">
        <v>758</v>
      </c>
      <c r="B759" t="s">
        <v>1068</v>
      </c>
      <c r="C759" t="s">
        <v>16</v>
      </c>
      <c r="D759" s="9">
        <v>35739</v>
      </c>
      <c r="E759" s="9" t="str">
        <f t="shared" si="88"/>
        <v>20-30</v>
      </c>
      <c r="F759">
        <v>26</v>
      </c>
      <c r="G759" t="s">
        <v>21</v>
      </c>
      <c r="H759">
        <v>5</v>
      </c>
      <c r="I759" t="s">
        <v>88</v>
      </c>
      <c r="K759">
        <f t="shared" si="95"/>
        <v>0</v>
      </c>
      <c r="L759">
        <f t="shared" si="89"/>
        <v>1</v>
      </c>
      <c r="M759">
        <f t="shared" si="90"/>
        <v>0</v>
      </c>
      <c r="N759">
        <f t="shared" si="91"/>
        <v>1</v>
      </c>
      <c r="O759">
        <f t="shared" si="92"/>
        <v>1</v>
      </c>
      <c r="P759">
        <f t="shared" si="93"/>
        <v>1</v>
      </c>
      <c r="Q759">
        <f t="shared" si="94"/>
        <v>1</v>
      </c>
      <c r="R759" t="b">
        <v>0</v>
      </c>
      <c r="T759" s="10">
        <v>0.636111111111111</v>
      </c>
      <c r="U759" s="10">
        <v>0.754166666666667</v>
      </c>
      <c r="V759">
        <v>170</v>
      </c>
      <c r="W759" t="b">
        <v>1</v>
      </c>
      <c r="X759" t="s">
        <v>47</v>
      </c>
    </row>
    <row r="760" spans="1:24">
      <c r="A760">
        <v>759</v>
      </c>
      <c r="B760" t="s">
        <v>1069</v>
      </c>
      <c r="C760" t="s">
        <v>25</v>
      </c>
      <c r="D760" s="9">
        <v>38574</v>
      </c>
      <c r="E760" s="9" t="str">
        <f t="shared" si="88"/>
        <v>below 20</v>
      </c>
      <c r="F760">
        <v>19</v>
      </c>
      <c r="G760" t="s">
        <v>21</v>
      </c>
      <c r="H760">
        <v>3</v>
      </c>
      <c r="I760" t="s">
        <v>215</v>
      </c>
      <c r="K760">
        <f t="shared" si="95"/>
        <v>1</v>
      </c>
      <c r="L760">
        <f t="shared" si="89"/>
        <v>1</v>
      </c>
      <c r="M760">
        <f t="shared" si="90"/>
        <v>1</v>
      </c>
      <c r="N760">
        <f t="shared" si="91"/>
        <v>0</v>
      </c>
      <c r="O760">
        <f t="shared" si="92"/>
        <v>0</v>
      </c>
      <c r="P760">
        <f t="shared" si="93"/>
        <v>0</v>
      </c>
      <c r="Q760">
        <f t="shared" si="94"/>
        <v>0</v>
      </c>
      <c r="R760" t="b">
        <v>1</v>
      </c>
      <c r="S760" t="s">
        <v>1070</v>
      </c>
      <c r="T760" s="10">
        <v>0.554861111111111</v>
      </c>
      <c r="U760" s="10">
        <v>0.611111111111111</v>
      </c>
      <c r="V760">
        <v>81</v>
      </c>
      <c r="W760" t="b">
        <v>0</v>
      </c>
    </row>
    <row r="761" spans="1:24">
      <c r="A761">
        <v>760</v>
      </c>
      <c r="B761" t="s">
        <v>992</v>
      </c>
      <c r="C761" t="s">
        <v>25</v>
      </c>
      <c r="D761" s="9">
        <v>29721</v>
      </c>
      <c r="E761" s="9" t="str">
        <f t="shared" si="88"/>
        <v>41-50</v>
      </c>
      <c r="F761">
        <v>43</v>
      </c>
      <c r="G761" t="s">
        <v>17</v>
      </c>
      <c r="H761">
        <v>5</v>
      </c>
      <c r="I761" t="s">
        <v>816</v>
      </c>
      <c r="K761">
        <f t="shared" si="95"/>
        <v>1</v>
      </c>
      <c r="L761">
        <f t="shared" si="89"/>
        <v>0</v>
      </c>
      <c r="M761">
        <f t="shared" si="90"/>
        <v>1</v>
      </c>
      <c r="N761">
        <f t="shared" si="91"/>
        <v>1</v>
      </c>
      <c r="O761">
        <f t="shared" si="92"/>
        <v>0</v>
      </c>
      <c r="P761">
        <f t="shared" si="93"/>
        <v>1</v>
      </c>
      <c r="Q761">
        <f t="shared" si="94"/>
        <v>1</v>
      </c>
      <c r="R761" t="b">
        <v>1</v>
      </c>
      <c r="S761" t="s">
        <v>1071</v>
      </c>
      <c r="T761" s="10">
        <v>0.395138888888889</v>
      </c>
      <c r="U761" s="10">
        <v>0.459027777777778</v>
      </c>
      <c r="V761">
        <v>92</v>
      </c>
      <c r="W761" t="b">
        <v>1</v>
      </c>
      <c r="X761" t="s">
        <v>23</v>
      </c>
    </row>
    <row r="762" spans="1:24">
      <c r="A762">
        <v>761</v>
      </c>
      <c r="B762" t="s">
        <v>1072</v>
      </c>
      <c r="C762" t="s">
        <v>25</v>
      </c>
      <c r="D762" s="9">
        <v>30548</v>
      </c>
      <c r="E762" s="9" t="str">
        <f t="shared" si="88"/>
        <v>41-50</v>
      </c>
      <c r="F762">
        <v>41</v>
      </c>
      <c r="G762" t="s">
        <v>21</v>
      </c>
      <c r="H762">
        <v>1</v>
      </c>
      <c r="I762" t="s">
        <v>46</v>
      </c>
      <c r="K762">
        <f t="shared" si="95"/>
        <v>0</v>
      </c>
      <c r="L762">
        <f t="shared" si="89"/>
        <v>1</v>
      </c>
      <c r="M762">
        <f t="shared" si="90"/>
        <v>0</v>
      </c>
      <c r="N762">
        <f t="shared" si="91"/>
        <v>0</v>
      </c>
      <c r="O762">
        <f t="shared" si="92"/>
        <v>0</v>
      </c>
      <c r="P762">
        <f t="shared" si="93"/>
        <v>0</v>
      </c>
      <c r="Q762">
        <f t="shared" si="94"/>
        <v>0</v>
      </c>
      <c r="R762" t="b">
        <v>1</v>
      </c>
      <c r="S762" t="s">
        <v>1054</v>
      </c>
      <c r="T762" s="10">
        <v>0.570138888888889</v>
      </c>
      <c r="U762" s="10">
        <v>0.6125</v>
      </c>
      <c r="V762">
        <v>61</v>
      </c>
      <c r="W762" t="b">
        <v>1</v>
      </c>
      <c r="X762" t="s">
        <v>28</v>
      </c>
    </row>
    <row r="763" spans="1:24">
      <c r="A763">
        <v>762</v>
      </c>
      <c r="B763" t="s">
        <v>1073</v>
      </c>
      <c r="C763" t="s">
        <v>16</v>
      </c>
      <c r="D763" s="9">
        <v>37248</v>
      </c>
      <c r="E763" s="9" t="str">
        <f t="shared" si="88"/>
        <v>20-30</v>
      </c>
      <c r="F763">
        <v>22</v>
      </c>
      <c r="G763" t="s">
        <v>21</v>
      </c>
      <c r="H763">
        <v>2</v>
      </c>
      <c r="I763" t="s">
        <v>72</v>
      </c>
      <c r="K763">
        <f t="shared" si="95"/>
        <v>0</v>
      </c>
      <c r="L763">
        <f t="shared" si="89"/>
        <v>0</v>
      </c>
      <c r="M763">
        <f t="shared" si="90"/>
        <v>0</v>
      </c>
      <c r="N763">
        <f t="shared" si="91"/>
        <v>0</v>
      </c>
      <c r="O763">
        <f t="shared" si="92"/>
        <v>1</v>
      </c>
      <c r="P763">
        <f t="shared" si="93"/>
        <v>0</v>
      </c>
      <c r="Q763">
        <f t="shared" si="94"/>
        <v>1</v>
      </c>
      <c r="R763" t="b">
        <v>1</v>
      </c>
      <c r="S763" t="s">
        <v>666</v>
      </c>
      <c r="T763" s="10">
        <v>0.509027777777778</v>
      </c>
      <c r="U763" s="10">
        <v>0.579166666666667</v>
      </c>
      <c r="V763">
        <v>101</v>
      </c>
      <c r="W763" t="b">
        <v>0</v>
      </c>
    </row>
    <row r="764" spans="1:24">
      <c r="A764">
        <v>763</v>
      </c>
      <c r="B764" t="s">
        <v>1074</v>
      </c>
      <c r="C764" t="s">
        <v>16</v>
      </c>
      <c r="D764" s="9">
        <v>28816</v>
      </c>
      <c r="E764" s="9" t="str">
        <f t="shared" si="88"/>
        <v>41-50</v>
      </c>
      <c r="F764">
        <v>45</v>
      </c>
      <c r="G764" t="s">
        <v>17</v>
      </c>
      <c r="H764">
        <v>3</v>
      </c>
      <c r="I764" t="s">
        <v>159</v>
      </c>
      <c r="K764">
        <f t="shared" si="95"/>
        <v>0</v>
      </c>
      <c r="L764">
        <f t="shared" si="89"/>
        <v>1</v>
      </c>
      <c r="M764">
        <f t="shared" si="90"/>
        <v>0</v>
      </c>
      <c r="N764">
        <f t="shared" si="91"/>
        <v>0</v>
      </c>
      <c r="O764">
        <f t="shared" si="92"/>
        <v>1</v>
      </c>
      <c r="P764">
        <f t="shared" si="93"/>
        <v>0</v>
      </c>
      <c r="Q764">
        <f t="shared" si="94"/>
        <v>1</v>
      </c>
      <c r="R764" t="b">
        <v>1</v>
      </c>
      <c r="S764" t="s">
        <v>1075</v>
      </c>
      <c r="T764" s="10">
        <v>0.652083333333333</v>
      </c>
      <c r="U764" s="10">
        <v>0.686111111111111</v>
      </c>
      <c r="V764">
        <v>49</v>
      </c>
      <c r="W764" t="b">
        <v>1</v>
      </c>
      <c r="X764" t="s">
        <v>28</v>
      </c>
    </row>
    <row r="765" spans="1:24">
      <c r="A765">
        <v>764</v>
      </c>
      <c r="B765" t="s">
        <v>1076</v>
      </c>
      <c r="C765" t="s">
        <v>25</v>
      </c>
      <c r="D765" s="9">
        <v>40108</v>
      </c>
      <c r="E765" s="9" t="str">
        <f t="shared" si="88"/>
        <v>below 20</v>
      </c>
      <c r="F765">
        <v>14</v>
      </c>
      <c r="G765" t="s">
        <v>17</v>
      </c>
      <c r="H765">
        <v>5</v>
      </c>
      <c r="I765" t="s">
        <v>417</v>
      </c>
      <c r="K765">
        <f t="shared" si="95"/>
        <v>1</v>
      </c>
      <c r="L765">
        <f t="shared" si="89"/>
        <v>1</v>
      </c>
      <c r="M765">
        <f t="shared" si="90"/>
        <v>0</v>
      </c>
      <c r="N765">
        <f t="shared" si="91"/>
        <v>1</v>
      </c>
      <c r="O765">
        <f t="shared" si="92"/>
        <v>1</v>
      </c>
      <c r="P765">
        <f t="shared" si="93"/>
        <v>1</v>
      </c>
      <c r="Q765">
        <f t="shared" si="94"/>
        <v>0</v>
      </c>
      <c r="R765" t="b">
        <v>1</v>
      </c>
      <c r="S765" t="s">
        <v>1077</v>
      </c>
      <c r="T765" s="10">
        <v>0.340277777777778</v>
      </c>
      <c r="U765" s="10">
        <v>0.399305555555556</v>
      </c>
      <c r="V765">
        <v>85</v>
      </c>
      <c r="W765" t="b">
        <v>0</v>
      </c>
    </row>
    <row r="766" spans="1:24">
      <c r="A766">
        <v>765</v>
      </c>
      <c r="B766" t="s">
        <v>1078</v>
      </c>
      <c r="C766" t="s">
        <v>25</v>
      </c>
      <c r="D766" s="9">
        <v>35743</v>
      </c>
      <c r="E766" s="9" t="str">
        <f t="shared" si="88"/>
        <v>20-30</v>
      </c>
      <c r="F766">
        <v>26</v>
      </c>
      <c r="G766" t="s">
        <v>21</v>
      </c>
      <c r="H766">
        <v>1</v>
      </c>
      <c r="I766" t="s">
        <v>185</v>
      </c>
      <c r="K766">
        <f t="shared" si="95"/>
        <v>0</v>
      </c>
      <c r="L766">
        <f t="shared" si="89"/>
        <v>0</v>
      </c>
      <c r="M766">
        <f t="shared" si="90"/>
        <v>0</v>
      </c>
      <c r="N766">
        <f t="shared" si="91"/>
        <v>1</v>
      </c>
      <c r="O766">
        <f t="shared" si="92"/>
        <v>0</v>
      </c>
      <c r="P766">
        <f t="shared" si="93"/>
        <v>0</v>
      </c>
      <c r="Q766">
        <f t="shared" si="94"/>
        <v>0</v>
      </c>
      <c r="R766" t="b">
        <v>0</v>
      </c>
      <c r="T766" s="10">
        <v>0.597916666666667</v>
      </c>
      <c r="U766" s="10">
        <v>0.629166666666667</v>
      </c>
      <c r="V766">
        <v>45</v>
      </c>
      <c r="W766" t="b">
        <v>0</v>
      </c>
    </row>
    <row r="767" spans="1:24">
      <c r="A767">
        <v>766</v>
      </c>
      <c r="B767" t="s">
        <v>1079</v>
      </c>
      <c r="C767" t="s">
        <v>16</v>
      </c>
      <c r="D767" s="9">
        <v>28566</v>
      </c>
      <c r="E767" s="9" t="str">
        <f t="shared" si="88"/>
        <v>41-50</v>
      </c>
      <c r="F767">
        <v>46</v>
      </c>
      <c r="G767" t="s">
        <v>17</v>
      </c>
      <c r="H767">
        <v>1</v>
      </c>
      <c r="I767" t="s">
        <v>46</v>
      </c>
      <c r="K767">
        <f t="shared" si="95"/>
        <v>0</v>
      </c>
      <c r="L767">
        <f t="shared" si="89"/>
        <v>1</v>
      </c>
      <c r="M767">
        <f t="shared" si="90"/>
        <v>0</v>
      </c>
      <c r="N767">
        <f t="shared" si="91"/>
        <v>0</v>
      </c>
      <c r="O767">
        <f t="shared" si="92"/>
        <v>0</v>
      </c>
      <c r="P767">
        <f t="shared" si="93"/>
        <v>0</v>
      </c>
      <c r="Q767">
        <f t="shared" si="94"/>
        <v>0</v>
      </c>
      <c r="R767" t="b">
        <v>1</v>
      </c>
      <c r="S767" t="s">
        <v>1080</v>
      </c>
      <c r="T767" s="10">
        <v>0.613888888888889</v>
      </c>
      <c r="U767" s="10">
        <v>0.708333333333333</v>
      </c>
      <c r="V767">
        <v>136</v>
      </c>
      <c r="W767" t="b">
        <v>1</v>
      </c>
      <c r="X767" t="s">
        <v>23</v>
      </c>
    </row>
    <row r="768" spans="1:24">
      <c r="A768">
        <v>767</v>
      </c>
      <c r="B768" t="s">
        <v>1081</v>
      </c>
      <c r="C768" t="s">
        <v>25</v>
      </c>
      <c r="D768" s="9">
        <v>32702</v>
      </c>
      <c r="E768" s="9" t="str">
        <f t="shared" si="88"/>
        <v>31-41</v>
      </c>
      <c r="F768">
        <v>35</v>
      </c>
      <c r="G768" t="s">
        <v>17</v>
      </c>
      <c r="H768">
        <v>5</v>
      </c>
      <c r="I768" t="s">
        <v>458</v>
      </c>
      <c r="K768">
        <f t="shared" si="95"/>
        <v>1</v>
      </c>
      <c r="L768">
        <f t="shared" si="89"/>
        <v>1</v>
      </c>
      <c r="M768">
        <f t="shared" si="90"/>
        <v>1</v>
      </c>
      <c r="N768">
        <f t="shared" si="91"/>
        <v>1</v>
      </c>
      <c r="O768">
        <f t="shared" si="92"/>
        <v>0</v>
      </c>
      <c r="P768">
        <f t="shared" si="93"/>
        <v>0</v>
      </c>
      <c r="Q768">
        <f t="shared" si="94"/>
        <v>1</v>
      </c>
      <c r="R768" t="b">
        <v>0</v>
      </c>
      <c r="T768" s="10">
        <v>0.546527777777778</v>
      </c>
      <c r="U768" s="10">
        <v>0.64375</v>
      </c>
      <c r="V768">
        <v>140</v>
      </c>
      <c r="W768" t="b">
        <v>1</v>
      </c>
      <c r="X768" t="s">
        <v>23</v>
      </c>
    </row>
    <row r="769" spans="1:24">
      <c r="A769">
        <v>768</v>
      </c>
      <c r="B769" t="s">
        <v>1082</v>
      </c>
      <c r="C769" t="s">
        <v>25</v>
      </c>
      <c r="D769" s="9">
        <v>38689</v>
      </c>
      <c r="E769" s="9" t="str">
        <f t="shared" si="88"/>
        <v>below 20</v>
      </c>
      <c r="F769">
        <v>18</v>
      </c>
      <c r="G769" t="s">
        <v>21</v>
      </c>
      <c r="H769">
        <v>2</v>
      </c>
      <c r="I769" t="s">
        <v>189</v>
      </c>
      <c r="K769">
        <f t="shared" si="95"/>
        <v>0</v>
      </c>
      <c r="L769">
        <f t="shared" si="89"/>
        <v>1</v>
      </c>
      <c r="M769">
        <f t="shared" si="90"/>
        <v>1</v>
      </c>
      <c r="N769">
        <f t="shared" si="91"/>
        <v>0</v>
      </c>
      <c r="O769">
        <f t="shared" si="92"/>
        <v>0</v>
      </c>
      <c r="P769">
        <f t="shared" si="93"/>
        <v>0</v>
      </c>
      <c r="Q769">
        <f t="shared" si="94"/>
        <v>0</v>
      </c>
      <c r="R769" t="b">
        <v>0</v>
      </c>
      <c r="T769" s="10">
        <v>0.594444444444444</v>
      </c>
      <c r="U769" s="10">
        <v>0.621527777777778</v>
      </c>
      <c r="V769">
        <v>39</v>
      </c>
      <c r="W769" t="b">
        <v>1</v>
      </c>
      <c r="X769" t="s">
        <v>47</v>
      </c>
    </row>
    <row r="770" spans="1:24">
      <c r="A770">
        <v>769</v>
      </c>
      <c r="B770" t="s">
        <v>1083</v>
      </c>
      <c r="C770" t="s">
        <v>16</v>
      </c>
      <c r="D770" s="9">
        <v>34911</v>
      </c>
      <c r="E770" s="9" t="str">
        <f t="shared" ref="E770:E833" si="96">IF(F770&lt;20,"below 20",IF(F770&lt;=30,"20-30",IF(F770&lt;=40,"31-41",IF(F770&lt;=50,"41-50","above 50"))))</f>
        <v>20-30</v>
      </c>
      <c r="F770">
        <v>29</v>
      </c>
      <c r="G770" t="s">
        <v>21</v>
      </c>
      <c r="H770">
        <v>4</v>
      </c>
      <c r="I770" t="s">
        <v>1084</v>
      </c>
      <c r="K770">
        <f t="shared" si="95"/>
        <v>0</v>
      </c>
      <c r="L770">
        <f t="shared" si="89"/>
        <v>1</v>
      </c>
      <c r="M770">
        <f t="shared" si="90"/>
        <v>1</v>
      </c>
      <c r="N770">
        <f t="shared" si="91"/>
        <v>0</v>
      </c>
      <c r="O770">
        <f t="shared" si="92"/>
        <v>1</v>
      </c>
      <c r="P770">
        <f t="shared" si="93"/>
        <v>0</v>
      </c>
      <c r="Q770">
        <f t="shared" si="94"/>
        <v>1</v>
      </c>
      <c r="R770" t="b">
        <v>1</v>
      </c>
      <c r="S770" t="s">
        <v>230</v>
      </c>
      <c r="T770" s="10">
        <v>0.559027777777778</v>
      </c>
      <c r="U770" s="10">
        <v>0.634722222222222</v>
      </c>
      <c r="V770">
        <v>109</v>
      </c>
      <c r="W770" t="b">
        <v>0</v>
      </c>
    </row>
    <row r="771" spans="1:24">
      <c r="A771">
        <v>770</v>
      </c>
      <c r="B771" t="s">
        <v>1085</v>
      </c>
      <c r="C771" t="s">
        <v>25</v>
      </c>
      <c r="D771" s="9">
        <v>35674</v>
      </c>
      <c r="E771" s="9" t="str">
        <f t="shared" si="96"/>
        <v>20-30</v>
      </c>
      <c r="F771">
        <v>27</v>
      </c>
      <c r="G771" t="s">
        <v>17</v>
      </c>
      <c r="H771">
        <v>2</v>
      </c>
      <c r="I771" t="s">
        <v>111</v>
      </c>
      <c r="K771">
        <f t="shared" si="95"/>
        <v>0</v>
      </c>
      <c r="L771">
        <f t="shared" ref="L771:L834" si="97">--ISNUMBER(SEARCH("Mon",I771))</f>
        <v>1</v>
      </c>
      <c r="M771">
        <f t="shared" ref="M771:M834" si="98">--ISNUMBER(SEARCH("Tue",I771))</f>
        <v>0</v>
      </c>
      <c r="N771">
        <f t="shared" ref="N771:N834" si="99">--ISNUMBER(SEARCH("Wed",I771))</f>
        <v>0</v>
      </c>
      <c r="O771">
        <f t="shared" ref="O771:O834" si="100">--ISNUMBER(SEARCH("Thu",I771))</f>
        <v>0</v>
      </c>
      <c r="P771">
        <f t="shared" ref="P771:P834" si="101">--ISNUMBER(SEARCH("Fri",I771))</f>
        <v>0</v>
      </c>
      <c r="Q771">
        <f t="shared" ref="Q771:Q834" si="102">--ISNUMBER(SEARCH("Sat",I771))</f>
        <v>1</v>
      </c>
      <c r="R771" t="b">
        <v>0</v>
      </c>
      <c r="T771" s="10">
        <v>0.723611111111111</v>
      </c>
      <c r="U771" s="10">
        <v>0.765277777777778</v>
      </c>
      <c r="V771">
        <v>60</v>
      </c>
      <c r="W771" t="b">
        <v>1</v>
      </c>
      <c r="X771" t="s">
        <v>23</v>
      </c>
    </row>
    <row r="772" spans="1:24">
      <c r="A772">
        <v>771</v>
      </c>
      <c r="B772" t="s">
        <v>1086</v>
      </c>
      <c r="C772" t="s">
        <v>16</v>
      </c>
      <c r="D772" s="9">
        <v>32321</v>
      </c>
      <c r="E772" s="9" t="str">
        <f t="shared" si="96"/>
        <v>31-41</v>
      </c>
      <c r="F772">
        <v>36</v>
      </c>
      <c r="G772" t="s">
        <v>17</v>
      </c>
      <c r="H772">
        <v>1</v>
      </c>
      <c r="I772" t="s">
        <v>26</v>
      </c>
      <c r="K772">
        <f t="shared" si="95"/>
        <v>1</v>
      </c>
      <c r="L772">
        <f t="shared" si="97"/>
        <v>0</v>
      </c>
      <c r="M772">
        <f t="shared" si="98"/>
        <v>0</v>
      </c>
      <c r="N772">
        <f t="shared" si="99"/>
        <v>0</v>
      </c>
      <c r="O772">
        <f t="shared" si="100"/>
        <v>0</v>
      </c>
      <c r="P772">
        <f t="shared" si="101"/>
        <v>0</v>
      </c>
      <c r="Q772">
        <f t="shared" si="102"/>
        <v>0</v>
      </c>
      <c r="R772" t="b">
        <v>0</v>
      </c>
      <c r="T772" s="10">
        <v>0.833333333333333</v>
      </c>
      <c r="U772" s="10">
        <v>0.896527777777778</v>
      </c>
      <c r="V772">
        <v>91</v>
      </c>
      <c r="W772" t="b">
        <v>1</v>
      </c>
      <c r="X772" t="s">
        <v>28</v>
      </c>
    </row>
    <row r="773" spans="1:24">
      <c r="A773">
        <v>772</v>
      </c>
      <c r="B773" t="s">
        <v>1087</v>
      </c>
      <c r="C773" t="s">
        <v>16</v>
      </c>
      <c r="D773" s="9">
        <v>34729</v>
      </c>
      <c r="E773" s="9" t="str">
        <f t="shared" si="96"/>
        <v>20-30</v>
      </c>
      <c r="F773">
        <v>29</v>
      </c>
      <c r="G773" t="s">
        <v>21</v>
      </c>
      <c r="H773">
        <v>2</v>
      </c>
      <c r="I773" t="s">
        <v>187</v>
      </c>
      <c r="K773">
        <f t="shared" ref="K773:K836" si="103">--ISNUMBER(SEARCH("Sun",I773))</f>
        <v>0</v>
      </c>
      <c r="L773">
        <f t="shared" si="97"/>
        <v>0</v>
      </c>
      <c r="M773">
        <f t="shared" si="98"/>
        <v>0</v>
      </c>
      <c r="N773">
        <f t="shared" si="99"/>
        <v>1</v>
      </c>
      <c r="O773">
        <f t="shared" si="100"/>
        <v>1</v>
      </c>
      <c r="P773">
        <f t="shared" si="101"/>
        <v>0</v>
      </c>
      <c r="Q773">
        <f t="shared" si="102"/>
        <v>0</v>
      </c>
      <c r="R773" t="b">
        <v>0</v>
      </c>
      <c r="T773" s="10">
        <v>0.869444444444444</v>
      </c>
      <c r="U773" s="10">
        <v>0.938888888888889</v>
      </c>
      <c r="V773">
        <v>100</v>
      </c>
      <c r="W773" t="b">
        <v>1</v>
      </c>
      <c r="X773" t="s">
        <v>23</v>
      </c>
    </row>
    <row r="774" spans="1:24">
      <c r="A774">
        <v>773</v>
      </c>
      <c r="B774" t="s">
        <v>1088</v>
      </c>
      <c r="C774" t="s">
        <v>25</v>
      </c>
      <c r="D774" s="9">
        <v>32320</v>
      </c>
      <c r="E774" s="9" t="str">
        <f t="shared" si="96"/>
        <v>31-41</v>
      </c>
      <c r="F774">
        <v>36</v>
      </c>
      <c r="G774" t="s">
        <v>21</v>
      </c>
      <c r="H774">
        <v>3</v>
      </c>
      <c r="I774" t="s">
        <v>98</v>
      </c>
      <c r="K774">
        <f t="shared" si="103"/>
        <v>0</v>
      </c>
      <c r="L774">
        <f t="shared" si="97"/>
        <v>1</v>
      </c>
      <c r="M774">
        <f t="shared" si="98"/>
        <v>0</v>
      </c>
      <c r="N774">
        <f t="shared" si="99"/>
        <v>0</v>
      </c>
      <c r="O774">
        <f t="shared" si="100"/>
        <v>1</v>
      </c>
      <c r="P774">
        <f t="shared" si="101"/>
        <v>1</v>
      </c>
      <c r="Q774">
        <f t="shared" si="102"/>
        <v>0</v>
      </c>
      <c r="R774" t="b">
        <v>1</v>
      </c>
      <c r="S774" t="s">
        <v>1089</v>
      </c>
      <c r="T774" s="10">
        <v>0.767361111111111</v>
      </c>
      <c r="U774" s="10">
        <v>0.852083333333333</v>
      </c>
      <c r="V774">
        <v>122</v>
      </c>
      <c r="W774" t="b">
        <v>1</v>
      </c>
      <c r="X774" t="s">
        <v>23</v>
      </c>
    </row>
    <row r="775" spans="1:24">
      <c r="A775">
        <v>774</v>
      </c>
      <c r="B775" t="s">
        <v>1090</v>
      </c>
      <c r="C775" t="s">
        <v>25</v>
      </c>
      <c r="D775" s="9">
        <v>32251</v>
      </c>
      <c r="E775" s="9" t="str">
        <f t="shared" si="96"/>
        <v>31-41</v>
      </c>
      <c r="F775">
        <v>36</v>
      </c>
      <c r="G775" t="s">
        <v>17</v>
      </c>
      <c r="H775">
        <v>4</v>
      </c>
      <c r="I775" t="s">
        <v>704</v>
      </c>
      <c r="K775">
        <f t="shared" si="103"/>
        <v>0</v>
      </c>
      <c r="L775">
        <f t="shared" si="97"/>
        <v>0</v>
      </c>
      <c r="M775">
        <f t="shared" si="98"/>
        <v>1</v>
      </c>
      <c r="N775">
        <f t="shared" si="99"/>
        <v>1</v>
      </c>
      <c r="O775">
        <f t="shared" si="100"/>
        <v>0</v>
      </c>
      <c r="P775">
        <f t="shared" si="101"/>
        <v>1</v>
      </c>
      <c r="Q775">
        <f t="shared" si="102"/>
        <v>1</v>
      </c>
      <c r="R775" t="b">
        <v>0</v>
      </c>
      <c r="T775" s="10">
        <v>0.522222222222222</v>
      </c>
      <c r="U775" s="10">
        <v>0.54375</v>
      </c>
      <c r="V775">
        <v>31</v>
      </c>
      <c r="W775" t="b">
        <v>0</v>
      </c>
    </row>
    <row r="776" spans="1:24">
      <c r="A776">
        <v>775</v>
      </c>
      <c r="B776" t="s">
        <v>1091</v>
      </c>
      <c r="C776" t="s">
        <v>16</v>
      </c>
      <c r="D776" s="9">
        <v>40977</v>
      </c>
      <c r="E776" s="9" t="str">
        <f t="shared" si="96"/>
        <v>below 20</v>
      </c>
      <c r="F776">
        <v>12</v>
      </c>
      <c r="G776" t="s">
        <v>17</v>
      </c>
      <c r="H776">
        <v>5</v>
      </c>
      <c r="I776" t="s">
        <v>567</v>
      </c>
      <c r="K776">
        <f t="shared" si="103"/>
        <v>1</v>
      </c>
      <c r="L776">
        <f t="shared" si="97"/>
        <v>0</v>
      </c>
      <c r="M776">
        <f t="shared" si="98"/>
        <v>0</v>
      </c>
      <c r="N776">
        <f t="shared" si="99"/>
        <v>1</v>
      </c>
      <c r="O776">
        <f t="shared" si="100"/>
        <v>1</v>
      </c>
      <c r="P776">
        <f t="shared" si="101"/>
        <v>1</v>
      </c>
      <c r="Q776">
        <f t="shared" si="102"/>
        <v>1</v>
      </c>
      <c r="R776" t="b">
        <v>1</v>
      </c>
      <c r="S776" t="s">
        <v>114</v>
      </c>
      <c r="T776" s="10">
        <v>0.399305555555556</v>
      </c>
      <c r="U776" s="10">
        <v>0.45</v>
      </c>
      <c r="V776">
        <v>73</v>
      </c>
      <c r="W776" t="b">
        <v>0</v>
      </c>
    </row>
    <row r="777" spans="1:24">
      <c r="A777">
        <v>776</v>
      </c>
      <c r="B777" t="s">
        <v>1092</v>
      </c>
      <c r="C777" t="s">
        <v>25</v>
      </c>
      <c r="D777" s="9">
        <v>33074</v>
      </c>
      <c r="E777" s="9" t="str">
        <f t="shared" si="96"/>
        <v>31-41</v>
      </c>
      <c r="F777">
        <v>34</v>
      </c>
      <c r="G777" t="s">
        <v>17</v>
      </c>
      <c r="H777">
        <v>2</v>
      </c>
      <c r="I777" t="s">
        <v>69</v>
      </c>
      <c r="K777">
        <f t="shared" si="103"/>
        <v>0</v>
      </c>
      <c r="L777">
        <f t="shared" si="97"/>
        <v>0</v>
      </c>
      <c r="M777">
        <f t="shared" si="98"/>
        <v>0</v>
      </c>
      <c r="N777">
        <f t="shared" si="99"/>
        <v>1</v>
      </c>
      <c r="O777">
        <f t="shared" si="100"/>
        <v>0</v>
      </c>
      <c r="P777">
        <f t="shared" si="101"/>
        <v>0</v>
      </c>
      <c r="Q777">
        <f t="shared" si="102"/>
        <v>1</v>
      </c>
      <c r="R777" t="b">
        <v>0</v>
      </c>
      <c r="T777" s="10">
        <v>0.780555555555556</v>
      </c>
      <c r="U777" s="10">
        <v>0.813888888888889</v>
      </c>
      <c r="V777">
        <v>48</v>
      </c>
      <c r="W777" t="b">
        <v>0</v>
      </c>
    </row>
    <row r="778" spans="1:24">
      <c r="A778">
        <v>777</v>
      </c>
      <c r="B778" t="s">
        <v>1093</v>
      </c>
      <c r="C778" t="s">
        <v>16</v>
      </c>
      <c r="D778" s="9">
        <v>29329</v>
      </c>
      <c r="E778" s="9" t="str">
        <f t="shared" si="96"/>
        <v>41-50</v>
      </c>
      <c r="F778">
        <v>44</v>
      </c>
      <c r="G778" t="s">
        <v>17</v>
      </c>
      <c r="H778">
        <v>2</v>
      </c>
      <c r="I778" t="s">
        <v>210</v>
      </c>
      <c r="K778">
        <f t="shared" si="103"/>
        <v>0</v>
      </c>
      <c r="L778">
        <f t="shared" si="97"/>
        <v>1</v>
      </c>
      <c r="M778">
        <f t="shared" si="98"/>
        <v>0</v>
      </c>
      <c r="N778">
        <f t="shared" si="99"/>
        <v>0</v>
      </c>
      <c r="O778">
        <f t="shared" si="100"/>
        <v>0</v>
      </c>
      <c r="P778">
        <f t="shared" si="101"/>
        <v>1</v>
      </c>
      <c r="Q778">
        <f t="shared" si="102"/>
        <v>0</v>
      </c>
      <c r="R778" t="b">
        <v>0</v>
      </c>
      <c r="T778" s="10">
        <v>0.623611111111111</v>
      </c>
      <c r="U778" s="10">
        <v>0.676388888888889</v>
      </c>
      <c r="V778">
        <v>76</v>
      </c>
      <c r="W778" t="b">
        <v>1</v>
      </c>
      <c r="X778" t="s">
        <v>50</v>
      </c>
    </row>
    <row r="779" spans="1:24">
      <c r="A779">
        <v>778</v>
      </c>
      <c r="B779" t="s">
        <v>1094</v>
      </c>
      <c r="C779" t="s">
        <v>25</v>
      </c>
      <c r="D779" s="9">
        <v>28637</v>
      </c>
      <c r="E779" s="9" t="str">
        <f t="shared" si="96"/>
        <v>41-50</v>
      </c>
      <c r="F779">
        <v>46</v>
      </c>
      <c r="G779" t="s">
        <v>17</v>
      </c>
      <c r="H779">
        <v>3</v>
      </c>
      <c r="I779" t="s">
        <v>164</v>
      </c>
      <c r="K779">
        <f t="shared" si="103"/>
        <v>0</v>
      </c>
      <c r="L779">
        <f t="shared" si="97"/>
        <v>0</v>
      </c>
      <c r="M779">
        <f t="shared" si="98"/>
        <v>1</v>
      </c>
      <c r="N779">
        <f t="shared" si="99"/>
        <v>0</v>
      </c>
      <c r="O779">
        <f t="shared" si="100"/>
        <v>1</v>
      </c>
      <c r="P779">
        <f t="shared" si="101"/>
        <v>1</v>
      </c>
      <c r="Q779">
        <f t="shared" si="102"/>
        <v>0</v>
      </c>
      <c r="R779" t="b">
        <v>1</v>
      </c>
      <c r="S779" t="s">
        <v>717</v>
      </c>
      <c r="T779" s="10">
        <v>0.845138888888889</v>
      </c>
      <c r="U779" s="10">
        <v>0.885416666666667</v>
      </c>
      <c r="V779">
        <v>58</v>
      </c>
      <c r="W779" t="b">
        <v>0</v>
      </c>
    </row>
    <row r="780" spans="1:24">
      <c r="A780">
        <v>779</v>
      </c>
      <c r="B780" t="s">
        <v>1095</v>
      </c>
      <c r="C780" t="s">
        <v>16</v>
      </c>
      <c r="D780" s="9">
        <v>32034</v>
      </c>
      <c r="E780" s="9" t="str">
        <f t="shared" si="96"/>
        <v>31-41</v>
      </c>
      <c r="F780">
        <v>37</v>
      </c>
      <c r="G780" t="s">
        <v>21</v>
      </c>
      <c r="H780">
        <v>1</v>
      </c>
      <c r="I780" t="s">
        <v>59</v>
      </c>
      <c r="K780">
        <f t="shared" si="103"/>
        <v>0</v>
      </c>
      <c r="L780">
        <f t="shared" si="97"/>
        <v>0</v>
      </c>
      <c r="M780">
        <f t="shared" si="98"/>
        <v>0</v>
      </c>
      <c r="N780">
        <f t="shared" si="99"/>
        <v>0</v>
      </c>
      <c r="O780">
        <f t="shared" si="100"/>
        <v>0</v>
      </c>
      <c r="P780">
        <f t="shared" si="101"/>
        <v>0</v>
      </c>
      <c r="Q780">
        <f t="shared" si="102"/>
        <v>1</v>
      </c>
      <c r="R780" t="b">
        <v>1</v>
      </c>
      <c r="S780" t="s">
        <v>1043</v>
      </c>
      <c r="T780" s="10">
        <v>0.359027777777778</v>
      </c>
      <c r="U780" s="10">
        <v>0.434722222222222</v>
      </c>
      <c r="V780">
        <v>109</v>
      </c>
      <c r="W780" t="b">
        <v>1</v>
      </c>
      <c r="X780" t="s">
        <v>28</v>
      </c>
    </row>
    <row r="781" spans="1:24">
      <c r="A781">
        <v>780</v>
      </c>
      <c r="B781" t="s">
        <v>1096</v>
      </c>
      <c r="C781" t="s">
        <v>16</v>
      </c>
      <c r="D781" s="9">
        <v>36546</v>
      </c>
      <c r="E781" s="9" t="str">
        <f t="shared" si="96"/>
        <v>20-30</v>
      </c>
      <c r="F781">
        <v>24</v>
      </c>
      <c r="G781" t="s">
        <v>17</v>
      </c>
      <c r="H781">
        <v>3</v>
      </c>
      <c r="I781" t="s">
        <v>85</v>
      </c>
      <c r="K781">
        <f t="shared" si="103"/>
        <v>0</v>
      </c>
      <c r="L781">
        <f t="shared" si="97"/>
        <v>1</v>
      </c>
      <c r="M781">
        <f t="shared" si="98"/>
        <v>1</v>
      </c>
      <c r="N781">
        <f t="shared" si="99"/>
        <v>0</v>
      </c>
      <c r="O781">
        <f t="shared" si="100"/>
        <v>1</v>
      </c>
      <c r="P781">
        <f t="shared" si="101"/>
        <v>0</v>
      </c>
      <c r="Q781">
        <f t="shared" si="102"/>
        <v>0</v>
      </c>
      <c r="R781" t="b">
        <v>0</v>
      </c>
      <c r="T781" s="10">
        <v>0.555555555555556</v>
      </c>
      <c r="U781" s="10">
        <v>0.656944444444444</v>
      </c>
      <c r="V781">
        <v>146</v>
      </c>
      <c r="W781" t="b">
        <v>0</v>
      </c>
    </row>
    <row r="782" spans="1:24">
      <c r="A782">
        <v>781</v>
      </c>
      <c r="B782" t="s">
        <v>1097</v>
      </c>
      <c r="C782" t="s">
        <v>25</v>
      </c>
      <c r="D782" s="9">
        <v>28549</v>
      </c>
      <c r="E782" s="9" t="str">
        <f t="shared" si="96"/>
        <v>41-50</v>
      </c>
      <c r="F782">
        <v>46</v>
      </c>
      <c r="G782" t="s">
        <v>17</v>
      </c>
      <c r="H782">
        <v>4</v>
      </c>
      <c r="I782" t="s">
        <v>672</v>
      </c>
      <c r="K782">
        <f t="shared" si="103"/>
        <v>0</v>
      </c>
      <c r="L782">
        <f t="shared" si="97"/>
        <v>0</v>
      </c>
      <c r="M782">
        <f t="shared" si="98"/>
        <v>1</v>
      </c>
      <c r="N782">
        <f t="shared" si="99"/>
        <v>1</v>
      </c>
      <c r="O782">
        <f t="shared" si="100"/>
        <v>1</v>
      </c>
      <c r="P782">
        <f t="shared" si="101"/>
        <v>1</v>
      </c>
      <c r="Q782">
        <f t="shared" si="102"/>
        <v>0</v>
      </c>
      <c r="R782" t="b">
        <v>1</v>
      </c>
      <c r="S782" t="s">
        <v>832</v>
      </c>
      <c r="T782" s="10">
        <v>0.688888888888889</v>
      </c>
      <c r="U782" s="10">
        <v>0.76875</v>
      </c>
      <c r="V782">
        <v>115</v>
      </c>
      <c r="W782" t="b">
        <v>1</v>
      </c>
      <c r="X782" t="s">
        <v>50</v>
      </c>
    </row>
    <row r="783" spans="1:24">
      <c r="A783">
        <v>782</v>
      </c>
      <c r="B783" t="s">
        <v>1098</v>
      </c>
      <c r="C783" t="s">
        <v>16</v>
      </c>
      <c r="D783" s="9">
        <v>37998</v>
      </c>
      <c r="E783" s="9" t="str">
        <f t="shared" si="96"/>
        <v>20-30</v>
      </c>
      <c r="F783">
        <v>20</v>
      </c>
      <c r="G783" t="s">
        <v>17</v>
      </c>
      <c r="H783">
        <v>2</v>
      </c>
      <c r="I783" t="s">
        <v>121</v>
      </c>
      <c r="K783">
        <f t="shared" si="103"/>
        <v>0</v>
      </c>
      <c r="L783">
        <f t="shared" si="97"/>
        <v>0</v>
      </c>
      <c r="M783">
        <f t="shared" si="98"/>
        <v>0</v>
      </c>
      <c r="N783">
        <f t="shared" si="99"/>
        <v>1</v>
      </c>
      <c r="O783">
        <f t="shared" si="100"/>
        <v>0</v>
      </c>
      <c r="P783">
        <f t="shared" si="101"/>
        <v>1</v>
      </c>
      <c r="Q783">
        <f t="shared" si="102"/>
        <v>0</v>
      </c>
      <c r="R783" t="b">
        <v>0</v>
      </c>
      <c r="T783" s="10">
        <v>0.585416666666667</v>
      </c>
      <c r="U783" s="10">
        <v>0.68125</v>
      </c>
      <c r="V783">
        <v>138</v>
      </c>
      <c r="W783" t="b">
        <v>1</v>
      </c>
      <c r="X783" t="s">
        <v>50</v>
      </c>
    </row>
    <row r="784" spans="1:24">
      <c r="A784">
        <v>783</v>
      </c>
      <c r="B784" t="s">
        <v>1099</v>
      </c>
      <c r="C784" t="s">
        <v>25</v>
      </c>
      <c r="D784" s="9">
        <v>33588</v>
      </c>
      <c r="E784" s="9" t="str">
        <f t="shared" si="96"/>
        <v>31-41</v>
      </c>
      <c r="F784">
        <v>32</v>
      </c>
      <c r="G784" t="s">
        <v>21</v>
      </c>
      <c r="H784">
        <v>3</v>
      </c>
      <c r="I784" t="s">
        <v>513</v>
      </c>
      <c r="K784">
        <f t="shared" si="103"/>
        <v>1</v>
      </c>
      <c r="L784">
        <f t="shared" si="97"/>
        <v>0</v>
      </c>
      <c r="M784">
        <f t="shared" si="98"/>
        <v>1</v>
      </c>
      <c r="N784">
        <f t="shared" si="99"/>
        <v>0</v>
      </c>
      <c r="O784">
        <f t="shared" si="100"/>
        <v>0</v>
      </c>
      <c r="P784">
        <f t="shared" si="101"/>
        <v>0</v>
      </c>
      <c r="Q784">
        <f t="shared" si="102"/>
        <v>1</v>
      </c>
      <c r="R784" t="b">
        <v>1</v>
      </c>
      <c r="S784" t="s">
        <v>107</v>
      </c>
      <c r="T784" s="10">
        <v>0.511111111111111</v>
      </c>
      <c r="U784" s="10">
        <v>0.567361111111111</v>
      </c>
      <c r="V784">
        <v>81</v>
      </c>
      <c r="W784" t="b">
        <v>1</v>
      </c>
      <c r="X784" t="s">
        <v>28</v>
      </c>
    </row>
    <row r="785" spans="1:24">
      <c r="A785">
        <v>784</v>
      </c>
      <c r="B785" t="s">
        <v>1100</v>
      </c>
      <c r="C785" t="s">
        <v>16</v>
      </c>
      <c r="D785" s="9">
        <v>35756</v>
      </c>
      <c r="E785" s="9" t="str">
        <f t="shared" si="96"/>
        <v>20-30</v>
      </c>
      <c r="F785">
        <v>26</v>
      </c>
      <c r="G785" t="s">
        <v>21</v>
      </c>
      <c r="H785">
        <v>3</v>
      </c>
      <c r="I785" t="s">
        <v>504</v>
      </c>
      <c r="K785">
        <f t="shared" si="103"/>
        <v>0</v>
      </c>
      <c r="L785">
        <f t="shared" si="97"/>
        <v>0</v>
      </c>
      <c r="M785">
        <f t="shared" si="98"/>
        <v>1</v>
      </c>
      <c r="N785">
        <f t="shared" si="99"/>
        <v>1</v>
      </c>
      <c r="O785">
        <f t="shared" si="100"/>
        <v>0</v>
      </c>
      <c r="P785">
        <f t="shared" si="101"/>
        <v>0</v>
      </c>
      <c r="Q785">
        <f t="shared" si="102"/>
        <v>1</v>
      </c>
      <c r="R785" t="b">
        <v>0</v>
      </c>
      <c r="T785" s="10">
        <v>0.401388888888889</v>
      </c>
      <c r="U785" s="10">
        <v>0.5125</v>
      </c>
      <c r="V785">
        <v>160</v>
      </c>
      <c r="W785" t="b">
        <v>1</v>
      </c>
      <c r="X785" t="s">
        <v>50</v>
      </c>
    </row>
    <row r="786" spans="1:24">
      <c r="A786">
        <v>785</v>
      </c>
      <c r="B786" t="s">
        <v>1101</v>
      </c>
      <c r="C786" t="s">
        <v>16</v>
      </c>
      <c r="D786" s="9">
        <v>31336</v>
      </c>
      <c r="E786" s="9" t="str">
        <f t="shared" si="96"/>
        <v>31-41</v>
      </c>
      <c r="F786">
        <v>38</v>
      </c>
      <c r="G786" t="s">
        <v>21</v>
      </c>
      <c r="H786">
        <v>1</v>
      </c>
      <c r="I786" t="s">
        <v>59</v>
      </c>
      <c r="K786">
        <f t="shared" si="103"/>
        <v>0</v>
      </c>
      <c r="L786">
        <f t="shared" si="97"/>
        <v>0</v>
      </c>
      <c r="M786">
        <f t="shared" si="98"/>
        <v>0</v>
      </c>
      <c r="N786">
        <f t="shared" si="99"/>
        <v>0</v>
      </c>
      <c r="O786">
        <f t="shared" si="100"/>
        <v>0</v>
      </c>
      <c r="P786">
        <f t="shared" si="101"/>
        <v>0</v>
      </c>
      <c r="Q786">
        <f t="shared" si="102"/>
        <v>1</v>
      </c>
      <c r="R786" t="b">
        <v>1</v>
      </c>
      <c r="S786" t="s">
        <v>44</v>
      </c>
      <c r="T786" s="10">
        <v>0.770138888888889</v>
      </c>
      <c r="U786" s="10">
        <v>0.791666666666667</v>
      </c>
      <c r="V786">
        <v>31</v>
      </c>
      <c r="W786" t="b">
        <v>0</v>
      </c>
    </row>
    <row r="787" spans="1:24">
      <c r="A787">
        <v>786</v>
      </c>
      <c r="B787" t="s">
        <v>1102</v>
      </c>
      <c r="C787" t="s">
        <v>16</v>
      </c>
      <c r="D787" s="9">
        <v>29117</v>
      </c>
      <c r="E787" s="9" t="str">
        <f t="shared" si="96"/>
        <v>41-50</v>
      </c>
      <c r="F787">
        <v>45</v>
      </c>
      <c r="G787" t="s">
        <v>17</v>
      </c>
      <c r="H787">
        <v>4</v>
      </c>
      <c r="I787" t="s">
        <v>143</v>
      </c>
      <c r="K787">
        <f t="shared" si="103"/>
        <v>1</v>
      </c>
      <c r="L787">
        <f t="shared" si="97"/>
        <v>1</v>
      </c>
      <c r="M787">
        <f t="shared" si="98"/>
        <v>0</v>
      </c>
      <c r="N787">
        <f t="shared" si="99"/>
        <v>1</v>
      </c>
      <c r="O787">
        <f t="shared" si="100"/>
        <v>0</v>
      </c>
      <c r="P787">
        <f t="shared" si="101"/>
        <v>1</v>
      </c>
      <c r="Q787">
        <f t="shared" si="102"/>
        <v>0</v>
      </c>
      <c r="R787" t="b">
        <v>0</v>
      </c>
      <c r="T787" s="10">
        <v>0.813888888888889</v>
      </c>
      <c r="U787" s="10">
        <v>0.897222222222222</v>
      </c>
      <c r="V787">
        <v>120</v>
      </c>
      <c r="W787" t="b">
        <v>0</v>
      </c>
    </row>
    <row r="788" spans="1:24">
      <c r="A788">
        <v>787</v>
      </c>
      <c r="B788" t="s">
        <v>1103</v>
      </c>
      <c r="C788" t="s">
        <v>16</v>
      </c>
      <c r="D788" s="9">
        <v>37942</v>
      </c>
      <c r="E788" s="9" t="str">
        <f t="shared" si="96"/>
        <v>20-30</v>
      </c>
      <c r="F788">
        <v>20</v>
      </c>
      <c r="G788" t="s">
        <v>21</v>
      </c>
      <c r="H788">
        <v>1</v>
      </c>
      <c r="I788" t="s">
        <v>185</v>
      </c>
      <c r="K788">
        <f t="shared" si="103"/>
        <v>0</v>
      </c>
      <c r="L788">
        <f t="shared" si="97"/>
        <v>0</v>
      </c>
      <c r="M788">
        <f t="shared" si="98"/>
        <v>0</v>
      </c>
      <c r="N788">
        <f t="shared" si="99"/>
        <v>1</v>
      </c>
      <c r="O788">
        <f t="shared" si="100"/>
        <v>0</v>
      </c>
      <c r="P788">
        <f t="shared" si="101"/>
        <v>0</v>
      </c>
      <c r="Q788">
        <f t="shared" si="102"/>
        <v>0</v>
      </c>
      <c r="R788" t="b">
        <v>0</v>
      </c>
      <c r="T788" s="10">
        <v>0.482638888888889</v>
      </c>
      <c r="U788" s="10">
        <v>0.578472222222222</v>
      </c>
      <c r="V788">
        <v>138</v>
      </c>
      <c r="W788" t="b">
        <v>0</v>
      </c>
    </row>
    <row r="789" spans="1:24">
      <c r="A789">
        <v>788</v>
      </c>
      <c r="B789" t="s">
        <v>1104</v>
      </c>
      <c r="C789" t="s">
        <v>25</v>
      </c>
      <c r="D789" s="9">
        <v>27863</v>
      </c>
      <c r="E789" s="9" t="str">
        <f t="shared" si="96"/>
        <v>41-50</v>
      </c>
      <c r="F789">
        <v>48</v>
      </c>
      <c r="G789" t="s">
        <v>21</v>
      </c>
      <c r="H789">
        <v>3</v>
      </c>
      <c r="I789" t="s">
        <v>136</v>
      </c>
      <c r="K789">
        <f t="shared" si="103"/>
        <v>1</v>
      </c>
      <c r="L789">
        <f t="shared" si="97"/>
        <v>0</v>
      </c>
      <c r="M789">
        <f t="shared" si="98"/>
        <v>0</v>
      </c>
      <c r="N789">
        <f t="shared" si="99"/>
        <v>1</v>
      </c>
      <c r="O789">
        <f t="shared" si="100"/>
        <v>0</v>
      </c>
      <c r="P789">
        <f t="shared" si="101"/>
        <v>1</v>
      </c>
      <c r="Q789">
        <f t="shared" si="102"/>
        <v>0</v>
      </c>
      <c r="R789" t="b">
        <v>0</v>
      </c>
      <c r="T789" s="10">
        <v>0.822222222222222</v>
      </c>
      <c r="U789" s="10">
        <v>0.929166666666667</v>
      </c>
      <c r="V789">
        <v>154</v>
      </c>
      <c r="W789" t="b">
        <v>0</v>
      </c>
    </row>
    <row r="790" spans="1:24">
      <c r="A790">
        <v>789</v>
      </c>
      <c r="B790" t="s">
        <v>1105</v>
      </c>
      <c r="C790" t="s">
        <v>16</v>
      </c>
      <c r="D790" s="9">
        <v>30271</v>
      </c>
      <c r="E790" s="9" t="str">
        <f t="shared" si="96"/>
        <v>41-50</v>
      </c>
      <c r="F790">
        <v>41</v>
      </c>
      <c r="G790" t="s">
        <v>17</v>
      </c>
      <c r="H790">
        <v>4</v>
      </c>
      <c r="I790" t="s">
        <v>61</v>
      </c>
      <c r="K790">
        <f t="shared" si="103"/>
        <v>1</v>
      </c>
      <c r="L790">
        <f t="shared" si="97"/>
        <v>1</v>
      </c>
      <c r="M790">
        <f t="shared" si="98"/>
        <v>0</v>
      </c>
      <c r="N790">
        <f t="shared" si="99"/>
        <v>1</v>
      </c>
      <c r="O790">
        <f t="shared" si="100"/>
        <v>0</v>
      </c>
      <c r="P790">
        <f t="shared" si="101"/>
        <v>0</v>
      </c>
      <c r="Q790">
        <f t="shared" si="102"/>
        <v>1</v>
      </c>
      <c r="R790" t="b">
        <v>0</v>
      </c>
      <c r="T790" s="10">
        <v>0.713888888888889</v>
      </c>
      <c r="U790" s="10">
        <v>0.735416666666667</v>
      </c>
      <c r="V790">
        <v>31</v>
      </c>
      <c r="W790" t="b">
        <v>1</v>
      </c>
      <c r="X790" t="s">
        <v>47</v>
      </c>
    </row>
    <row r="791" spans="1:24">
      <c r="A791">
        <v>790</v>
      </c>
      <c r="B791" t="s">
        <v>1106</v>
      </c>
      <c r="C791" t="s">
        <v>25</v>
      </c>
      <c r="D791" s="9">
        <v>36521</v>
      </c>
      <c r="E791" s="9" t="str">
        <f t="shared" si="96"/>
        <v>20-30</v>
      </c>
      <c r="F791">
        <v>24</v>
      </c>
      <c r="G791" t="s">
        <v>21</v>
      </c>
      <c r="H791">
        <v>2</v>
      </c>
      <c r="I791" t="s">
        <v>461</v>
      </c>
      <c r="K791">
        <f t="shared" si="103"/>
        <v>0</v>
      </c>
      <c r="L791">
        <f t="shared" si="97"/>
        <v>0</v>
      </c>
      <c r="M791">
        <f t="shared" si="98"/>
        <v>0</v>
      </c>
      <c r="N791">
        <f t="shared" si="99"/>
        <v>0</v>
      </c>
      <c r="O791">
        <f t="shared" si="100"/>
        <v>1</v>
      </c>
      <c r="P791">
        <f t="shared" si="101"/>
        <v>1</v>
      </c>
      <c r="Q791">
        <f t="shared" si="102"/>
        <v>0</v>
      </c>
      <c r="R791" t="b">
        <v>0</v>
      </c>
      <c r="T791" s="10">
        <v>0.556944444444444</v>
      </c>
      <c r="U791" s="10">
        <v>0.597916666666667</v>
      </c>
      <c r="V791">
        <v>59</v>
      </c>
      <c r="W791" t="b">
        <v>1</v>
      </c>
      <c r="X791" t="s">
        <v>47</v>
      </c>
    </row>
    <row r="792" spans="1:24">
      <c r="A792">
        <v>791</v>
      </c>
      <c r="B792" t="s">
        <v>1107</v>
      </c>
      <c r="C792" t="s">
        <v>16</v>
      </c>
      <c r="D792" s="9">
        <v>28302</v>
      </c>
      <c r="E792" s="9" t="str">
        <f t="shared" si="96"/>
        <v>41-50</v>
      </c>
      <c r="F792">
        <v>47</v>
      </c>
      <c r="G792" t="s">
        <v>21</v>
      </c>
      <c r="H792">
        <v>3</v>
      </c>
      <c r="I792" t="s">
        <v>65</v>
      </c>
      <c r="K792">
        <f t="shared" si="103"/>
        <v>1</v>
      </c>
      <c r="L792">
        <f t="shared" si="97"/>
        <v>0</v>
      </c>
      <c r="M792">
        <f t="shared" si="98"/>
        <v>0</v>
      </c>
      <c r="N792">
        <f t="shared" si="99"/>
        <v>1</v>
      </c>
      <c r="O792">
        <f t="shared" si="100"/>
        <v>1</v>
      </c>
      <c r="P792">
        <f t="shared" si="101"/>
        <v>0</v>
      </c>
      <c r="Q792">
        <f t="shared" si="102"/>
        <v>0</v>
      </c>
      <c r="R792" t="b">
        <v>0</v>
      </c>
      <c r="T792" s="10">
        <v>0.700694444444444</v>
      </c>
      <c r="U792" s="10">
        <v>0.758333333333333</v>
      </c>
      <c r="V792">
        <v>83</v>
      </c>
      <c r="W792" t="b">
        <v>0</v>
      </c>
    </row>
    <row r="793" spans="1:24">
      <c r="A793">
        <v>792</v>
      </c>
      <c r="B793" t="s">
        <v>1108</v>
      </c>
      <c r="C793" t="s">
        <v>16</v>
      </c>
      <c r="D793" s="9">
        <v>30085</v>
      </c>
      <c r="E793" s="9" t="str">
        <f t="shared" si="96"/>
        <v>41-50</v>
      </c>
      <c r="F793">
        <v>42</v>
      </c>
      <c r="G793" t="s">
        <v>17</v>
      </c>
      <c r="H793">
        <v>3</v>
      </c>
      <c r="I793" t="s">
        <v>325</v>
      </c>
      <c r="K793">
        <f t="shared" si="103"/>
        <v>1</v>
      </c>
      <c r="L793">
        <f t="shared" si="97"/>
        <v>0</v>
      </c>
      <c r="M793">
        <f t="shared" si="98"/>
        <v>0</v>
      </c>
      <c r="N793">
        <f t="shared" si="99"/>
        <v>1</v>
      </c>
      <c r="O793">
        <f t="shared" si="100"/>
        <v>0</v>
      </c>
      <c r="P793">
        <f t="shared" si="101"/>
        <v>0</v>
      </c>
      <c r="Q793">
        <f t="shared" si="102"/>
        <v>1</v>
      </c>
      <c r="R793" t="b">
        <v>1</v>
      </c>
      <c r="S793" t="s">
        <v>1109</v>
      </c>
      <c r="T793" s="10">
        <v>0.488888888888889</v>
      </c>
      <c r="U793" s="10">
        <v>0.554166666666667</v>
      </c>
      <c r="V793">
        <v>94</v>
      </c>
      <c r="W793" t="b">
        <v>1</v>
      </c>
      <c r="X793" t="s">
        <v>23</v>
      </c>
    </row>
    <row r="794" spans="1:24">
      <c r="A794">
        <v>793</v>
      </c>
      <c r="B794" t="s">
        <v>1110</v>
      </c>
      <c r="C794" t="s">
        <v>25</v>
      </c>
      <c r="D794" s="9">
        <v>33162</v>
      </c>
      <c r="E794" s="9" t="str">
        <f t="shared" si="96"/>
        <v>31-41</v>
      </c>
      <c r="F794">
        <v>33</v>
      </c>
      <c r="G794" t="s">
        <v>21</v>
      </c>
      <c r="H794">
        <v>1</v>
      </c>
      <c r="I794" t="s">
        <v>35</v>
      </c>
      <c r="K794">
        <f t="shared" si="103"/>
        <v>0</v>
      </c>
      <c r="L794">
        <f t="shared" si="97"/>
        <v>0</v>
      </c>
      <c r="M794">
        <f t="shared" si="98"/>
        <v>1</v>
      </c>
      <c r="N794">
        <f t="shared" si="99"/>
        <v>0</v>
      </c>
      <c r="O794">
        <f t="shared" si="100"/>
        <v>0</v>
      </c>
      <c r="P794">
        <f t="shared" si="101"/>
        <v>0</v>
      </c>
      <c r="Q794">
        <f t="shared" si="102"/>
        <v>0</v>
      </c>
      <c r="R794" t="b">
        <v>1</v>
      </c>
      <c r="S794" t="s">
        <v>217</v>
      </c>
      <c r="T794" s="10">
        <v>0.670833333333333</v>
      </c>
      <c r="U794" s="10">
        <v>0.784027777777778</v>
      </c>
      <c r="V794">
        <v>163</v>
      </c>
      <c r="W794" t="b">
        <v>0</v>
      </c>
    </row>
    <row r="795" spans="1:24">
      <c r="A795">
        <v>794</v>
      </c>
      <c r="B795" t="s">
        <v>1111</v>
      </c>
      <c r="C795" t="s">
        <v>16</v>
      </c>
      <c r="D795" s="9">
        <v>36635</v>
      </c>
      <c r="E795" s="9" t="str">
        <f t="shared" si="96"/>
        <v>20-30</v>
      </c>
      <c r="F795">
        <v>24</v>
      </c>
      <c r="G795" t="s">
        <v>21</v>
      </c>
      <c r="H795">
        <v>4</v>
      </c>
      <c r="I795" t="s">
        <v>798</v>
      </c>
      <c r="K795">
        <f t="shared" si="103"/>
        <v>1</v>
      </c>
      <c r="L795">
        <f t="shared" si="97"/>
        <v>1</v>
      </c>
      <c r="M795">
        <f t="shared" si="98"/>
        <v>1</v>
      </c>
      <c r="N795">
        <f t="shared" si="99"/>
        <v>0</v>
      </c>
      <c r="O795">
        <f t="shared" si="100"/>
        <v>0</v>
      </c>
      <c r="P795">
        <f t="shared" si="101"/>
        <v>1</v>
      </c>
      <c r="Q795">
        <f t="shared" si="102"/>
        <v>0</v>
      </c>
      <c r="R795" t="b">
        <v>0</v>
      </c>
      <c r="T795" s="10">
        <v>0.720138888888889</v>
      </c>
      <c r="U795" s="10">
        <v>0.763888888888889</v>
      </c>
      <c r="V795">
        <v>63</v>
      </c>
      <c r="W795" t="b">
        <v>0</v>
      </c>
    </row>
    <row r="796" spans="1:24">
      <c r="A796">
        <v>795</v>
      </c>
      <c r="B796" t="s">
        <v>1112</v>
      </c>
      <c r="C796" t="s">
        <v>25</v>
      </c>
      <c r="D796" s="9">
        <v>34748</v>
      </c>
      <c r="E796" s="9" t="str">
        <f t="shared" si="96"/>
        <v>20-30</v>
      </c>
      <c r="F796">
        <v>29</v>
      </c>
      <c r="G796" t="s">
        <v>21</v>
      </c>
      <c r="H796">
        <v>1</v>
      </c>
      <c r="I796" t="s">
        <v>49</v>
      </c>
      <c r="K796">
        <f t="shared" si="103"/>
        <v>0</v>
      </c>
      <c r="L796">
        <f t="shared" si="97"/>
        <v>0</v>
      </c>
      <c r="M796">
        <f t="shared" si="98"/>
        <v>0</v>
      </c>
      <c r="N796">
        <f t="shared" si="99"/>
        <v>0</v>
      </c>
      <c r="O796">
        <f t="shared" si="100"/>
        <v>1</v>
      </c>
      <c r="P796">
        <f t="shared" si="101"/>
        <v>0</v>
      </c>
      <c r="Q796">
        <f t="shared" si="102"/>
        <v>0</v>
      </c>
      <c r="R796" t="b">
        <v>1</v>
      </c>
      <c r="S796" t="s">
        <v>114</v>
      </c>
      <c r="T796" s="10">
        <v>0.540972222222222</v>
      </c>
      <c r="U796" s="10">
        <v>0.621527777777778</v>
      </c>
      <c r="V796">
        <v>116</v>
      </c>
      <c r="W796" t="b">
        <v>1</v>
      </c>
      <c r="X796" t="s">
        <v>28</v>
      </c>
    </row>
    <row r="797" spans="1:24">
      <c r="A797">
        <v>796</v>
      </c>
      <c r="B797" t="s">
        <v>1113</v>
      </c>
      <c r="C797" t="s">
        <v>16</v>
      </c>
      <c r="D797" s="9">
        <v>34613</v>
      </c>
      <c r="E797" s="9" t="str">
        <f t="shared" si="96"/>
        <v>20-30</v>
      </c>
      <c r="F797">
        <v>29</v>
      </c>
      <c r="G797" t="s">
        <v>21</v>
      </c>
      <c r="H797">
        <v>4</v>
      </c>
      <c r="I797" t="s">
        <v>375</v>
      </c>
      <c r="K797">
        <f t="shared" si="103"/>
        <v>1</v>
      </c>
      <c r="L797">
        <f t="shared" si="97"/>
        <v>0</v>
      </c>
      <c r="M797">
        <f t="shared" si="98"/>
        <v>1</v>
      </c>
      <c r="N797">
        <f t="shared" si="99"/>
        <v>1</v>
      </c>
      <c r="O797">
        <f t="shared" si="100"/>
        <v>1</v>
      </c>
      <c r="P797">
        <f t="shared" si="101"/>
        <v>0</v>
      </c>
      <c r="Q797">
        <f t="shared" si="102"/>
        <v>0</v>
      </c>
      <c r="R797" t="b">
        <v>1</v>
      </c>
      <c r="S797" t="s">
        <v>1114</v>
      </c>
      <c r="T797" s="10">
        <v>0.389583333333333</v>
      </c>
      <c r="U797" s="10">
        <v>0.484722222222222</v>
      </c>
      <c r="V797">
        <v>137</v>
      </c>
      <c r="W797" t="b">
        <v>1</v>
      </c>
      <c r="X797" t="s">
        <v>47</v>
      </c>
    </row>
    <row r="798" spans="1:24">
      <c r="A798">
        <v>797</v>
      </c>
      <c r="B798" t="s">
        <v>1115</v>
      </c>
      <c r="C798" t="s">
        <v>25</v>
      </c>
      <c r="D798" s="9">
        <v>28511</v>
      </c>
      <c r="E798" s="9" t="str">
        <f t="shared" si="96"/>
        <v>41-50</v>
      </c>
      <c r="F798">
        <v>46</v>
      </c>
      <c r="G798" t="s">
        <v>21</v>
      </c>
      <c r="H798">
        <v>5</v>
      </c>
      <c r="I798" t="s">
        <v>183</v>
      </c>
      <c r="K798">
        <f t="shared" si="103"/>
        <v>0</v>
      </c>
      <c r="L798">
        <f t="shared" si="97"/>
        <v>1</v>
      </c>
      <c r="M798">
        <f t="shared" si="98"/>
        <v>1</v>
      </c>
      <c r="N798">
        <f t="shared" si="99"/>
        <v>1</v>
      </c>
      <c r="O798">
        <f t="shared" si="100"/>
        <v>0</v>
      </c>
      <c r="P798">
        <f t="shared" si="101"/>
        <v>1</v>
      </c>
      <c r="Q798">
        <f t="shared" si="102"/>
        <v>1</v>
      </c>
      <c r="R798" t="b">
        <v>1</v>
      </c>
      <c r="S798" t="s">
        <v>93</v>
      </c>
      <c r="T798" s="10">
        <v>0.403472222222222</v>
      </c>
      <c r="U798" s="10">
        <v>0.432638888888889</v>
      </c>
      <c r="V798">
        <v>42</v>
      </c>
      <c r="W798" t="b">
        <v>1</v>
      </c>
      <c r="X798" t="s">
        <v>23</v>
      </c>
    </row>
    <row r="799" spans="1:24">
      <c r="A799">
        <v>798</v>
      </c>
      <c r="B799" t="s">
        <v>1116</v>
      </c>
      <c r="C799" t="s">
        <v>25</v>
      </c>
      <c r="D799" s="9">
        <v>32204</v>
      </c>
      <c r="E799" s="9" t="str">
        <f t="shared" si="96"/>
        <v>31-41</v>
      </c>
      <c r="F799">
        <v>36</v>
      </c>
      <c r="G799" t="s">
        <v>21</v>
      </c>
      <c r="H799">
        <v>1</v>
      </c>
      <c r="I799" t="s">
        <v>81</v>
      </c>
      <c r="K799">
        <f t="shared" si="103"/>
        <v>0</v>
      </c>
      <c r="L799">
        <f t="shared" si="97"/>
        <v>0</v>
      </c>
      <c r="M799">
        <f t="shared" si="98"/>
        <v>0</v>
      </c>
      <c r="N799">
        <f t="shared" si="99"/>
        <v>0</v>
      </c>
      <c r="O799">
        <f t="shared" si="100"/>
        <v>0</v>
      </c>
      <c r="P799">
        <f t="shared" si="101"/>
        <v>1</v>
      </c>
      <c r="Q799">
        <f t="shared" si="102"/>
        <v>0</v>
      </c>
      <c r="R799" t="b">
        <v>1</v>
      </c>
      <c r="S799" t="s">
        <v>1117</v>
      </c>
      <c r="T799" s="10">
        <v>0.863888888888889</v>
      </c>
      <c r="U799" s="10">
        <v>0.894444444444444</v>
      </c>
      <c r="V799">
        <v>44</v>
      </c>
      <c r="W799" t="b">
        <v>1</v>
      </c>
      <c r="X799" t="s">
        <v>23</v>
      </c>
    </row>
    <row r="800" spans="1:24">
      <c r="A800">
        <v>799</v>
      </c>
      <c r="B800" t="s">
        <v>1118</v>
      </c>
      <c r="C800" t="s">
        <v>16</v>
      </c>
      <c r="D800" s="9">
        <v>34923</v>
      </c>
      <c r="E800" s="9" t="str">
        <f t="shared" si="96"/>
        <v>20-30</v>
      </c>
      <c r="F800">
        <v>29</v>
      </c>
      <c r="G800" t="s">
        <v>21</v>
      </c>
      <c r="H800">
        <v>4</v>
      </c>
      <c r="I800" t="s">
        <v>61</v>
      </c>
      <c r="K800">
        <f t="shared" si="103"/>
        <v>1</v>
      </c>
      <c r="L800">
        <f t="shared" si="97"/>
        <v>1</v>
      </c>
      <c r="M800">
        <f t="shared" si="98"/>
        <v>0</v>
      </c>
      <c r="N800">
        <f t="shared" si="99"/>
        <v>1</v>
      </c>
      <c r="O800">
        <f t="shared" si="100"/>
        <v>0</v>
      </c>
      <c r="P800">
        <f t="shared" si="101"/>
        <v>0</v>
      </c>
      <c r="Q800">
        <f t="shared" si="102"/>
        <v>1</v>
      </c>
      <c r="R800" t="b">
        <v>1</v>
      </c>
      <c r="S800" t="s">
        <v>1119</v>
      </c>
      <c r="T800" s="10">
        <v>0.382638888888889</v>
      </c>
      <c r="U800" s="10">
        <v>0.476388888888889</v>
      </c>
      <c r="V800">
        <v>135</v>
      </c>
      <c r="W800" t="b">
        <v>0</v>
      </c>
    </row>
    <row r="801" spans="1:24">
      <c r="A801">
        <v>800</v>
      </c>
      <c r="B801" t="s">
        <v>1120</v>
      </c>
      <c r="C801" t="s">
        <v>16</v>
      </c>
      <c r="D801" s="9">
        <v>33112</v>
      </c>
      <c r="E801" s="9" t="str">
        <f t="shared" si="96"/>
        <v>31-41</v>
      </c>
      <c r="F801">
        <v>34</v>
      </c>
      <c r="G801" t="s">
        <v>17</v>
      </c>
      <c r="H801">
        <v>3</v>
      </c>
      <c r="I801" t="s">
        <v>241</v>
      </c>
      <c r="K801">
        <f t="shared" si="103"/>
        <v>0</v>
      </c>
      <c r="L801">
        <f t="shared" si="97"/>
        <v>0</v>
      </c>
      <c r="M801">
        <f t="shared" si="98"/>
        <v>1</v>
      </c>
      <c r="N801">
        <f t="shared" si="99"/>
        <v>1</v>
      </c>
      <c r="O801">
        <f t="shared" si="100"/>
        <v>1</v>
      </c>
      <c r="P801">
        <f t="shared" si="101"/>
        <v>0</v>
      </c>
      <c r="Q801">
        <f t="shared" si="102"/>
        <v>0</v>
      </c>
      <c r="R801" t="b">
        <v>0</v>
      </c>
      <c r="T801" s="10">
        <v>0.389583333333333</v>
      </c>
      <c r="U801" s="10">
        <v>0.467361111111111</v>
      </c>
      <c r="V801">
        <v>112</v>
      </c>
      <c r="W801" t="b">
        <v>0</v>
      </c>
    </row>
    <row r="802" spans="1:24">
      <c r="A802">
        <v>801</v>
      </c>
      <c r="B802" t="s">
        <v>1121</v>
      </c>
      <c r="C802" t="s">
        <v>16</v>
      </c>
      <c r="D802" s="9">
        <v>28329</v>
      </c>
      <c r="E802" s="9" t="str">
        <f t="shared" si="96"/>
        <v>41-50</v>
      </c>
      <c r="F802">
        <v>47</v>
      </c>
      <c r="G802" t="s">
        <v>21</v>
      </c>
      <c r="H802">
        <v>2</v>
      </c>
      <c r="I802" t="s">
        <v>32</v>
      </c>
      <c r="K802">
        <f t="shared" si="103"/>
        <v>0</v>
      </c>
      <c r="L802">
        <f t="shared" si="97"/>
        <v>0</v>
      </c>
      <c r="M802">
        <f t="shared" si="98"/>
        <v>1</v>
      </c>
      <c r="N802">
        <f t="shared" si="99"/>
        <v>0</v>
      </c>
      <c r="O802">
        <f t="shared" si="100"/>
        <v>1</v>
      </c>
      <c r="P802">
        <f t="shared" si="101"/>
        <v>0</v>
      </c>
      <c r="Q802">
        <f t="shared" si="102"/>
        <v>0</v>
      </c>
      <c r="R802" t="b">
        <v>1</v>
      </c>
      <c r="S802" t="s">
        <v>626</v>
      </c>
      <c r="T802" s="10">
        <v>0.804861111111111</v>
      </c>
      <c r="U802" s="10">
        <v>0.905555555555556</v>
      </c>
      <c r="V802">
        <v>145</v>
      </c>
      <c r="W802" t="b">
        <v>0</v>
      </c>
    </row>
    <row r="803" spans="1:24">
      <c r="A803">
        <v>802</v>
      </c>
      <c r="B803" t="s">
        <v>1122</v>
      </c>
      <c r="C803" t="s">
        <v>16</v>
      </c>
      <c r="D803" s="9">
        <v>35744</v>
      </c>
      <c r="E803" s="9" t="str">
        <f t="shared" si="96"/>
        <v>20-30</v>
      </c>
      <c r="F803">
        <v>26</v>
      </c>
      <c r="G803" t="s">
        <v>17</v>
      </c>
      <c r="H803">
        <v>2</v>
      </c>
      <c r="I803" t="s">
        <v>210</v>
      </c>
      <c r="K803">
        <f t="shared" si="103"/>
        <v>0</v>
      </c>
      <c r="L803">
        <f t="shared" si="97"/>
        <v>1</v>
      </c>
      <c r="M803">
        <f t="shared" si="98"/>
        <v>0</v>
      </c>
      <c r="N803">
        <f t="shared" si="99"/>
        <v>0</v>
      </c>
      <c r="O803">
        <f t="shared" si="100"/>
        <v>0</v>
      </c>
      <c r="P803">
        <f t="shared" si="101"/>
        <v>1</v>
      </c>
      <c r="Q803">
        <f t="shared" si="102"/>
        <v>0</v>
      </c>
      <c r="R803" t="b">
        <v>1</v>
      </c>
      <c r="S803" t="s">
        <v>124</v>
      </c>
      <c r="T803" s="10">
        <v>0.333333333333333</v>
      </c>
      <c r="U803" s="10">
        <v>0.433333333333333</v>
      </c>
      <c r="V803">
        <v>144</v>
      </c>
      <c r="W803" t="b">
        <v>1</v>
      </c>
      <c r="X803" t="s">
        <v>50</v>
      </c>
    </row>
    <row r="804" spans="1:24">
      <c r="A804">
        <v>803</v>
      </c>
      <c r="B804" t="s">
        <v>1123</v>
      </c>
      <c r="C804" t="s">
        <v>16</v>
      </c>
      <c r="D804" s="9">
        <v>30503</v>
      </c>
      <c r="E804" s="9" t="str">
        <f t="shared" si="96"/>
        <v>41-50</v>
      </c>
      <c r="F804">
        <v>41</v>
      </c>
      <c r="G804" t="s">
        <v>21</v>
      </c>
      <c r="H804">
        <v>3</v>
      </c>
      <c r="I804" t="s">
        <v>245</v>
      </c>
      <c r="K804">
        <f t="shared" si="103"/>
        <v>1</v>
      </c>
      <c r="L804">
        <f t="shared" si="97"/>
        <v>0</v>
      </c>
      <c r="M804">
        <f t="shared" si="98"/>
        <v>1</v>
      </c>
      <c r="N804">
        <f t="shared" si="99"/>
        <v>0</v>
      </c>
      <c r="O804">
        <f t="shared" si="100"/>
        <v>0</v>
      </c>
      <c r="P804">
        <f t="shared" si="101"/>
        <v>1</v>
      </c>
      <c r="Q804">
        <f t="shared" si="102"/>
        <v>0</v>
      </c>
      <c r="R804" t="b">
        <v>0</v>
      </c>
      <c r="T804" s="10">
        <v>0.393055555555556</v>
      </c>
      <c r="U804" s="10">
        <v>0.474305555555556</v>
      </c>
      <c r="V804">
        <v>117</v>
      </c>
      <c r="W804" t="b">
        <v>0</v>
      </c>
    </row>
    <row r="805" spans="1:24">
      <c r="A805">
        <v>804</v>
      </c>
      <c r="B805" t="s">
        <v>1124</v>
      </c>
      <c r="C805" t="s">
        <v>25</v>
      </c>
      <c r="D805" s="9">
        <v>38857</v>
      </c>
      <c r="E805" s="9" t="str">
        <f t="shared" si="96"/>
        <v>below 20</v>
      </c>
      <c r="F805">
        <v>18</v>
      </c>
      <c r="G805" t="s">
        <v>17</v>
      </c>
      <c r="H805">
        <v>4</v>
      </c>
      <c r="I805" t="s">
        <v>377</v>
      </c>
      <c r="K805">
        <f t="shared" si="103"/>
        <v>1</v>
      </c>
      <c r="L805">
        <f t="shared" si="97"/>
        <v>1</v>
      </c>
      <c r="M805">
        <f t="shared" si="98"/>
        <v>1</v>
      </c>
      <c r="N805">
        <f t="shared" si="99"/>
        <v>0</v>
      </c>
      <c r="O805">
        <f t="shared" si="100"/>
        <v>1</v>
      </c>
      <c r="P805">
        <f t="shared" si="101"/>
        <v>0</v>
      </c>
      <c r="Q805">
        <f t="shared" si="102"/>
        <v>0</v>
      </c>
      <c r="R805" t="b">
        <v>0</v>
      </c>
      <c r="T805" s="10">
        <v>0.374305555555556</v>
      </c>
      <c r="U805" s="10">
        <v>0.413888888888889</v>
      </c>
      <c r="V805">
        <v>57</v>
      </c>
      <c r="W805" t="b">
        <v>1</v>
      </c>
      <c r="X805" t="s">
        <v>28</v>
      </c>
    </row>
    <row r="806" spans="1:24">
      <c r="A806">
        <v>805</v>
      </c>
      <c r="B806" t="s">
        <v>1125</v>
      </c>
      <c r="C806" t="s">
        <v>16</v>
      </c>
      <c r="D806" s="9">
        <v>27915</v>
      </c>
      <c r="E806" s="9" t="str">
        <f t="shared" si="96"/>
        <v>41-50</v>
      </c>
      <c r="F806">
        <v>48</v>
      </c>
      <c r="G806" t="s">
        <v>17</v>
      </c>
      <c r="H806">
        <v>2</v>
      </c>
      <c r="I806" t="s">
        <v>306</v>
      </c>
      <c r="K806">
        <f t="shared" si="103"/>
        <v>1</v>
      </c>
      <c r="L806">
        <f t="shared" si="97"/>
        <v>0</v>
      </c>
      <c r="M806">
        <f t="shared" si="98"/>
        <v>0</v>
      </c>
      <c r="N806">
        <f t="shared" si="99"/>
        <v>0</v>
      </c>
      <c r="O806">
        <f t="shared" si="100"/>
        <v>1</v>
      </c>
      <c r="P806">
        <f t="shared" si="101"/>
        <v>0</v>
      </c>
      <c r="Q806">
        <f t="shared" si="102"/>
        <v>0</v>
      </c>
      <c r="R806" t="b">
        <v>1</v>
      </c>
      <c r="S806" t="s">
        <v>139</v>
      </c>
      <c r="T806" s="10">
        <v>0.34375</v>
      </c>
      <c r="U806" s="10">
        <v>0.408333333333333</v>
      </c>
      <c r="V806">
        <v>93</v>
      </c>
      <c r="W806" t="b">
        <v>1</v>
      </c>
      <c r="X806" t="s">
        <v>47</v>
      </c>
    </row>
    <row r="807" spans="1:24">
      <c r="A807">
        <v>806</v>
      </c>
      <c r="B807" t="s">
        <v>1126</v>
      </c>
      <c r="C807" t="s">
        <v>16</v>
      </c>
      <c r="D807" s="9">
        <v>36361</v>
      </c>
      <c r="E807" s="9" t="str">
        <f t="shared" si="96"/>
        <v>20-30</v>
      </c>
      <c r="F807">
        <v>25</v>
      </c>
      <c r="G807" t="s">
        <v>17</v>
      </c>
      <c r="H807">
        <v>5</v>
      </c>
      <c r="I807" t="s">
        <v>417</v>
      </c>
      <c r="K807">
        <f t="shared" si="103"/>
        <v>1</v>
      </c>
      <c r="L807">
        <f t="shared" si="97"/>
        <v>1</v>
      </c>
      <c r="M807">
        <f t="shared" si="98"/>
        <v>0</v>
      </c>
      <c r="N807">
        <f t="shared" si="99"/>
        <v>1</v>
      </c>
      <c r="O807">
        <f t="shared" si="100"/>
        <v>1</v>
      </c>
      <c r="P807">
        <f t="shared" si="101"/>
        <v>1</v>
      </c>
      <c r="Q807">
        <f t="shared" si="102"/>
        <v>0</v>
      </c>
      <c r="R807" t="b">
        <v>0</v>
      </c>
      <c r="T807" s="10">
        <v>0.675694444444444</v>
      </c>
      <c r="U807" s="10">
        <v>0.755555555555556</v>
      </c>
      <c r="V807">
        <v>115</v>
      </c>
      <c r="W807" t="b">
        <v>0</v>
      </c>
    </row>
    <row r="808" spans="1:24">
      <c r="A808">
        <v>807</v>
      </c>
      <c r="B808" t="s">
        <v>1127</v>
      </c>
      <c r="C808" t="s">
        <v>16</v>
      </c>
      <c r="D808" s="9">
        <v>30782</v>
      </c>
      <c r="E808" s="9" t="str">
        <f t="shared" si="96"/>
        <v>31-41</v>
      </c>
      <c r="F808">
        <v>40</v>
      </c>
      <c r="G808" t="s">
        <v>17</v>
      </c>
      <c r="H808">
        <v>4</v>
      </c>
      <c r="I808" t="s">
        <v>814</v>
      </c>
      <c r="K808">
        <f t="shared" si="103"/>
        <v>0</v>
      </c>
      <c r="L808">
        <f t="shared" si="97"/>
        <v>1</v>
      </c>
      <c r="M808">
        <f t="shared" si="98"/>
        <v>0</v>
      </c>
      <c r="N808">
        <f t="shared" si="99"/>
        <v>1</v>
      </c>
      <c r="O808">
        <f t="shared" si="100"/>
        <v>0</v>
      </c>
      <c r="P808">
        <f t="shared" si="101"/>
        <v>1</v>
      </c>
      <c r="Q808">
        <f t="shared" si="102"/>
        <v>1</v>
      </c>
      <c r="R808" t="b">
        <v>1</v>
      </c>
      <c r="S808" t="s">
        <v>1054</v>
      </c>
      <c r="T808" s="10">
        <v>0.815972222222222</v>
      </c>
      <c r="U808" s="10">
        <v>0.923611111111111</v>
      </c>
      <c r="V808">
        <v>155</v>
      </c>
      <c r="W808" t="b">
        <v>0</v>
      </c>
    </row>
    <row r="809" spans="1:24">
      <c r="A809">
        <v>808</v>
      </c>
      <c r="B809" t="s">
        <v>1128</v>
      </c>
      <c r="C809" t="s">
        <v>16</v>
      </c>
      <c r="D809" s="9">
        <v>35555</v>
      </c>
      <c r="E809" s="9" t="str">
        <f t="shared" si="96"/>
        <v>20-30</v>
      </c>
      <c r="F809">
        <v>27</v>
      </c>
      <c r="G809" t="s">
        <v>17</v>
      </c>
      <c r="H809">
        <v>4</v>
      </c>
      <c r="I809" t="s">
        <v>61</v>
      </c>
      <c r="K809">
        <f t="shared" si="103"/>
        <v>1</v>
      </c>
      <c r="L809">
        <f t="shared" si="97"/>
        <v>1</v>
      </c>
      <c r="M809">
        <f t="shared" si="98"/>
        <v>0</v>
      </c>
      <c r="N809">
        <f t="shared" si="99"/>
        <v>1</v>
      </c>
      <c r="O809">
        <f t="shared" si="100"/>
        <v>0</v>
      </c>
      <c r="P809">
        <f t="shared" si="101"/>
        <v>0</v>
      </c>
      <c r="Q809">
        <f t="shared" si="102"/>
        <v>1</v>
      </c>
      <c r="R809" t="b">
        <v>0</v>
      </c>
      <c r="T809" s="10">
        <v>0.688888888888889</v>
      </c>
      <c r="U809" s="10">
        <v>0.770138888888889</v>
      </c>
      <c r="V809">
        <v>117</v>
      </c>
      <c r="W809" t="b">
        <v>1</v>
      </c>
      <c r="X809" t="s">
        <v>50</v>
      </c>
    </row>
    <row r="810" spans="1:24">
      <c r="A810">
        <v>809</v>
      </c>
      <c r="B810" t="s">
        <v>1129</v>
      </c>
      <c r="C810" t="s">
        <v>16</v>
      </c>
      <c r="D810" s="9">
        <v>32832</v>
      </c>
      <c r="E810" s="9" t="str">
        <f t="shared" si="96"/>
        <v>31-41</v>
      </c>
      <c r="F810">
        <v>34</v>
      </c>
      <c r="G810" t="s">
        <v>17</v>
      </c>
      <c r="H810">
        <v>2</v>
      </c>
      <c r="I810" t="s">
        <v>111</v>
      </c>
      <c r="K810">
        <f t="shared" si="103"/>
        <v>0</v>
      </c>
      <c r="L810">
        <f t="shared" si="97"/>
        <v>1</v>
      </c>
      <c r="M810">
        <f t="shared" si="98"/>
        <v>0</v>
      </c>
      <c r="N810">
        <f t="shared" si="99"/>
        <v>0</v>
      </c>
      <c r="O810">
        <f t="shared" si="100"/>
        <v>0</v>
      </c>
      <c r="P810">
        <f t="shared" si="101"/>
        <v>0</v>
      </c>
      <c r="Q810">
        <f t="shared" si="102"/>
        <v>1</v>
      </c>
      <c r="R810" t="b">
        <v>0</v>
      </c>
      <c r="T810" s="10">
        <v>0.559027777777778</v>
      </c>
      <c r="U810" s="10">
        <v>0.645138888888889</v>
      </c>
      <c r="V810">
        <v>124</v>
      </c>
      <c r="W810" t="b">
        <v>0</v>
      </c>
    </row>
    <row r="811" spans="1:24">
      <c r="A811">
        <v>810</v>
      </c>
      <c r="B811" t="s">
        <v>1130</v>
      </c>
      <c r="C811" t="s">
        <v>25</v>
      </c>
      <c r="D811" s="9">
        <v>34601</v>
      </c>
      <c r="E811" s="9" t="str">
        <f t="shared" si="96"/>
        <v>20-30</v>
      </c>
      <c r="F811">
        <v>30</v>
      </c>
      <c r="G811" t="s">
        <v>17</v>
      </c>
      <c r="H811">
        <v>2</v>
      </c>
      <c r="I811" t="s">
        <v>133</v>
      </c>
      <c r="K811">
        <f t="shared" si="103"/>
        <v>1</v>
      </c>
      <c r="L811">
        <f t="shared" si="97"/>
        <v>0</v>
      </c>
      <c r="M811">
        <f t="shared" si="98"/>
        <v>1</v>
      </c>
      <c r="N811">
        <f t="shared" si="99"/>
        <v>0</v>
      </c>
      <c r="O811">
        <f t="shared" si="100"/>
        <v>0</v>
      </c>
      <c r="P811">
        <f t="shared" si="101"/>
        <v>0</v>
      </c>
      <c r="Q811">
        <f t="shared" si="102"/>
        <v>0</v>
      </c>
      <c r="R811" t="b">
        <v>1</v>
      </c>
      <c r="S811" t="s">
        <v>83</v>
      </c>
      <c r="T811" s="10">
        <v>0.596527777777778</v>
      </c>
      <c r="U811" s="10">
        <v>0.711805555555555</v>
      </c>
      <c r="V811">
        <v>166</v>
      </c>
      <c r="W811" t="b">
        <v>1</v>
      </c>
      <c r="X811" t="s">
        <v>23</v>
      </c>
    </row>
    <row r="812" spans="1:24">
      <c r="A812">
        <v>811</v>
      </c>
      <c r="B812" t="s">
        <v>162</v>
      </c>
      <c r="C812" t="s">
        <v>25</v>
      </c>
      <c r="D812" s="9">
        <v>34412</v>
      </c>
      <c r="E812" s="9" t="str">
        <f t="shared" si="96"/>
        <v>20-30</v>
      </c>
      <c r="F812">
        <v>30</v>
      </c>
      <c r="G812" t="s">
        <v>17</v>
      </c>
      <c r="H812">
        <v>2</v>
      </c>
      <c r="I812" t="s">
        <v>189</v>
      </c>
      <c r="K812">
        <f t="shared" si="103"/>
        <v>0</v>
      </c>
      <c r="L812">
        <f t="shared" si="97"/>
        <v>1</v>
      </c>
      <c r="M812">
        <f t="shared" si="98"/>
        <v>1</v>
      </c>
      <c r="N812">
        <f t="shared" si="99"/>
        <v>0</v>
      </c>
      <c r="O812">
        <f t="shared" si="100"/>
        <v>0</v>
      </c>
      <c r="P812">
        <f t="shared" si="101"/>
        <v>0</v>
      </c>
      <c r="Q812">
        <f t="shared" si="102"/>
        <v>0</v>
      </c>
      <c r="R812" t="b">
        <v>0</v>
      </c>
      <c r="T812" s="10">
        <v>0.470833333333333</v>
      </c>
      <c r="U812" s="10">
        <v>0.5625</v>
      </c>
      <c r="V812">
        <v>132</v>
      </c>
      <c r="W812" t="b">
        <v>1</v>
      </c>
      <c r="X812" t="s">
        <v>47</v>
      </c>
    </row>
    <row r="813" spans="1:24">
      <c r="A813">
        <v>812</v>
      </c>
      <c r="B813" t="s">
        <v>1131</v>
      </c>
      <c r="C813" t="s">
        <v>25</v>
      </c>
      <c r="D813" s="9">
        <v>38518</v>
      </c>
      <c r="E813" s="9" t="str">
        <f t="shared" si="96"/>
        <v>below 20</v>
      </c>
      <c r="F813">
        <v>19</v>
      </c>
      <c r="G813" t="s">
        <v>17</v>
      </c>
      <c r="H813">
        <v>1</v>
      </c>
      <c r="I813" t="s">
        <v>26</v>
      </c>
      <c r="K813">
        <f t="shared" si="103"/>
        <v>1</v>
      </c>
      <c r="L813">
        <f t="shared" si="97"/>
        <v>0</v>
      </c>
      <c r="M813">
        <f t="shared" si="98"/>
        <v>0</v>
      </c>
      <c r="N813">
        <f t="shared" si="99"/>
        <v>0</v>
      </c>
      <c r="O813">
        <f t="shared" si="100"/>
        <v>0</v>
      </c>
      <c r="P813">
        <f t="shared" si="101"/>
        <v>0</v>
      </c>
      <c r="Q813">
        <f t="shared" si="102"/>
        <v>0</v>
      </c>
      <c r="R813" t="b">
        <v>1</v>
      </c>
      <c r="S813" t="s">
        <v>666</v>
      </c>
      <c r="T813" s="10">
        <v>0.604166666666667</v>
      </c>
      <c r="U813" s="10">
        <v>0.665277777777778</v>
      </c>
      <c r="V813">
        <v>88</v>
      </c>
      <c r="W813" t="b">
        <v>1</v>
      </c>
      <c r="X813" t="s">
        <v>50</v>
      </c>
    </row>
    <row r="814" spans="1:24">
      <c r="A814">
        <v>813</v>
      </c>
      <c r="B814" t="s">
        <v>1132</v>
      </c>
      <c r="C814" t="s">
        <v>25</v>
      </c>
      <c r="D814" s="9">
        <v>27567</v>
      </c>
      <c r="E814" s="9" t="str">
        <f t="shared" si="96"/>
        <v>41-50</v>
      </c>
      <c r="F814">
        <v>49</v>
      </c>
      <c r="G814" t="s">
        <v>21</v>
      </c>
      <c r="H814">
        <v>5</v>
      </c>
      <c r="I814" t="s">
        <v>96</v>
      </c>
      <c r="K814">
        <f t="shared" si="103"/>
        <v>1</v>
      </c>
      <c r="L814">
        <f t="shared" si="97"/>
        <v>1</v>
      </c>
      <c r="M814">
        <f t="shared" si="98"/>
        <v>0</v>
      </c>
      <c r="N814">
        <f t="shared" si="99"/>
        <v>1</v>
      </c>
      <c r="O814">
        <f t="shared" si="100"/>
        <v>0</v>
      </c>
      <c r="P814">
        <f t="shared" si="101"/>
        <v>1</v>
      </c>
      <c r="Q814">
        <f t="shared" si="102"/>
        <v>1</v>
      </c>
      <c r="R814" t="b">
        <v>0</v>
      </c>
      <c r="T814" s="10">
        <v>0.588194444444444</v>
      </c>
      <c r="U814" s="10">
        <v>0.620138888888889</v>
      </c>
      <c r="V814">
        <v>46</v>
      </c>
      <c r="W814" t="b">
        <v>0</v>
      </c>
    </row>
    <row r="815" spans="1:24">
      <c r="A815">
        <v>814</v>
      </c>
      <c r="B815" t="s">
        <v>1133</v>
      </c>
      <c r="C815" t="s">
        <v>16</v>
      </c>
      <c r="D815" s="9">
        <v>35412</v>
      </c>
      <c r="E815" s="9" t="str">
        <f t="shared" si="96"/>
        <v>20-30</v>
      </c>
      <c r="F815">
        <v>27</v>
      </c>
      <c r="G815" t="s">
        <v>21</v>
      </c>
      <c r="H815">
        <v>1</v>
      </c>
      <c r="I815" t="s">
        <v>185</v>
      </c>
      <c r="K815">
        <f t="shared" si="103"/>
        <v>0</v>
      </c>
      <c r="L815">
        <f t="shared" si="97"/>
        <v>0</v>
      </c>
      <c r="M815">
        <f t="shared" si="98"/>
        <v>0</v>
      </c>
      <c r="N815">
        <f t="shared" si="99"/>
        <v>1</v>
      </c>
      <c r="O815">
        <f t="shared" si="100"/>
        <v>0</v>
      </c>
      <c r="P815">
        <f t="shared" si="101"/>
        <v>0</v>
      </c>
      <c r="Q815">
        <f t="shared" si="102"/>
        <v>0</v>
      </c>
      <c r="R815" t="b">
        <v>1</v>
      </c>
      <c r="S815" t="s">
        <v>93</v>
      </c>
      <c r="T815" s="10">
        <v>0.648611111111111</v>
      </c>
      <c r="U815" s="10">
        <v>0.683333333333333</v>
      </c>
      <c r="V815">
        <v>50</v>
      </c>
      <c r="W815" t="b">
        <v>1</v>
      </c>
      <c r="X815" t="s">
        <v>23</v>
      </c>
    </row>
    <row r="816" spans="1:24">
      <c r="A816">
        <v>815</v>
      </c>
      <c r="B816" t="s">
        <v>1134</v>
      </c>
      <c r="C816" t="s">
        <v>16</v>
      </c>
      <c r="D816" s="9">
        <v>31630</v>
      </c>
      <c r="E816" s="9" t="str">
        <f t="shared" si="96"/>
        <v>31-41</v>
      </c>
      <c r="F816">
        <v>38</v>
      </c>
      <c r="G816" t="s">
        <v>17</v>
      </c>
      <c r="H816">
        <v>1</v>
      </c>
      <c r="I816" t="s">
        <v>26</v>
      </c>
      <c r="K816">
        <f t="shared" si="103"/>
        <v>1</v>
      </c>
      <c r="L816">
        <f t="shared" si="97"/>
        <v>0</v>
      </c>
      <c r="M816">
        <f t="shared" si="98"/>
        <v>0</v>
      </c>
      <c r="N816">
        <f t="shared" si="99"/>
        <v>0</v>
      </c>
      <c r="O816">
        <f t="shared" si="100"/>
        <v>0</v>
      </c>
      <c r="P816">
        <f t="shared" si="101"/>
        <v>0</v>
      </c>
      <c r="Q816">
        <f t="shared" si="102"/>
        <v>0</v>
      </c>
      <c r="R816" t="b">
        <v>0</v>
      </c>
      <c r="T816" s="10">
        <v>0.591666666666667</v>
      </c>
      <c r="U816" s="10">
        <v>0.648611111111111</v>
      </c>
      <c r="V816">
        <v>82</v>
      </c>
      <c r="W816" t="b">
        <v>0</v>
      </c>
    </row>
    <row r="817" spans="1:24">
      <c r="A817">
        <v>816</v>
      </c>
      <c r="B817" t="s">
        <v>1135</v>
      </c>
      <c r="C817" t="s">
        <v>25</v>
      </c>
      <c r="D817" s="9">
        <v>28273</v>
      </c>
      <c r="E817" s="9" t="str">
        <f t="shared" si="96"/>
        <v>41-50</v>
      </c>
      <c r="F817">
        <v>47</v>
      </c>
      <c r="G817" t="s">
        <v>21</v>
      </c>
      <c r="H817">
        <v>2</v>
      </c>
      <c r="I817" t="s">
        <v>55</v>
      </c>
      <c r="K817">
        <f t="shared" si="103"/>
        <v>1</v>
      </c>
      <c r="L817">
        <f t="shared" si="97"/>
        <v>0</v>
      </c>
      <c r="M817">
        <f t="shared" si="98"/>
        <v>0</v>
      </c>
      <c r="N817">
        <f t="shared" si="99"/>
        <v>1</v>
      </c>
      <c r="O817">
        <f t="shared" si="100"/>
        <v>0</v>
      </c>
      <c r="P817">
        <f t="shared" si="101"/>
        <v>0</v>
      </c>
      <c r="Q817">
        <f t="shared" si="102"/>
        <v>0</v>
      </c>
      <c r="R817" t="b">
        <v>0</v>
      </c>
      <c r="T817" s="10">
        <v>0.5125</v>
      </c>
      <c r="U817" s="10">
        <v>0.608333333333333</v>
      </c>
      <c r="V817">
        <v>138</v>
      </c>
      <c r="W817" t="b">
        <v>1</v>
      </c>
      <c r="X817" t="s">
        <v>28</v>
      </c>
    </row>
    <row r="818" spans="1:24">
      <c r="A818">
        <v>817</v>
      </c>
      <c r="B818" t="s">
        <v>1136</v>
      </c>
      <c r="C818" t="s">
        <v>16</v>
      </c>
      <c r="D818" s="9">
        <v>31290</v>
      </c>
      <c r="E818" s="9" t="str">
        <f t="shared" si="96"/>
        <v>31-41</v>
      </c>
      <c r="F818">
        <v>39</v>
      </c>
      <c r="G818" t="s">
        <v>21</v>
      </c>
      <c r="H818">
        <v>3</v>
      </c>
      <c r="I818" t="s">
        <v>57</v>
      </c>
      <c r="K818">
        <f t="shared" si="103"/>
        <v>1</v>
      </c>
      <c r="L818">
        <f t="shared" si="97"/>
        <v>1</v>
      </c>
      <c r="M818">
        <f t="shared" si="98"/>
        <v>0</v>
      </c>
      <c r="N818">
        <f t="shared" si="99"/>
        <v>1</v>
      </c>
      <c r="O818">
        <f t="shared" si="100"/>
        <v>0</v>
      </c>
      <c r="P818">
        <f t="shared" si="101"/>
        <v>0</v>
      </c>
      <c r="Q818">
        <f t="shared" si="102"/>
        <v>0</v>
      </c>
      <c r="R818" t="b">
        <v>0</v>
      </c>
      <c r="T818" s="10">
        <v>0.7125</v>
      </c>
      <c r="U818" s="10">
        <v>0.800694444444444</v>
      </c>
      <c r="V818">
        <v>127</v>
      </c>
      <c r="W818" t="b">
        <v>1</v>
      </c>
      <c r="X818" t="s">
        <v>47</v>
      </c>
    </row>
    <row r="819" spans="1:24">
      <c r="A819">
        <v>818</v>
      </c>
      <c r="B819" t="s">
        <v>1137</v>
      </c>
      <c r="C819" t="s">
        <v>25</v>
      </c>
      <c r="D819" s="9">
        <v>39067</v>
      </c>
      <c r="E819" s="9" t="str">
        <f t="shared" si="96"/>
        <v>below 20</v>
      </c>
      <c r="F819">
        <v>17</v>
      </c>
      <c r="G819" t="s">
        <v>21</v>
      </c>
      <c r="H819">
        <v>3</v>
      </c>
      <c r="I819" t="s">
        <v>245</v>
      </c>
      <c r="K819">
        <f t="shared" si="103"/>
        <v>1</v>
      </c>
      <c r="L819">
        <f t="shared" si="97"/>
        <v>0</v>
      </c>
      <c r="M819">
        <f t="shared" si="98"/>
        <v>1</v>
      </c>
      <c r="N819">
        <f t="shared" si="99"/>
        <v>0</v>
      </c>
      <c r="O819">
        <f t="shared" si="100"/>
        <v>0</v>
      </c>
      <c r="P819">
        <f t="shared" si="101"/>
        <v>1</v>
      </c>
      <c r="Q819">
        <f t="shared" si="102"/>
        <v>0</v>
      </c>
      <c r="R819" t="b">
        <v>1</v>
      </c>
      <c r="S819" t="s">
        <v>238</v>
      </c>
      <c r="T819" s="10">
        <v>0.49375</v>
      </c>
      <c r="U819" s="10">
        <v>0.568055555555556</v>
      </c>
      <c r="V819">
        <v>107</v>
      </c>
      <c r="W819" t="b">
        <v>0</v>
      </c>
    </row>
    <row r="820" spans="1:24">
      <c r="A820">
        <v>819</v>
      </c>
      <c r="B820" t="s">
        <v>1138</v>
      </c>
      <c r="C820" t="s">
        <v>16</v>
      </c>
      <c r="D820" s="9">
        <v>37939</v>
      </c>
      <c r="E820" s="9" t="str">
        <f t="shared" si="96"/>
        <v>20-30</v>
      </c>
      <c r="F820">
        <v>20</v>
      </c>
      <c r="G820" t="s">
        <v>21</v>
      </c>
      <c r="H820">
        <v>3</v>
      </c>
      <c r="I820" t="s">
        <v>136</v>
      </c>
      <c r="K820">
        <f t="shared" si="103"/>
        <v>1</v>
      </c>
      <c r="L820">
        <f t="shared" si="97"/>
        <v>0</v>
      </c>
      <c r="M820">
        <f t="shared" si="98"/>
        <v>0</v>
      </c>
      <c r="N820">
        <f t="shared" si="99"/>
        <v>1</v>
      </c>
      <c r="O820">
        <f t="shared" si="100"/>
        <v>0</v>
      </c>
      <c r="P820">
        <f t="shared" si="101"/>
        <v>1</v>
      </c>
      <c r="Q820">
        <f t="shared" si="102"/>
        <v>0</v>
      </c>
      <c r="R820" t="b">
        <v>0</v>
      </c>
      <c r="T820" s="10">
        <v>0.349305555555556</v>
      </c>
      <c r="U820" s="10">
        <v>0.40625</v>
      </c>
      <c r="V820">
        <v>82</v>
      </c>
      <c r="W820" t="b">
        <v>0</v>
      </c>
    </row>
    <row r="821" spans="1:24">
      <c r="A821">
        <v>820</v>
      </c>
      <c r="B821" t="s">
        <v>1139</v>
      </c>
      <c r="C821" t="s">
        <v>16</v>
      </c>
      <c r="D821" s="9">
        <v>40007</v>
      </c>
      <c r="E821" s="9" t="str">
        <f t="shared" si="96"/>
        <v>below 20</v>
      </c>
      <c r="F821">
        <v>15</v>
      </c>
      <c r="G821" t="s">
        <v>21</v>
      </c>
      <c r="H821">
        <v>3</v>
      </c>
      <c r="I821" t="s">
        <v>321</v>
      </c>
      <c r="K821">
        <f t="shared" si="103"/>
        <v>0</v>
      </c>
      <c r="L821">
        <f t="shared" si="97"/>
        <v>0</v>
      </c>
      <c r="M821">
        <f t="shared" si="98"/>
        <v>0</v>
      </c>
      <c r="N821">
        <f t="shared" si="99"/>
        <v>1</v>
      </c>
      <c r="O821">
        <f t="shared" si="100"/>
        <v>0</v>
      </c>
      <c r="P821">
        <f t="shared" si="101"/>
        <v>1</v>
      </c>
      <c r="Q821">
        <f t="shared" si="102"/>
        <v>1</v>
      </c>
      <c r="R821" t="b">
        <v>0</v>
      </c>
      <c r="T821" s="10">
        <v>0.60625</v>
      </c>
      <c r="U821" s="10">
        <v>0.710416666666667</v>
      </c>
      <c r="V821">
        <v>150</v>
      </c>
      <c r="W821" t="b">
        <v>0</v>
      </c>
    </row>
    <row r="822" spans="1:24">
      <c r="A822">
        <v>821</v>
      </c>
      <c r="B822" t="s">
        <v>1140</v>
      </c>
      <c r="C822" t="s">
        <v>16</v>
      </c>
      <c r="D822" s="9">
        <v>31642</v>
      </c>
      <c r="E822" s="9" t="str">
        <f t="shared" si="96"/>
        <v>31-41</v>
      </c>
      <c r="F822">
        <v>38</v>
      </c>
      <c r="G822" t="s">
        <v>17</v>
      </c>
      <c r="H822">
        <v>3</v>
      </c>
      <c r="I822" t="s">
        <v>74</v>
      </c>
      <c r="K822">
        <f t="shared" si="103"/>
        <v>1</v>
      </c>
      <c r="L822">
        <f t="shared" si="97"/>
        <v>1</v>
      </c>
      <c r="M822">
        <f t="shared" si="98"/>
        <v>0</v>
      </c>
      <c r="N822">
        <f t="shared" si="99"/>
        <v>0</v>
      </c>
      <c r="O822">
        <f t="shared" si="100"/>
        <v>0</v>
      </c>
      <c r="P822">
        <f t="shared" si="101"/>
        <v>1</v>
      </c>
      <c r="Q822">
        <f t="shared" si="102"/>
        <v>0</v>
      </c>
      <c r="R822" t="b">
        <v>1</v>
      </c>
      <c r="S822" t="s">
        <v>107</v>
      </c>
      <c r="T822" s="10">
        <v>0.555555555555556</v>
      </c>
      <c r="U822" s="10">
        <v>0.653472222222222</v>
      </c>
      <c r="V822">
        <v>141</v>
      </c>
      <c r="W822" t="b">
        <v>0</v>
      </c>
    </row>
    <row r="823" spans="1:24">
      <c r="A823">
        <v>822</v>
      </c>
      <c r="B823" t="s">
        <v>1141</v>
      </c>
      <c r="C823" t="s">
        <v>25</v>
      </c>
      <c r="D823" s="9">
        <v>27678</v>
      </c>
      <c r="E823" s="9" t="str">
        <f t="shared" si="96"/>
        <v>41-50</v>
      </c>
      <c r="F823">
        <v>48</v>
      </c>
      <c r="G823" t="s">
        <v>17</v>
      </c>
      <c r="H823">
        <v>3</v>
      </c>
      <c r="I823" t="s">
        <v>92</v>
      </c>
      <c r="K823">
        <f t="shared" si="103"/>
        <v>0</v>
      </c>
      <c r="L823">
        <f t="shared" si="97"/>
        <v>1</v>
      </c>
      <c r="M823">
        <f t="shared" si="98"/>
        <v>0</v>
      </c>
      <c r="N823">
        <f t="shared" si="99"/>
        <v>1</v>
      </c>
      <c r="O823">
        <f t="shared" si="100"/>
        <v>0</v>
      </c>
      <c r="P823">
        <f t="shared" si="101"/>
        <v>1</v>
      </c>
      <c r="Q823">
        <f t="shared" si="102"/>
        <v>0</v>
      </c>
      <c r="R823" t="b">
        <v>0</v>
      </c>
      <c r="T823" s="10">
        <v>0.822222222222222</v>
      </c>
      <c r="U823" s="10">
        <v>0.9125</v>
      </c>
      <c r="V823">
        <v>130</v>
      </c>
      <c r="W823" t="b">
        <v>1</v>
      </c>
      <c r="X823" t="s">
        <v>23</v>
      </c>
    </row>
    <row r="824" spans="1:24">
      <c r="A824">
        <v>823</v>
      </c>
      <c r="B824" t="s">
        <v>1142</v>
      </c>
      <c r="C824" t="s">
        <v>16</v>
      </c>
      <c r="D824" s="9">
        <v>34991</v>
      </c>
      <c r="E824" s="9" t="str">
        <f t="shared" si="96"/>
        <v>20-30</v>
      </c>
      <c r="F824">
        <v>28</v>
      </c>
      <c r="G824" t="s">
        <v>21</v>
      </c>
      <c r="H824">
        <v>4</v>
      </c>
      <c r="I824" t="s">
        <v>143</v>
      </c>
      <c r="K824">
        <f t="shared" si="103"/>
        <v>1</v>
      </c>
      <c r="L824">
        <f t="shared" si="97"/>
        <v>1</v>
      </c>
      <c r="M824">
        <f t="shared" si="98"/>
        <v>0</v>
      </c>
      <c r="N824">
        <f t="shared" si="99"/>
        <v>1</v>
      </c>
      <c r="O824">
        <f t="shared" si="100"/>
        <v>0</v>
      </c>
      <c r="P824">
        <f t="shared" si="101"/>
        <v>1</v>
      </c>
      <c r="Q824">
        <f t="shared" si="102"/>
        <v>0</v>
      </c>
      <c r="R824" t="b">
        <v>0</v>
      </c>
      <c r="T824" s="10">
        <v>0.689583333333333</v>
      </c>
      <c r="U824" s="10">
        <v>0.766666666666667</v>
      </c>
      <c r="V824">
        <v>111</v>
      </c>
      <c r="W824" t="b">
        <v>0</v>
      </c>
    </row>
    <row r="825" spans="1:24">
      <c r="A825">
        <v>824</v>
      </c>
      <c r="B825" t="s">
        <v>1143</v>
      </c>
      <c r="C825" t="s">
        <v>16</v>
      </c>
      <c r="D825" s="9">
        <v>31614</v>
      </c>
      <c r="E825" s="9" t="str">
        <f t="shared" si="96"/>
        <v>31-41</v>
      </c>
      <c r="F825">
        <v>38</v>
      </c>
      <c r="G825" t="s">
        <v>21</v>
      </c>
      <c r="H825">
        <v>5</v>
      </c>
      <c r="I825" t="s">
        <v>192</v>
      </c>
      <c r="K825">
        <f t="shared" si="103"/>
        <v>1</v>
      </c>
      <c r="L825">
        <f t="shared" si="97"/>
        <v>1</v>
      </c>
      <c r="M825">
        <f t="shared" si="98"/>
        <v>1</v>
      </c>
      <c r="N825">
        <f t="shared" si="99"/>
        <v>0</v>
      </c>
      <c r="O825">
        <f t="shared" si="100"/>
        <v>0</v>
      </c>
      <c r="P825">
        <f t="shared" si="101"/>
        <v>1</v>
      </c>
      <c r="Q825">
        <f t="shared" si="102"/>
        <v>1</v>
      </c>
      <c r="R825" t="b">
        <v>0</v>
      </c>
      <c r="T825" s="10">
        <v>0.749305555555556</v>
      </c>
      <c r="U825" s="10">
        <v>0.839583333333333</v>
      </c>
      <c r="V825">
        <v>130</v>
      </c>
      <c r="W825" t="b">
        <v>0</v>
      </c>
    </row>
    <row r="826" spans="1:24">
      <c r="A826">
        <v>825</v>
      </c>
      <c r="B826" t="s">
        <v>1144</v>
      </c>
      <c r="C826" t="s">
        <v>25</v>
      </c>
      <c r="D826" s="9">
        <v>27605</v>
      </c>
      <c r="E826" s="9" t="str">
        <f t="shared" si="96"/>
        <v>41-50</v>
      </c>
      <c r="F826">
        <v>49</v>
      </c>
      <c r="G826" t="s">
        <v>17</v>
      </c>
      <c r="H826">
        <v>3</v>
      </c>
      <c r="I826" t="s">
        <v>136</v>
      </c>
      <c r="K826">
        <f t="shared" si="103"/>
        <v>1</v>
      </c>
      <c r="L826">
        <f t="shared" si="97"/>
        <v>0</v>
      </c>
      <c r="M826">
        <f t="shared" si="98"/>
        <v>0</v>
      </c>
      <c r="N826">
        <f t="shared" si="99"/>
        <v>1</v>
      </c>
      <c r="O826">
        <f t="shared" si="100"/>
        <v>0</v>
      </c>
      <c r="P826">
        <f t="shared" si="101"/>
        <v>1</v>
      </c>
      <c r="Q826">
        <f t="shared" si="102"/>
        <v>0</v>
      </c>
      <c r="R826" t="b">
        <v>1</v>
      </c>
      <c r="S826" t="s">
        <v>1145</v>
      </c>
      <c r="T826" s="10">
        <v>0.453472222222222</v>
      </c>
      <c r="U826" s="10">
        <v>0.534027777777778</v>
      </c>
      <c r="V826">
        <v>116</v>
      </c>
      <c r="W826" t="b">
        <v>1</v>
      </c>
      <c r="X826" t="s">
        <v>28</v>
      </c>
    </row>
    <row r="827" spans="1:24">
      <c r="A827">
        <v>826</v>
      </c>
      <c r="B827" t="s">
        <v>1146</v>
      </c>
      <c r="C827" t="s">
        <v>16</v>
      </c>
      <c r="D827" s="9">
        <v>33660</v>
      </c>
      <c r="E827" s="9" t="str">
        <f t="shared" si="96"/>
        <v>31-41</v>
      </c>
      <c r="F827">
        <v>32</v>
      </c>
      <c r="G827" t="s">
        <v>21</v>
      </c>
      <c r="H827">
        <v>1</v>
      </c>
      <c r="I827" t="s">
        <v>185</v>
      </c>
      <c r="K827">
        <f t="shared" si="103"/>
        <v>0</v>
      </c>
      <c r="L827">
        <f t="shared" si="97"/>
        <v>0</v>
      </c>
      <c r="M827">
        <f t="shared" si="98"/>
        <v>0</v>
      </c>
      <c r="N827">
        <f t="shared" si="99"/>
        <v>1</v>
      </c>
      <c r="O827">
        <f t="shared" si="100"/>
        <v>0</v>
      </c>
      <c r="P827">
        <f t="shared" si="101"/>
        <v>0</v>
      </c>
      <c r="Q827">
        <f t="shared" si="102"/>
        <v>0</v>
      </c>
      <c r="R827" t="b">
        <v>0</v>
      </c>
      <c r="T827" s="10">
        <v>0.748611111111111</v>
      </c>
      <c r="U827" s="10">
        <v>0.870833333333333</v>
      </c>
      <c r="V827">
        <v>176</v>
      </c>
      <c r="W827" t="b">
        <v>0</v>
      </c>
    </row>
    <row r="828" spans="1:24">
      <c r="A828">
        <v>827</v>
      </c>
      <c r="B828" t="s">
        <v>1147</v>
      </c>
      <c r="C828" t="s">
        <v>25</v>
      </c>
      <c r="D828" s="9">
        <v>38776</v>
      </c>
      <c r="E828" s="9" t="str">
        <f t="shared" si="96"/>
        <v>below 20</v>
      </c>
      <c r="F828">
        <v>18</v>
      </c>
      <c r="G828" t="s">
        <v>21</v>
      </c>
      <c r="H828">
        <v>3</v>
      </c>
      <c r="I828" t="s">
        <v>266</v>
      </c>
      <c r="K828">
        <f t="shared" si="103"/>
        <v>1</v>
      </c>
      <c r="L828">
        <f t="shared" si="97"/>
        <v>0</v>
      </c>
      <c r="M828">
        <f t="shared" si="98"/>
        <v>0</v>
      </c>
      <c r="N828">
        <f t="shared" si="99"/>
        <v>0</v>
      </c>
      <c r="O828">
        <f t="shared" si="100"/>
        <v>1</v>
      </c>
      <c r="P828">
        <f t="shared" si="101"/>
        <v>1</v>
      </c>
      <c r="Q828">
        <f t="shared" si="102"/>
        <v>0</v>
      </c>
      <c r="R828" t="b">
        <v>1</v>
      </c>
      <c r="S828" t="s">
        <v>1148</v>
      </c>
      <c r="T828" s="10">
        <v>0.60625</v>
      </c>
      <c r="U828" s="10">
        <v>0.669444444444444</v>
      </c>
      <c r="V828">
        <v>91</v>
      </c>
      <c r="W828" t="b">
        <v>0</v>
      </c>
    </row>
    <row r="829" spans="1:24">
      <c r="A829">
        <v>828</v>
      </c>
      <c r="B829" t="s">
        <v>446</v>
      </c>
      <c r="C829" t="s">
        <v>16</v>
      </c>
      <c r="D829" s="9">
        <v>38807</v>
      </c>
      <c r="E829" s="9" t="str">
        <f t="shared" si="96"/>
        <v>below 20</v>
      </c>
      <c r="F829">
        <v>18</v>
      </c>
      <c r="G829" t="s">
        <v>17</v>
      </c>
      <c r="H829">
        <v>2</v>
      </c>
      <c r="I829" t="s">
        <v>121</v>
      </c>
      <c r="K829">
        <f t="shared" si="103"/>
        <v>0</v>
      </c>
      <c r="L829">
        <f t="shared" si="97"/>
        <v>0</v>
      </c>
      <c r="M829">
        <f t="shared" si="98"/>
        <v>0</v>
      </c>
      <c r="N829">
        <f t="shared" si="99"/>
        <v>1</v>
      </c>
      <c r="O829">
        <f t="shared" si="100"/>
        <v>0</v>
      </c>
      <c r="P829">
        <f t="shared" si="101"/>
        <v>1</v>
      </c>
      <c r="Q829">
        <f t="shared" si="102"/>
        <v>0</v>
      </c>
      <c r="R829" t="b">
        <v>1</v>
      </c>
      <c r="S829" t="s">
        <v>448</v>
      </c>
      <c r="T829" s="10">
        <v>0.661805555555556</v>
      </c>
      <c r="U829" s="10">
        <v>0.703472222222222</v>
      </c>
      <c r="V829">
        <v>60</v>
      </c>
      <c r="W829" t="b">
        <v>1</v>
      </c>
      <c r="X829" t="s">
        <v>50</v>
      </c>
    </row>
    <row r="830" spans="1:24">
      <c r="A830">
        <v>829</v>
      </c>
      <c r="B830" t="s">
        <v>1149</v>
      </c>
      <c r="C830" t="s">
        <v>25</v>
      </c>
      <c r="D830" s="9">
        <v>30854</v>
      </c>
      <c r="E830" s="9" t="str">
        <f t="shared" si="96"/>
        <v>31-41</v>
      </c>
      <c r="F830">
        <v>40</v>
      </c>
      <c r="G830" t="s">
        <v>17</v>
      </c>
      <c r="H830">
        <v>2</v>
      </c>
      <c r="I830" t="s">
        <v>189</v>
      </c>
      <c r="K830">
        <f t="shared" si="103"/>
        <v>0</v>
      </c>
      <c r="L830">
        <f t="shared" si="97"/>
        <v>1</v>
      </c>
      <c r="M830">
        <f t="shared" si="98"/>
        <v>1</v>
      </c>
      <c r="N830">
        <f t="shared" si="99"/>
        <v>0</v>
      </c>
      <c r="O830">
        <f t="shared" si="100"/>
        <v>0</v>
      </c>
      <c r="P830">
        <f t="shared" si="101"/>
        <v>0</v>
      </c>
      <c r="Q830">
        <f t="shared" si="102"/>
        <v>0</v>
      </c>
      <c r="R830" t="b">
        <v>1</v>
      </c>
      <c r="S830" t="s">
        <v>598</v>
      </c>
      <c r="T830" s="10">
        <v>0.402777777777778</v>
      </c>
      <c r="U830" s="10">
        <v>0.426388888888889</v>
      </c>
      <c r="V830">
        <v>34</v>
      </c>
      <c r="W830" t="b">
        <v>1</v>
      </c>
      <c r="X830" t="s">
        <v>50</v>
      </c>
    </row>
    <row r="831" spans="1:24">
      <c r="A831">
        <v>830</v>
      </c>
      <c r="B831" t="s">
        <v>1150</v>
      </c>
      <c r="C831" t="s">
        <v>25</v>
      </c>
      <c r="D831" s="9">
        <v>30040</v>
      </c>
      <c r="E831" s="9" t="str">
        <f t="shared" si="96"/>
        <v>41-50</v>
      </c>
      <c r="F831">
        <v>42</v>
      </c>
      <c r="G831" t="s">
        <v>17</v>
      </c>
      <c r="H831">
        <v>5</v>
      </c>
      <c r="I831" t="s">
        <v>283</v>
      </c>
      <c r="K831">
        <f t="shared" si="103"/>
        <v>1</v>
      </c>
      <c r="L831">
        <f t="shared" si="97"/>
        <v>1</v>
      </c>
      <c r="M831">
        <f t="shared" si="98"/>
        <v>1</v>
      </c>
      <c r="N831">
        <f t="shared" si="99"/>
        <v>0</v>
      </c>
      <c r="O831">
        <f t="shared" si="100"/>
        <v>1</v>
      </c>
      <c r="P831">
        <f t="shared" si="101"/>
        <v>1</v>
      </c>
      <c r="Q831">
        <f t="shared" si="102"/>
        <v>0</v>
      </c>
      <c r="R831" t="b">
        <v>1</v>
      </c>
      <c r="S831" t="s">
        <v>649</v>
      </c>
      <c r="T831" s="10">
        <v>0.503472222222222</v>
      </c>
      <c r="U831" s="10">
        <v>0.608333333333333</v>
      </c>
      <c r="V831">
        <v>151</v>
      </c>
      <c r="W831" t="b">
        <v>1</v>
      </c>
      <c r="X831" t="s">
        <v>28</v>
      </c>
    </row>
    <row r="832" spans="1:24">
      <c r="A832">
        <v>831</v>
      </c>
      <c r="B832" t="s">
        <v>1151</v>
      </c>
      <c r="C832" t="s">
        <v>25</v>
      </c>
      <c r="D832" s="9">
        <v>35335</v>
      </c>
      <c r="E832" s="9" t="str">
        <f t="shared" si="96"/>
        <v>20-30</v>
      </c>
      <c r="F832">
        <v>28</v>
      </c>
      <c r="G832" t="s">
        <v>21</v>
      </c>
      <c r="H832">
        <v>4</v>
      </c>
      <c r="I832" t="s">
        <v>212</v>
      </c>
      <c r="K832">
        <f t="shared" si="103"/>
        <v>0</v>
      </c>
      <c r="L832">
        <f t="shared" si="97"/>
        <v>1</v>
      </c>
      <c r="M832">
        <f t="shared" si="98"/>
        <v>1</v>
      </c>
      <c r="N832">
        <f t="shared" si="99"/>
        <v>1</v>
      </c>
      <c r="O832">
        <f t="shared" si="100"/>
        <v>0</v>
      </c>
      <c r="P832">
        <f t="shared" si="101"/>
        <v>1</v>
      </c>
      <c r="Q832">
        <f t="shared" si="102"/>
        <v>0</v>
      </c>
      <c r="R832" t="b">
        <v>0</v>
      </c>
      <c r="T832" s="10">
        <v>0.399305555555556</v>
      </c>
      <c r="U832" s="10">
        <v>0.499305555555556</v>
      </c>
      <c r="V832">
        <v>144</v>
      </c>
      <c r="W832" t="b">
        <v>1</v>
      </c>
      <c r="X832" t="s">
        <v>28</v>
      </c>
    </row>
    <row r="833" spans="1:24">
      <c r="A833">
        <v>832</v>
      </c>
      <c r="B833" t="s">
        <v>1152</v>
      </c>
      <c r="C833" t="s">
        <v>16</v>
      </c>
      <c r="D833" s="9">
        <v>39656</v>
      </c>
      <c r="E833" s="9" t="str">
        <f t="shared" si="96"/>
        <v>below 20</v>
      </c>
      <c r="F833">
        <v>16</v>
      </c>
      <c r="G833" t="s">
        <v>17</v>
      </c>
      <c r="H833">
        <v>1</v>
      </c>
      <c r="I833" t="s">
        <v>35</v>
      </c>
      <c r="K833">
        <f t="shared" si="103"/>
        <v>0</v>
      </c>
      <c r="L833">
        <f t="shared" si="97"/>
        <v>0</v>
      </c>
      <c r="M833">
        <f t="shared" si="98"/>
        <v>1</v>
      </c>
      <c r="N833">
        <f t="shared" si="99"/>
        <v>0</v>
      </c>
      <c r="O833">
        <f t="shared" si="100"/>
        <v>0</v>
      </c>
      <c r="P833">
        <f t="shared" si="101"/>
        <v>0</v>
      </c>
      <c r="Q833">
        <f t="shared" si="102"/>
        <v>0</v>
      </c>
      <c r="R833" t="b">
        <v>0</v>
      </c>
      <c r="T833" s="10">
        <v>0.361805555555556</v>
      </c>
      <c r="U833" s="10">
        <v>0.454861111111111</v>
      </c>
      <c r="V833">
        <v>134</v>
      </c>
      <c r="W833" t="b">
        <v>0</v>
      </c>
    </row>
    <row r="834" spans="1:24">
      <c r="A834">
        <v>833</v>
      </c>
      <c r="B834" t="s">
        <v>1153</v>
      </c>
      <c r="C834" t="s">
        <v>16</v>
      </c>
      <c r="D834" s="9">
        <v>36486</v>
      </c>
      <c r="E834" s="9" t="str">
        <f t="shared" ref="E834:E897" si="104">IF(F834&lt;20,"below 20",IF(F834&lt;=30,"20-30",IF(F834&lt;=40,"31-41",IF(F834&lt;=50,"41-50","above 50"))))</f>
        <v>20-30</v>
      </c>
      <c r="F834">
        <v>24</v>
      </c>
      <c r="G834" t="s">
        <v>21</v>
      </c>
      <c r="H834">
        <v>2</v>
      </c>
      <c r="I834" t="s">
        <v>133</v>
      </c>
      <c r="K834">
        <f t="shared" si="103"/>
        <v>1</v>
      </c>
      <c r="L834">
        <f t="shared" si="97"/>
        <v>0</v>
      </c>
      <c r="M834">
        <f t="shared" si="98"/>
        <v>1</v>
      </c>
      <c r="N834">
        <f t="shared" si="99"/>
        <v>0</v>
      </c>
      <c r="O834">
        <f t="shared" si="100"/>
        <v>0</v>
      </c>
      <c r="P834">
        <f t="shared" si="101"/>
        <v>0</v>
      </c>
      <c r="Q834">
        <f t="shared" si="102"/>
        <v>0</v>
      </c>
      <c r="R834" t="b">
        <v>1</v>
      </c>
      <c r="S834" t="s">
        <v>729</v>
      </c>
      <c r="T834" s="10">
        <v>0.738888888888889</v>
      </c>
      <c r="U834" s="10">
        <v>0.805555555555555</v>
      </c>
      <c r="V834">
        <v>96</v>
      </c>
      <c r="W834" t="b">
        <v>1</v>
      </c>
      <c r="X834" t="s">
        <v>50</v>
      </c>
    </row>
    <row r="835" spans="1:24">
      <c r="A835">
        <v>834</v>
      </c>
      <c r="B835" t="s">
        <v>1154</v>
      </c>
      <c r="C835" t="s">
        <v>25</v>
      </c>
      <c r="D835" s="9">
        <v>40265</v>
      </c>
      <c r="E835" s="9" t="str">
        <f t="shared" si="104"/>
        <v>below 20</v>
      </c>
      <c r="F835">
        <v>14</v>
      </c>
      <c r="G835" t="s">
        <v>21</v>
      </c>
      <c r="H835">
        <v>3</v>
      </c>
      <c r="I835" t="s">
        <v>295</v>
      </c>
      <c r="K835">
        <f t="shared" si="103"/>
        <v>1</v>
      </c>
      <c r="L835">
        <f t="shared" ref="L835:L898" si="105">--ISNUMBER(SEARCH("Mon",I835))</f>
        <v>0</v>
      </c>
      <c r="M835">
        <f t="shared" ref="M835:M898" si="106">--ISNUMBER(SEARCH("Tue",I835))</f>
        <v>0</v>
      </c>
      <c r="N835">
        <f t="shared" ref="N835:N898" si="107">--ISNUMBER(SEARCH("Wed",I835))</f>
        <v>0</v>
      </c>
      <c r="O835">
        <f t="shared" ref="O835:O898" si="108">--ISNUMBER(SEARCH("Thu",I835))</f>
        <v>1</v>
      </c>
      <c r="P835">
        <f t="shared" ref="P835:P898" si="109">--ISNUMBER(SEARCH("Fri",I835))</f>
        <v>0</v>
      </c>
      <c r="Q835">
        <f t="shared" ref="Q835:Q898" si="110">--ISNUMBER(SEARCH("Sat",I835))</f>
        <v>1</v>
      </c>
      <c r="R835" t="b">
        <v>0</v>
      </c>
      <c r="T835" s="10">
        <v>0.802777777777778</v>
      </c>
      <c r="U835" s="10">
        <v>0.854166666666667</v>
      </c>
      <c r="V835">
        <v>74</v>
      </c>
      <c r="W835" t="b">
        <v>1</v>
      </c>
      <c r="X835" t="s">
        <v>50</v>
      </c>
    </row>
    <row r="836" spans="1:24">
      <c r="A836">
        <v>835</v>
      </c>
      <c r="B836" t="s">
        <v>1155</v>
      </c>
      <c r="C836" t="s">
        <v>16</v>
      </c>
      <c r="D836" s="9">
        <v>37933</v>
      </c>
      <c r="E836" s="9" t="str">
        <f t="shared" si="104"/>
        <v>20-30</v>
      </c>
      <c r="F836">
        <v>20</v>
      </c>
      <c r="G836" t="s">
        <v>17</v>
      </c>
      <c r="H836">
        <v>3</v>
      </c>
      <c r="I836" t="s">
        <v>74</v>
      </c>
      <c r="K836">
        <f t="shared" si="103"/>
        <v>1</v>
      </c>
      <c r="L836">
        <f t="shared" si="105"/>
        <v>1</v>
      </c>
      <c r="M836">
        <f t="shared" si="106"/>
        <v>0</v>
      </c>
      <c r="N836">
        <f t="shared" si="107"/>
        <v>0</v>
      </c>
      <c r="O836">
        <f t="shared" si="108"/>
        <v>0</v>
      </c>
      <c r="P836">
        <f t="shared" si="109"/>
        <v>1</v>
      </c>
      <c r="Q836">
        <f t="shared" si="110"/>
        <v>0</v>
      </c>
      <c r="R836" t="b">
        <v>0</v>
      </c>
      <c r="T836" s="10">
        <v>0.650694444444444</v>
      </c>
      <c r="U836" s="10">
        <v>0.704166666666667</v>
      </c>
      <c r="V836">
        <v>77</v>
      </c>
      <c r="W836" t="b">
        <v>1</v>
      </c>
      <c r="X836" t="s">
        <v>50</v>
      </c>
    </row>
    <row r="837" spans="1:24">
      <c r="A837">
        <v>836</v>
      </c>
      <c r="B837" t="s">
        <v>1156</v>
      </c>
      <c r="C837" t="s">
        <v>16</v>
      </c>
      <c r="D837" s="9">
        <v>30579</v>
      </c>
      <c r="E837" s="9" t="str">
        <f t="shared" si="104"/>
        <v>41-50</v>
      </c>
      <c r="F837">
        <v>41</v>
      </c>
      <c r="G837" t="s">
        <v>21</v>
      </c>
      <c r="H837">
        <v>1</v>
      </c>
      <c r="I837" t="s">
        <v>35</v>
      </c>
      <c r="K837">
        <f t="shared" ref="K837:K900" si="111">--ISNUMBER(SEARCH("Sun",I837))</f>
        <v>0</v>
      </c>
      <c r="L837">
        <f t="shared" si="105"/>
        <v>0</v>
      </c>
      <c r="M837">
        <f t="shared" si="106"/>
        <v>1</v>
      </c>
      <c r="N837">
        <f t="shared" si="107"/>
        <v>0</v>
      </c>
      <c r="O837">
        <f t="shared" si="108"/>
        <v>0</v>
      </c>
      <c r="P837">
        <f t="shared" si="109"/>
        <v>0</v>
      </c>
      <c r="Q837">
        <f t="shared" si="110"/>
        <v>0</v>
      </c>
      <c r="R837" t="b">
        <v>1</v>
      </c>
      <c r="S837" t="s">
        <v>1157</v>
      </c>
      <c r="T837" s="10">
        <v>0.406944444444444</v>
      </c>
      <c r="U837" s="10">
        <v>0.494444444444444</v>
      </c>
      <c r="V837">
        <v>126</v>
      </c>
      <c r="W837" t="b">
        <v>1</v>
      </c>
      <c r="X837" t="s">
        <v>23</v>
      </c>
    </row>
    <row r="838" spans="1:24">
      <c r="A838">
        <v>837</v>
      </c>
      <c r="B838" t="s">
        <v>1158</v>
      </c>
      <c r="C838" t="s">
        <v>25</v>
      </c>
      <c r="D838" s="9">
        <v>36884</v>
      </c>
      <c r="E838" s="9" t="str">
        <f t="shared" si="104"/>
        <v>20-30</v>
      </c>
      <c r="F838">
        <v>23</v>
      </c>
      <c r="G838" t="s">
        <v>17</v>
      </c>
      <c r="H838">
        <v>2</v>
      </c>
      <c r="I838" t="s">
        <v>101</v>
      </c>
      <c r="K838">
        <f t="shared" si="111"/>
        <v>0</v>
      </c>
      <c r="L838">
        <f t="shared" si="105"/>
        <v>0</v>
      </c>
      <c r="M838">
        <f t="shared" si="106"/>
        <v>0</v>
      </c>
      <c r="N838">
        <f t="shared" si="107"/>
        <v>0</v>
      </c>
      <c r="O838">
        <f t="shared" si="108"/>
        <v>0</v>
      </c>
      <c r="P838">
        <f t="shared" si="109"/>
        <v>1</v>
      </c>
      <c r="Q838">
        <f t="shared" si="110"/>
        <v>1</v>
      </c>
      <c r="R838" t="b">
        <v>0</v>
      </c>
      <c r="T838" s="10">
        <v>0.799305555555556</v>
      </c>
      <c r="U838" s="10">
        <v>0.886805555555556</v>
      </c>
      <c r="V838">
        <v>126</v>
      </c>
      <c r="W838" t="b">
        <v>1</v>
      </c>
      <c r="X838" t="s">
        <v>23</v>
      </c>
    </row>
    <row r="839" spans="1:24">
      <c r="A839">
        <v>838</v>
      </c>
      <c r="B839" t="s">
        <v>1159</v>
      </c>
      <c r="C839" t="s">
        <v>25</v>
      </c>
      <c r="D839" s="9">
        <v>27604</v>
      </c>
      <c r="E839" s="9" t="str">
        <f t="shared" si="104"/>
        <v>41-50</v>
      </c>
      <c r="F839">
        <v>49</v>
      </c>
      <c r="G839" t="s">
        <v>21</v>
      </c>
      <c r="H839">
        <v>3</v>
      </c>
      <c r="I839" t="s">
        <v>164</v>
      </c>
      <c r="K839">
        <f t="shared" si="111"/>
        <v>0</v>
      </c>
      <c r="L839">
        <f t="shared" si="105"/>
        <v>0</v>
      </c>
      <c r="M839">
        <f t="shared" si="106"/>
        <v>1</v>
      </c>
      <c r="N839">
        <f t="shared" si="107"/>
        <v>0</v>
      </c>
      <c r="O839">
        <f t="shared" si="108"/>
        <v>1</v>
      </c>
      <c r="P839">
        <f t="shared" si="109"/>
        <v>1</v>
      </c>
      <c r="Q839">
        <f t="shared" si="110"/>
        <v>0</v>
      </c>
      <c r="R839" t="b">
        <v>1</v>
      </c>
      <c r="S839" t="s">
        <v>912</v>
      </c>
      <c r="T839" s="10">
        <v>0.861111111111111</v>
      </c>
      <c r="U839" s="10">
        <v>0.961805555555555</v>
      </c>
      <c r="V839">
        <v>145</v>
      </c>
      <c r="W839" t="b">
        <v>1</v>
      </c>
      <c r="X839" t="s">
        <v>28</v>
      </c>
    </row>
    <row r="840" spans="1:24">
      <c r="A840">
        <v>839</v>
      </c>
      <c r="B840" t="s">
        <v>1160</v>
      </c>
      <c r="C840" t="s">
        <v>16</v>
      </c>
      <c r="D840" s="9">
        <v>28848</v>
      </c>
      <c r="E840" s="9" t="str">
        <f t="shared" si="104"/>
        <v>41-50</v>
      </c>
      <c r="F840">
        <v>45</v>
      </c>
      <c r="G840" t="s">
        <v>21</v>
      </c>
      <c r="H840">
        <v>2</v>
      </c>
      <c r="I840" t="s">
        <v>111</v>
      </c>
      <c r="K840">
        <f t="shared" si="111"/>
        <v>0</v>
      </c>
      <c r="L840">
        <f t="shared" si="105"/>
        <v>1</v>
      </c>
      <c r="M840">
        <f t="shared" si="106"/>
        <v>0</v>
      </c>
      <c r="N840">
        <f t="shared" si="107"/>
        <v>0</v>
      </c>
      <c r="O840">
        <f t="shared" si="108"/>
        <v>0</v>
      </c>
      <c r="P840">
        <f t="shared" si="109"/>
        <v>0</v>
      </c>
      <c r="Q840">
        <f t="shared" si="110"/>
        <v>1</v>
      </c>
      <c r="R840" t="b">
        <v>0</v>
      </c>
      <c r="T840" s="10">
        <v>0.370833333333333</v>
      </c>
      <c r="U840" s="10">
        <v>0.402777777777778</v>
      </c>
      <c r="V840">
        <v>46</v>
      </c>
      <c r="W840" t="b">
        <v>1</v>
      </c>
      <c r="X840" t="s">
        <v>50</v>
      </c>
    </row>
    <row r="841" spans="1:24">
      <c r="A841">
        <v>840</v>
      </c>
      <c r="B841" t="s">
        <v>1161</v>
      </c>
      <c r="C841" t="s">
        <v>16</v>
      </c>
      <c r="D841" s="9">
        <v>27710</v>
      </c>
      <c r="E841" s="9" t="str">
        <f t="shared" si="104"/>
        <v>41-50</v>
      </c>
      <c r="F841">
        <v>48</v>
      </c>
      <c r="G841" t="s">
        <v>21</v>
      </c>
      <c r="H841">
        <v>2</v>
      </c>
      <c r="I841" t="s">
        <v>509</v>
      </c>
      <c r="K841">
        <f t="shared" si="111"/>
        <v>0</v>
      </c>
      <c r="L841">
        <f t="shared" si="105"/>
        <v>0</v>
      </c>
      <c r="M841">
        <f t="shared" si="106"/>
        <v>1</v>
      </c>
      <c r="N841">
        <f t="shared" si="107"/>
        <v>0</v>
      </c>
      <c r="O841">
        <f t="shared" si="108"/>
        <v>0</v>
      </c>
      <c r="P841">
        <f t="shared" si="109"/>
        <v>0</v>
      </c>
      <c r="Q841">
        <f t="shared" si="110"/>
        <v>1</v>
      </c>
      <c r="R841" t="b">
        <v>0</v>
      </c>
      <c r="T841" s="10">
        <v>0.851388888888889</v>
      </c>
      <c r="U841" s="10">
        <v>0.936805555555556</v>
      </c>
      <c r="V841">
        <v>123</v>
      </c>
      <c r="W841" t="b">
        <v>1</v>
      </c>
      <c r="X841" t="s">
        <v>50</v>
      </c>
    </row>
    <row r="842" spans="1:24">
      <c r="A842">
        <v>841</v>
      </c>
      <c r="B842" t="s">
        <v>1162</v>
      </c>
      <c r="C842" t="s">
        <v>16</v>
      </c>
      <c r="D842" s="9">
        <v>34958</v>
      </c>
      <c r="E842" s="9" t="str">
        <f t="shared" si="104"/>
        <v>20-30</v>
      </c>
      <c r="F842">
        <v>29</v>
      </c>
      <c r="G842" t="s">
        <v>21</v>
      </c>
      <c r="H842">
        <v>3</v>
      </c>
      <c r="I842" t="s">
        <v>74</v>
      </c>
      <c r="K842">
        <f t="shared" si="111"/>
        <v>1</v>
      </c>
      <c r="L842">
        <f t="shared" si="105"/>
        <v>1</v>
      </c>
      <c r="M842">
        <f t="shared" si="106"/>
        <v>0</v>
      </c>
      <c r="N842">
        <f t="shared" si="107"/>
        <v>0</v>
      </c>
      <c r="O842">
        <f t="shared" si="108"/>
        <v>0</v>
      </c>
      <c r="P842">
        <f t="shared" si="109"/>
        <v>1</v>
      </c>
      <c r="Q842">
        <f t="shared" si="110"/>
        <v>0</v>
      </c>
      <c r="R842" t="b">
        <v>0</v>
      </c>
      <c r="T842" s="10">
        <v>0.458333333333333</v>
      </c>
      <c r="U842" s="10">
        <v>0.545833333333333</v>
      </c>
      <c r="V842">
        <v>126</v>
      </c>
      <c r="W842" t="b">
        <v>0</v>
      </c>
    </row>
    <row r="843" spans="1:24">
      <c r="A843">
        <v>842</v>
      </c>
      <c r="B843" t="s">
        <v>1163</v>
      </c>
      <c r="C843" t="s">
        <v>16</v>
      </c>
      <c r="D843" s="9">
        <v>34088</v>
      </c>
      <c r="E843" s="9" t="str">
        <f t="shared" si="104"/>
        <v>31-41</v>
      </c>
      <c r="F843">
        <v>31</v>
      </c>
      <c r="G843" t="s">
        <v>21</v>
      </c>
      <c r="H843">
        <v>5</v>
      </c>
      <c r="I843" t="s">
        <v>177</v>
      </c>
      <c r="K843">
        <f t="shared" si="111"/>
        <v>1</v>
      </c>
      <c r="L843">
        <f t="shared" si="105"/>
        <v>1</v>
      </c>
      <c r="M843">
        <f t="shared" si="106"/>
        <v>0</v>
      </c>
      <c r="N843">
        <f t="shared" si="107"/>
        <v>0</v>
      </c>
      <c r="O843">
        <f t="shared" si="108"/>
        <v>1</v>
      </c>
      <c r="P843">
        <f t="shared" si="109"/>
        <v>1</v>
      </c>
      <c r="Q843">
        <f t="shared" si="110"/>
        <v>1</v>
      </c>
      <c r="R843" t="b">
        <v>1</v>
      </c>
      <c r="S843" t="s">
        <v>67</v>
      </c>
      <c r="T843" s="10">
        <v>0.407638888888889</v>
      </c>
      <c r="U843" s="10">
        <v>0.4875</v>
      </c>
      <c r="V843">
        <v>115</v>
      </c>
      <c r="W843" t="b">
        <v>1</v>
      </c>
      <c r="X843" t="s">
        <v>23</v>
      </c>
    </row>
    <row r="844" spans="1:24">
      <c r="A844">
        <v>843</v>
      </c>
      <c r="B844" t="s">
        <v>1164</v>
      </c>
      <c r="C844" t="s">
        <v>16</v>
      </c>
      <c r="D844" s="9">
        <v>34770</v>
      </c>
      <c r="E844" s="9" t="str">
        <f t="shared" si="104"/>
        <v>20-30</v>
      </c>
      <c r="F844">
        <v>29</v>
      </c>
      <c r="G844" t="s">
        <v>17</v>
      </c>
      <c r="H844">
        <v>1</v>
      </c>
      <c r="I844" t="s">
        <v>49</v>
      </c>
      <c r="K844">
        <f t="shared" si="111"/>
        <v>0</v>
      </c>
      <c r="L844">
        <f t="shared" si="105"/>
        <v>0</v>
      </c>
      <c r="M844">
        <f t="shared" si="106"/>
        <v>0</v>
      </c>
      <c r="N844">
        <f t="shared" si="107"/>
        <v>0</v>
      </c>
      <c r="O844">
        <f t="shared" si="108"/>
        <v>1</v>
      </c>
      <c r="P844">
        <f t="shared" si="109"/>
        <v>0</v>
      </c>
      <c r="Q844">
        <f t="shared" si="110"/>
        <v>0</v>
      </c>
      <c r="R844" t="b">
        <v>1</v>
      </c>
      <c r="S844" t="s">
        <v>83</v>
      </c>
      <c r="T844" s="10">
        <v>0.798611111111111</v>
      </c>
      <c r="U844" s="10">
        <v>0.826388888888889</v>
      </c>
      <c r="V844">
        <v>40</v>
      </c>
      <c r="W844" t="b">
        <v>1</v>
      </c>
      <c r="X844" t="s">
        <v>28</v>
      </c>
    </row>
    <row r="845" spans="1:24">
      <c r="A845">
        <v>844</v>
      </c>
      <c r="B845" t="s">
        <v>1165</v>
      </c>
      <c r="C845" t="s">
        <v>25</v>
      </c>
      <c r="D845" s="9">
        <v>29870</v>
      </c>
      <c r="E845" s="9" t="str">
        <f t="shared" si="104"/>
        <v>41-50</v>
      </c>
      <c r="F845">
        <v>42</v>
      </c>
      <c r="G845" t="s">
        <v>17</v>
      </c>
      <c r="H845">
        <v>3</v>
      </c>
      <c r="I845" t="s">
        <v>159</v>
      </c>
      <c r="K845">
        <f t="shared" si="111"/>
        <v>0</v>
      </c>
      <c r="L845">
        <f t="shared" si="105"/>
        <v>1</v>
      </c>
      <c r="M845">
        <f t="shared" si="106"/>
        <v>0</v>
      </c>
      <c r="N845">
        <f t="shared" si="107"/>
        <v>0</v>
      </c>
      <c r="O845">
        <f t="shared" si="108"/>
        <v>1</v>
      </c>
      <c r="P845">
        <f t="shared" si="109"/>
        <v>0</v>
      </c>
      <c r="Q845">
        <f t="shared" si="110"/>
        <v>1</v>
      </c>
      <c r="R845" t="b">
        <v>1</v>
      </c>
      <c r="S845" t="s">
        <v>19</v>
      </c>
      <c r="T845" s="10">
        <v>0.569444444444444</v>
      </c>
      <c r="U845" s="10">
        <v>0.602777777777778</v>
      </c>
      <c r="V845">
        <v>48</v>
      </c>
      <c r="W845" t="b">
        <v>1</v>
      </c>
      <c r="X845" t="s">
        <v>28</v>
      </c>
    </row>
    <row r="846" spans="1:24">
      <c r="A846">
        <v>845</v>
      </c>
      <c r="B846" t="s">
        <v>536</v>
      </c>
      <c r="C846" t="s">
        <v>25</v>
      </c>
      <c r="D846" s="9">
        <v>34704</v>
      </c>
      <c r="E846" s="9" t="str">
        <f t="shared" si="104"/>
        <v>20-30</v>
      </c>
      <c r="F846">
        <v>29</v>
      </c>
      <c r="G846" t="s">
        <v>21</v>
      </c>
      <c r="H846">
        <v>2</v>
      </c>
      <c r="I846" t="s">
        <v>133</v>
      </c>
      <c r="K846">
        <f t="shared" si="111"/>
        <v>1</v>
      </c>
      <c r="L846">
        <f t="shared" si="105"/>
        <v>0</v>
      </c>
      <c r="M846">
        <f t="shared" si="106"/>
        <v>1</v>
      </c>
      <c r="N846">
        <f t="shared" si="107"/>
        <v>0</v>
      </c>
      <c r="O846">
        <f t="shared" si="108"/>
        <v>0</v>
      </c>
      <c r="P846">
        <f t="shared" si="109"/>
        <v>0</v>
      </c>
      <c r="Q846">
        <f t="shared" si="110"/>
        <v>0</v>
      </c>
      <c r="R846" t="b">
        <v>0</v>
      </c>
      <c r="T846" s="10">
        <v>0.714583333333333</v>
      </c>
      <c r="U846" s="10">
        <v>0.770833333333333</v>
      </c>
      <c r="V846">
        <v>81</v>
      </c>
      <c r="W846" t="b">
        <v>1</v>
      </c>
      <c r="X846" t="s">
        <v>50</v>
      </c>
    </row>
    <row r="847" spans="1:24">
      <c r="A847">
        <v>846</v>
      </c>
      <c r="B847" t="s">
        <v>1166</v>
      </c>
      <c r="C847" t="s">
        <v>25</v>
      </c>
      <c r="D847" s="9">
        <v>28869</v>
      </c>
      <c r="E847" s="9" t="str">
        <f t="shared" si="104"/>
        <v>41-50</v>
      </c>
      <c r="F847">
        <v>45</v>
      </c>
      <c r="G847" t="s">
        <v>21</v>
      </c>
      <c r="H847">
        <v>2</v>
      </c>
      <c r="I847" t="s">
        <v>40</v>
      </c>
      <c r="K847">
        <f t="shared" si="111"/>
        <v>1</v>
      </c>
      <c r="L847">
        <f t="shared" si="105"/>
        <v>0</v>
      </c>
      <c r="M847">
        <f t="shared" si="106"/>
        <v>0</v>
      </c>
      <c r="N847">
        <f t="shared" si="107"/>
        <v>0</v>
      </c>
      <c r="O847">
        <f t="shared" si="108"/>
        <v>0</v>
      </c>
      <c r="P847">
        <f t="shared" si="109"/>
        <v>0</v>
      </c>
      <c r="Q847">
        <f t="shared" si="110"/>
        <v>1</v>
      </c>
      <c r="R847" t="b">
        <v>1</v>
      </c>
      <c r="S847" t="s">
        <v>1043</v>
      </c>
      <c r="T847" s="10">
        <v>0.665972222222222</v>
      </c>
      <c r="U847" s="10">
        <v>0.744444444444444</v>
      </c>
      <c r="V847">
        <v>113</v>
      </c>
      <c r="W847" t="b">
        <v>1</v>
      </c>
      <c r="X847" t="s">
        <v>50</v>
      </c>
    </row>
    <row r="848" spans="1:24">
      <c r="A848">
        <v>847</v>
      </c>
      <c r="B848" t="s">
        <v>1167</v>
      </c>
      <c r="C848" t="s">
        <v>25</v>
      </c>
      <c r="D848" s="9">
        <v>34648</v>
      </c>
      <c r="E848" s="9" t="str">
        <f t="shared" si="104"/>
        <v>20-30</v>
      </c>
      <c r="F848">
        <v>29</v>
      </c>
      <c r="G848" t="s">
        <v>21</v>
      </c>
      <c r="H848">
        <v>1</v>
      </c>
      <c r="I848" t="s">
        <v>185</v>
      </c>
      <c r="K848">
        <f t="shared" si="111"/>
        <v>0</v>
      </c>
      <c r="L848">
        <f t="shared" si="105"/>
        <v>0</v>
      </c>
      <c r="M848">
        <f t="shared" si="106"/>
        <v>0</v>
      </c>
      <c r="N848">
        <f t="shared" si="107"/>
        <v>1</v>
      </c>
      <c r="O848">
        <f t="shared" si="108"/>
        <v>0</v>
      </c>
      <c r="P848">
        <f t="shared" si="109"/>
        <v>0</v>
      </c>
      <c r="Q848">
        <f t="shared" si="110"/>
        <v>0</v>
      </c>
      <c r="R848" t="b">
        <v>0</v>
      </c>
      <c r="T848" s="10">
        <v>0.863194444444444</v>
      </c>
      <c r="U848" s="10">
        <v>0.959027777777778</v>
      </c>
      <c r="V848">
        <v>138</v>
      </c>
      <c r="W848" t="b">
        <v>1</v>
      </c>
      <c r="X848" t="s">
        <v>28</v>
      </c>
    </row>
    <row r="849" spans="1:24">
      <c r="A849">
        <v>848</v>
      </c>
      <c r="B849" t="s">
        <v>1168</v>
      </c>
      <c r="C849" t="s">
        <v>25</v>
      </c>
      <c r="D849" s="9">
        <v>36697</v>
      </c>
      <c r="E849" s="9" t="str">
        <f t="shared" si="104"/>
        <v>20-30</v>
      </c>
      <c r="F849">
        <v>24</v>
      </c>
      <c r="G849" t="s">
        <v>21</v>
      </c>
      <c r="H849">
        <v>3</v>
      </c>
      <c r="I849" t="s">
        <v>245</v>
      </c>
      <c r="K849">
        <f t="shared" si="111"/>
        <v>1</v>
      </c>
      <c r="L849">
        <f t="shared" si="105"/>
        <v>0</v>
      </c>
      <c r="M849">
        <f t="shared" si="106"/>
        <v>1</v>
      </c>
      <c r="N849">
        <f t="shared" si="107"/>
        <v>0</v>
      </c>
      <c r="O849">
        <f t="shared" si="108"/>
        <v>0</v>
      </c>
      <c r="P849">
        <f t="shared" si="109"/>
        <v>1</v>
      </c>
      <c r="Q849">
        <f t="shared" si="110"/>
        <v>0</v>
      </c>
      <c r="R849" t="b">
        <v>1</v>
      </c>
      <c r="S849" t="s">
        <v>93</v>
      </c>
      <c r="T849" s="10">
        <v>0.5</v>
      </c>
      <c r="U849" s="10">
        <v>0.538194444444444</v>
      </c>
      <c r="V849">
        <v>55</v>
      </c>
      <c r="W849" t="b">
        <v>0</v>
      </c>
    </row>
    <row r="850" spans="1:24">
      <c r="A850">
        <v>849</v>
      </c>
      <c r="B850" t="s">
        <v>1169</v>
      </c>
      <c r="C850" t="s">
        <v>16</v>
      </c>
      <c r="D850" s="9">
        <v>31155</v>
      </c>
      <c r="E850" s="9" t="str">
        <f t="shared" si="104"/>
        <v>31-41</v>
      </c>
      <c r="F850">
        <v>39</v>
      </c>
      <c r="G850" t="s">
        <v>17</v>
      </c>
      <c r="H850">
        <v>3</v>
      </c>
      <c r="I850" t="s">
        <v>245</v>
      </c>
      <c r="K850">
        <f t="shared" si="111"/>
        <v>1</v>
      </c>
      <c r="L850">
        <f t="shared" si="105"/>
        <v>0</v>
      </c>
      <c r="M850">
        <f t="shared" si="106"/>
        <v>1</v>
      </c>
      <c r="N850">
        <f t="shared" si="107"/>
        <v>0</v>
      </c>
      <c r="O850">
        <f t="shared" si="108"/>
        <v>0</v>
      </c>
      <c r="P850">
        <f t="shared" si="109"/>
        <v>1</v>
      </c>
      <c r="Q850">
        <f t="shared" si="110"/>
        <v>0</v>
      </c>
      <c r="R850" t="b">
        <v>1</v>
      </c>
      <c r="S850" t="s">
        <v>1170</v>
      </c>
      <c r="T850" s="10">
        <v>0.692361111111111</v>
      </c>
      <c r="U850" s="10">
        <v>0.814583333333333</v>
      </c>
      <c r="V850">
        <v>176</v>
      </c>
      <c r="W850" t="b">
        <v>1</v>
      </c>
      <c r="X850" t="s">
        <v>47</v>
      </c>
    </row>
    <row r="851" spans="1:24">
      <c r="A851">
        <v>850</v>
      </c>
      <c r="B851" t="s">
        <v>1171</v>
      </c>
      <c r="C851" t="s">
        <v>25</v>
      </c>
      <c r="D851" s="9">
        <v>33318</v>
      </c>
      <c r="E851" s="9" t="str">
        <f t="shared" si="104"/>
        <v>31-41</v>
      </c>
      <c r="F851">
        <v>33</v>
      </c>
      <c r="G851" t="s">
        <v>21</v>
      </c>
      <c r="H851">
        <v>2</v>
      </c>
      <c r="I851" t="s">
        <v>187</v>
      </c>
      <c r="K851">
        <f t="shared" si="111"/>
        <v>0</v>
      </c>
      <c r="L851">
        <f t="shared" si="105"/>
        <v>0</v>
      </c>
      <c r="M851">
        <f t="shared" si="106"/>
        <v>0</v>
      </c>
      <c r="N851">
        <f t="shared" si="107"/>
        <v>1</v>
      </c>
      <c r="O851">
        <f t="shared" si="108"/>
        <v>1</v>
      </c>
      <c r="P851">
        <f t="shared" si="109"/>
        <v>0</v>
      </c>
      <c r="Q851">
        <f t="shared" si="110"/>
        <v>0</v>
      </c>
      <c r="R851" t="b">
        <v>1</v>
      </c>
      <c r="S851" t="s">
        <v>1172</v>
      </c>
      <c r="T851" s="10">
        <v>0.622222222222222</v>
      </c>
      <c r="U851" s="10">
        <v>0.684722222222222</v>
      </c>
      <c r="V851">
        <v>90</v>
      </c>
      <c r="W851" t="b">
        <v>1</v>
      </c>
      <c r="X851" t="s">
        <v>28</v>
      </c>
    </row>
    <row r="852" spans="1:24">
      <c r="A852">
        <v>851</v>
      </c>
      <c r="B852" t="s">
        <v>1173</v>
      </c>
      <c r="C852" t="s">
        <v>16</v>
      </c>
      <c r="D852" s="9">
        <v>39317</v>
      </c>
      <c r="E852" s="9" t="str">
        <f t="shared" si="104"/>
        <v>below 20</v>
      </c>
      <c r="F852">
        <v>17</v>
      </c>
      <c r="G852" t="s">
        <v>21</v>
      </c>
      <c r="H852">
        <v>2</v>
      </c>
      <c r="I852" t="s">
        <v>133</v>
      </c>
      <c r="K852">
        <f t="shared" si="111"/>
        <v>1</v>
      </c>
      <c r="L852">
        <f t="shared" si="105"/>
        <v>0</v>
      </c>
      <c r="M852">
        <f t="shared" si="106"/>
        <v>1</v>
      </c>
      <c r="N852">
        <f t="shared" si="107"/>
        <v>0</v>
      </c>
      <c r="O852">
        <f t="shared" si="108"/>
        <v>0</v>
      </c>
      <c r="P852">
        <f t="shared" si="109"/>
        <v>0</v>
      </c>
      <c r="Q852">
        <f t="shared" si="110"/>
        <v>0</v>
      </c>
      <c r="R852" t="b">
        <v>0</v>
      </c>
      <c r="T852" s="10">
        <v>0.3375</v>
      </c>
      <c r="U852" s="10">
        <v>0.405555555555556</v>
      </c>
      <c r="V852">
        <v>98</v>
      </c>
      <c r="W852" t="b">
        <v>0</v>
      </c>
    </row>
    <row r="853" spans="1:24">
      <c r="A853">
        <v>852</v>
      </c>
      <c r="B853" t="s">
        <v>1174</v>
      </c>
      <c r="C853" t="s">
        <v>16</v>
      </c>
      <c r="D853" s="9">
        <v>32737</v>
      </c>
      <c r="E853" s="9" t="str">
        <f t="shared" si="104"/>
        <v>31-41</v>
      </c>
      <c r="F853">
        <v>35</v>
      </c>
      <c r="G853" t="s">
        <v>21</v>
      </c>
      <c r="H853">
        <v>4</v>
      </c>
      <c r="I853" t="s">
        <v>672</v>
      </c>
      <c r="K853">
        <f t="shared" si="111"/>
        <v>0</v>
      </c>
      <c r="L853">
        <f t="shared" si="105"/>
        <v>0</v>
      </c>
      <c r="M853">
        <f t="shared" si="106"/>
        <v>1</v>
      </c>
      <c r="N853">
        <f t="shared" si="107"/>
        <v>1</v>
      </c>
      <c r="O853">
        <f t="shared" si="108"/>
        <v>1</v>
      </c>
      <c r="P853">
        <f t="shared" si="109"/>
        <v>1</v>
      </c>
      <c r="Q853">
        <f t="shared" si="110"/>
        <v>0</v>
      </c>
      <c r="R853" t="b">
        <v>0</v>
      </c>
      <c r="T853" s="10">
        <v>0.654861111111111</v>
      </c>
      <c r="U853" s="10">
        <v>0.730555555555556</v>
      </c>
      <c r="V853">
        <v>109</v>
      </c>
      <c r="W853" t="b">
        <v>1</v>
      </c>
      <c r="X853" t="s">
        <v>50</v>
      </c>
    </row>
    <row r="854" spans="1:24">
      <c r="A854">
        <v>853</v>
      </c>
      <c r="B854" t="s">
        <v>1175</v>
      </c>
      <c r="C854" t="s">
        <v>25</v>
      </c>
      <c r="D854" s="9">
        <v>31241</v>
      </c>
      <c r="E854" s="9" t="str">
        <f t="shared" si="104"/>
        <v>31-41</v>
      </c>
      <c r="F854">
        <v>39</v>
      </c>
      <c r="G854" t="s">
        <v>17</v>
      </c>
      <c r="H854">
        <v>3</v>
      </c>
      <c r="I854" t="s">
        <v>251</v>
      </c>
      <c r="K854">
        <f t="shared" si="111"/>
        <v>1</v>
      </c>
      <c r="L854">
        <f t="shared" si="105"/>
        <v>0</v>
      </c>
      <c r="M854">
        <f t="shared" si="106"/>
        <v>1</v>
      </c>
      <c r="N854">
        <f t="shared" si="107"/>
        <v>1</v>
      </c>
      <c r="O854">
        <f t="shared" si="108"/>
        <v>0</v>
      </c>
      <c r="P854">
        <f t="shared" si="109"/>
        <v>0</v>
      </c>
      <c r="Q854">
        <f t="shared" si="110"/>
        <v>0</v>
      </c>
      <c r="R854" t="b">
        <v>1</v>
      </c>
      <c r="S854" t="s">
        <v>1176</v>
      </c>
      <c r="T854" s="10">
        <v>0.511111111111111</v>
      </c>
      <c r="U854" s="10">
        <v>0.6125</v>
      </c>
      <c r="V854">
        <v>146</v>
      </c>
      <c r="W854" t="b">
        <v>0</v>
      </c>
    </row>
    <row r="855" spans="1:24">
      <c r="A855">
        <v>854</v>
      </c>
      <c r="B855" t="s">
        <v>1177</v>
      </c>
      <c r="C855" t="s">
        <v>16</v>
      </c>
      <c r="D855" s="9">
        <v>36097</v>
      </c>
      <c r="E855" s="9" t="str">
        <f t="shared" si="104"/>
        <v>20-30</v>
      </c>
      <c r="F855">
        <v>25</v>
      </c>
      <c r="G855" t="s">
        <v>17</v>
      </c>
      <c r="H855">
        <v>2</v>
      </c>
      <c r="I855" t="s">
        <v>203</v>
      </c>
      <c r="K855">
        <f t="shared" si="111"/>
        <v>1</v>
      </c>
      <c r="L855">
        <f t="shared" si="105"/>
        <v>0</v>
      </c>
      <c r="M855">
        <f t="shared" si="106"/>
        <v>0</v>
      </c>
      <c r="N855">
        <f t="shared" si="107"/>
        <v>0</v>
      </c>
      <c r="O855">
        <f t="shared" si="108"/>
        <v>0</v>
      </c>
      <c r="P855">
        <f t="shared" si="109"/>
        <v>1</v>
      </c>
      <c r="Q855">
        <f t="shared" si="110"/>
        <v>0</v>
      </c>
      <c r="R855" t="b">
        <v>0</v>
      </c>
      <c r="T855" s="10">
        <v>0.847222222222222</v>
      </c>
      <c r="U855" s="10">
        <v>0.969444444444444</v>
      </c>
      <c r="V855">
        <v>176</v>
      </c>
      <c r="W855" t="b">
        <v>0</v>
      </c>
    </row>
    <row r="856" spans="1:24">
      <c r="A856">
        <v>855</v>
      </c>
      <c r="B856" t="s">
        <v>1178</v>
      </c>
      <c r="C856" t="s">
        <v>25</v>
      </c>
      <c r="D856" s="9">
        <v>40258</v>
      </c>
      <c r="E856" s="9" t="str">
        <f t="shared" si="104"/>
        <v>below 20</v>
      </c>
      <c r="F856">
        <v>14</v>
      </c>
      <c r="G856" t="s">
        <v>17</v>
      </c>
      <c r="H856">
        <v>1</v>
      </c>
      <c r="I856" t="s">
        <v>81</v>
      </c>
      <c r="K856">
        <f t="shared" si="111"/>
        <v>0</v>
      </c>
      <c r="L856">
        <f t="shared" si="105"/>
        <v>0</v>
      </c>
      <c r="M856">
        <f t="shared" si="106"/>
        <v>0</v>
      </c>
      <c r="N856">
        <f t="shared" si="107"/>
        <v>0</v>
      </c>
      <c r="O856">
        <f t="shared" si="108"/>
        <v>0</v>
      </c>
      <c r="P856">
        <f t="shared" si="109"/>
        <v>1</v>
      </c>
      <c r="Q856">
        <f t="shared" si="110"/>
        <v>0</v>
      </c>
      <c r="R856" t="b">
        <v>0</v>
      </c>
      <c r="T856" s="10">
        <v>0.506944444444444</v>
      </c>
      <c r="U856" s="10">
        <v>0.55</v>
      </c>
      <c r="V856">
        <v>62</v>
      </c>
      <c r="W856" t="b">
        <v>0</v>
      </c>
    </row>
    <row r="857" spans="1:24">
      <c r="A857">
        <v>856</v>
      </c>
      <c r="B857" t="s">
        <v>1179</v>
      </c>
      <c r="C857" t="s">
        <v>16</v>
      </c>
      <c r="D857" s="9">
        <v>30930</v>
      </c>
      <c r="E857" s="9" t="str">
        <f t="shared" si="104"/>
        <v>31-41</v>
      </c>
      <c r="F857">
        <v>40</v>
      </c>
      <c r="G857" t="s">
        <v>21</v>
      </c>
      <c r="H857">
        <v>3</v>
      </c>
      <c r="I857" t="s">
        <v>22</v>
      </c>
      <c r="K857">
        <f t="shared" si="111"/>
        <v>1</v>
      </c>
      <c r="L857">
        <f t="shared" si="105"/>
        <v>0</v>
      </c>
      <c r="M857">
        <f t="shared" si="106"/>
        <v>0</v>
      </c>
      <c r="N857">
        <f t="shared" si="107"/>
        <v>0</v>
      </c>
      <c r="O857">
        <f t="shared" si="108"/>
        <v>0</v>
      </c>
      <c r="P857">
        <f t="shared" si="109"/>
        <v>1</v>
      </c>
      <c r="Q857">
        <f t="shared" si="110"/>
        <v>1</v>
      </c>
      <c r="R857" t="b">
        <v>1</v>
      </c>
      <c r="S857" t="s">
        <v>230</v>
      </c>
      <c r="T857" s="10">
        <v>0.711805555555555</v>
      </c>
      <c r="U857" s="10">
        <v>0.734027777777778</v>
      </c>
      <c r="V857">
        <v>32</v>
      </c>
      <c r="W857" t="b">
        <v>1</v>
      </c>
      <c r="X857" t="s">
        <v>28</v>
      </c>
    </row>
    <row r="858" spans="1:24">
      <c r="A858">
        <v>857</v>
      </c>
      <c r="B858" t="s">
        <v>1180</v>
      </c>
      <c r="C858" t="s">
        <v>16</v>
      </c>
      <c r="D858" s="9">
        <v>36256</v>
      </c>
      <c r="E858" s="9" t="str">
        <f t="shared" si="104"/>
        <v>20-30</v>
      </c>
      <c r="F858">
        <v>25</v>
      </c>
      <c r="G858" t="s">
        <v>17</v>
      </c>
      <c r="H858">
        <v>1</v>
      </c>
      <c r="I858" t="s">
        <v>46</v>
      </c>
      <c r="K858">
        <f t="shared" si="111"/>
        <v>0</v>
      </c>
      <c r="L858">
        <f t="shared" si="105"/>
        <v>1</v>
      </c>
      <c r="M858">
        <f t="shared" si="106"/>
        <v>0</v>
      </c>
      <c r="N858">
        <f t="shared" si="107"/>
        <v>0</v>
      </c>
      <c r="O858">
        <f t="shared" si="108"/>
        <v>0</v>
      </c>
      <c r="P858">
        <f t="shared" si="109"/>
        <v>0</v>
      </c>
      <c r="Q858">
        <f t="shared" si="110"/>
        <v>0</v>
      </c>
      <c r="R858" t="b">
        <v>0</v>
      </c>
      <c r="T858" s="10">
        <v>0.663194444444444</v>
      </c>
      <c r="U858" s="10">
        <v>0.702777777777778</v>
      </c>
      <c r="V858">
        <v>57</v>
      </c>
      <c r="W858" t="b">
        <v>0</v>
      </c>
    </row>
    <row r="859" spans="1:24">
      <c r="A859">
        <v>858</v>
      </c>
      <c r="B859" t="s">
        <v>1181</v>
      </c>
      <c r="C859" t="s">
        <v>16</v>
      </c>
      <c r="D859" s="9">
        <v>32172</v>
      </c>
      <c r="E859" s="9" t="str">
        <f t="shared" si="104"/>
        <v>31-41</v>
      </c>
      <c r="F859">
        <v>36</v>
      </c>
      <c r="G859" t="s">
        <v>17</v>
      </c>
      <c r="H859">
        <v>2</v>
      </c>
      <c r="I859" t="s">
        <v>189</v>
      </c>
      <c r="K859">
        <f t="shared" si="111"/>
        <v>0</v>
      </c>
      <c r="L859">
        <f t="shared" si="105"/>
        <v>1</v>
      </c>
      <c r="M859">
        <f t="shared" si="106"/>
        <v>1</v>
      </c>
      <c r="N859">
        <f t="shared" si="107"/>
        <v>0</v>
      </c>
      <c r="O859">
        <f t="shared" si="108"/>
        <v>0</v>
      </c>
      <c r="P859">
        <f t="shared" si="109"/>
        <v>0</v>
      </c>
      <c r="Q859">
        <f t="shared" si="110"/>
        <v>0</v>
      </c>
      <c r="R859" t="b">
        <v>1</v>
      </c>
      <c r="S859" t="s">
        <v>1182</v>
      </c>
      <c r="T859" s="10">
        <v>0.430555555555556</v>
      </c>
      <c r="U859" s="10">
        <v>0.538888888888889</v>
      </c>
      <c r="V859">
        <v>156</v>
      </c>
      <c r="W859" t="b">
        <v>1</v>
      </c>
      <c r="X859" t="s">
        <v>47</v>
      </c>
    </row>
    <row r="860" spans="1:24">
      <c r="A860">
        <v>859</v>
      </c>
      <c r="B860" t="s">
        <v>1183</v>
      </c>
      <c r="C860" t="s">
        <v>25</v>
      </c>
      <c r="D860" s="9">
        <v>36161</v>
      </c>
      <c r="E860" s="9" t="str">
        <f t="shared" si="104"/>
        <v>20-30</v>
      </c>
      <c r="F860">
        <v>25</v>
      </c>
      <c r="G860" t="s">
        <v>17</v>
      </c>
      <c r="H860">
        <v>3</v>
      </c>
      <c r="I860" t="s">
        <v>215</v>
      </c>
      <c r="K860">
        <f t="shared" si="111"/>
        <v>1</v>
      </c>
      <c r="L860">
        <f t="shared" si="105"/>
        <v>1</v>
      </c>
      <c r="M860">
        <f t="shared" si="106"/>
        <v>1</v>
      </c>
      <c r="N860">
        <f t="shared" si="107"/>
        <v>0</v>
      </c>
      <c r="O860">
        <f t="shared" si="108"/>
        <v>0</v>
      </c>
      <c r="P860">
        <f t="shared" si="109"/>
        <v>0</v>
      </c>
      <c r="Q860">
        <f t="shared" si="110"/>
        <v>0</v>
      </c>
      <c r="R860" t="b">
        <v>1</v>
      </c>
      <c r="S860" t="s">
        <v>230</v>
      </c>
      <c r="T860" s="10">
        <v>0.614583333333333</v>
      </c>
      <c r="U860" s="10">
        <v>0.697222222222222</v>
      </c>
      <c r="V860">
        <v>119</v>
      </c>
      <c r="W860" t="b">
        <v>0</v>
      </c>
    </row>
    <row r="861" spans="1:24">
      <c r="A861">
        <v>860</v>
      </c>
      <c r="B861" t="s">
        <v>1184</v>
      </c>
      <c r="C861" t="s">
        <v>16</v>
      </c>
      <c r="D861" s="9">
        <v>36510</v>
      </c>
      <c r="E861" s="9" t="str">
        <f t="shared" si="104"/>
        <v>20-30</v>
      </c>
      <c r="F861">
        <v>24</v>
      </c>
      <c r="G861" t="s">
        <v>17</v>
      </c>
      <c r="H861">
        <v>2</v>
      </c>
      <c r="I861" t="s">
        <v>32</v>
      </c>
      <c r="K861">
        <f t="shared" si="111"/>
        <v>0</v>
      </c>
      <c r="L861">
        <f t="shared" si="105"/>
        <v>0</v>
      </c>
      <c r="M861">
        <f t="shared" si="106"/>
        <v>1</v>
      </c>
      <c r="N861">
        <f t="shared" si="107"/>
        <v>0</v>
      </c>
      <c r="O861">
        <f t="shared" si="108"/>
        <v>1</v>
      </c>
      <c r="P861">
        <f t="shared" si="109"/>
        <v>0</v>
      </c>
      <c r="Q861">
        <f t="shared" si="110"/>
        <v>0</v>
      </c>
      <c r="R861" t="b">
        <v>1</v>
      </c>
      <c r="S861" t="s">
        <v>699</v>
      </c>
      <c r="T861" s="10">
        <v>0.772916666666667</v>
      </c>
      <c r="U861" s="10">
        <v>0.892361111111111</v>
      </c>
      <c r="V861">
        <v>172</v>
      </c>
      <c r="W861" t="b">
        <v>0</v>
      </c>
    </row>
    <row r="862" spans="1:24">
      <c r="A862">
        <v>861</v>
      </c>
      <c r="B862" t="s">
        <v>1185</v>
      </c>
      <c r="C862" t="s">
        <v>16</v>
      </c>
      <c r="D862" s="9">
        <v>32606</v>
      </c>
      <c r="E862" s="9" t="str">
        <f t="shared" si="104"/>
        <v>31-41</v>
      </c>
      <c r="F862">
        <v>35</v>
      </c>
      <c r="G862" t="s">
        <v>17</v>
      </c>
      <c r="H862">
        <v>2</v>
      </c>
      <c r="I862" t="s">
        <v>72</v>
      </c>
      <c r="K862">
        <f t="shared" si="111"/>
        <v>0</v>
      </c>
      <c r="L862">
        <f t="shared" si="105"/>
        <v>0</v>
      </c>
      <c r="M862">
        <f t="shared" si="106"/>
        <v>0</v>
      </c>
      <c r="N862">
        <f t="shared" si="107"/>
        <v>0</v>
      </c>
      <c r="O862">
        <f t="shared" si="108"/>
        <v>1</v>
      </c>
      <c r="P862">
        <f t="shared" si="109"/>
        <v>0</v>
      </c>
      <c r="Q862">
        <f t="shared" si="110"/>
        <v>1</v>
      </c>
      <c r="R862" t="b">
        <v>1</v>
      </c>
      <c r="S862" t="s">
        <v>762</v>
      </c>
      <c r="T862" s="10">
        <v>0.598611111111111</v>
      </c>
      <c r="U862" s="10">
        <v>0.668055555555556</v>
      </c>
      <c r="V862">
        <v>100</v>
      </c>
      <c r="W862" t="b">
        <v>0</v>
      </c>
    </row>
    <row r="863" spans="1:24">
      <c r="A863">
        <v>862</v>
      </c>
      <c r="B863" t="s">
        <v>1186</v>
      </c>
      <c r="C863" t="s">
        <v>25</v>
      </c>
      <c r="D863" s="9">
        <v>33971</v>
      </c>
      <c r="E863" s="9" t="str">
        <f t="shared" si="104"/>
        <v>31-41</v>
      </c>
      <c r="F863">
        <v>31</v>
      </c>
      <c r="G863" t="s">
        <v>21</v>
      </c>
      <c r="H863">
        <v>4</v>
      </c>
      <c r="I863" t="s">
        <v>212</v>
      </c>
      <c r="K863">
        <f t="shared" si="111"/>
        <v>0</v>
      </c>
      <c r="L863">
        <f t="shared" si="105"/>
        <v>1</v>
      </c>
      <c r="M863">
        <f t="shared" si="106"/>
        <v>1</v>
      </c>
      <c r="N863">
        <f t="shared" si="107"/>
        <v>1</v>
      </c>
      <c r="O863">
        <f t="shared" si="108"/>
        <v>0</v>
      </c>
      <c r="P863">
        <f t="shared" si="109"/>
        <v>1</v>
      </c>
      <c r="Q863">
        <f t="shared" si="110"/>
        <v>0</v>
      </c>
      <c r="R863" t="b">
        <v>1</v>
      </c>
      <c r="S863" t="s">
        <v>380</v>
      </c>
      <c r="T863" s="10">
        <v>0.721527777777778</v>
      </c>
      <c r="U863" s="10">
        <v>0.763888888888889</v>
      </c>
      <c r="V863">
        <v>61</v>
      </c>
      <c r="W863" t="b">
        <v>1</v>
      </c>
      <c r="X863" t="s">
        <v>28</v>
      </c>
    </row>
    <row r="864" spans="1:24">
      <c r="A864">
        <v>863</v>
      </c>
      <c r="B864" t="s">
        <v>1187</v>
      </c>
      <c r="C864" t="s">
        <v>25</v>
      </c>
      <c r="D864" s="9">
        <v>33850</v>
      </c>
      <c r="E864" s="9" t="str">
        <f t="shared" si="104"/>
        <v>31-41</v>
      </c>
      <c r="F864">
        <v>32</v>
      </c>
      <c r="G864" t="s">
        <v>17</v>
      </c>
      <c r="H864">
        <v>5</v>
      </c>
      <c r="I864" t="s">
        <v>109</v>
      </c>
      <c r="K864">
        <f t="shared" si="111"/>
        <v>1</v>
      </c>
      <c r="L864">
        <f t="shared" si="105"/>
        <v>1</v>
      </c>
      <c r="M864">
        <f t="shared" si="106"/>
        <v>1</v>
      </c>
      <c r="N864">
        <f t="shared" si="107"/>
        <v>1</v>
      </c>
      <c r="O864">
        <f t="shared" si="108"/>
        <v>0</v>
      </c>
      <c r="P864">
        <f t="shared" si="109"/>
        <v>1</v>
      </c>
      <c r="Q864">
        <f t="shared" si="110"/>
        <v>0</v>
      </c>
      <c r="R864" t="b">
        <v>0</v>
      </c>
      <c r="T864" s="10">
        <v>0.463888888888889</v>
      </c>
      <c r="U864" s="10">
        <v>0.539583333333333</v>
      </c>
      <c r="V864">
        <v>109</v>
      </c>
      <c r="W864" t="b">
        <v>0</v>
      </c>
    </row>
    <row r="865" spans="1:24">
      <c r="A865">
        <v>864</v>
      </c>
      <c r="B865" t="s">
        <v>1188</v>
      </c>
      <c r="C865" t="s">
        <v>25</v>
      </c>
      <c r="D865" s="9">
        <v>28027</v>
      </c>
      <c r="E865" s="9" t="str">
        <f t="shared" si="104"/>
        <v>41-50</v>
      </c>
      <c r="F865">
        <v>48</v>
      </c>
      <c r="G865" t="s">
        <v>17</v>
      </c>
      <c r="H865">
        <v>3</v>
      </c>
      <c r="I865" t="s">
        <v>222</v>
      </c>
      <c r="K865">
        <f t="shared" si="111"/>
        <v>0</v>
      </c>
      <c r="L865">
        <f t="shared" si="105"/>
        <v>1</v>
      </c>
      <c r="M865">
        <f t="shared" si="106"/>
        <v>1</v>
      </c>
      <c r="N865">
        <f t="shared" si="107"/>
        <v>0</v>
      </c>
      <c r="O865">
        <f t="shared" si="108"/>
        <v>0</v>
      </c>
      <c r="P865">
        <f t="shared" si="109"/>
        <v>1</v>
      </c>
      <c r="Q865">
        <f t="shared" si="110"/>
        <v>0</v>
      </c>
      <c r="R865" t="b">
        <v>1</v>
      </c>
      <c r="S865" t="s">
        <v>83</v>
      </c>
      <c r="T865" s="10">
        <v>0.667361111111111</v>
      </c>
      <c r="U865" s="10">
        <v>0.701388888888889</v>
      </c>
      <c r="V865">
        <v>49</v>
      </c>
      <c r="W865" t="b">
        <v>1</v>
      </c>
      <c r="X865" t="s">
        <v>50</v>
      </c>
    </row>
    <row r="866" spans="1:24">
      <c r="A866">
        <v>865</v>
      </c>
      <c r="B866" t="s">
        <v>1189</v>
      </c>
      <c r="C866" t="s">
        <v>25</v>
      </c>
      <c r="D866" s="9">
        <v>28932</v>
      </c>
      <c r="E866" s="9" t="str">
        <f t="shared" si="104"/>
        <v>41-50</v>
      </c>
      <c r="F866">
        <v>45</v>
      </c>
      <c r="G866" t="s">
        <v>21</v>
      </c>
      <c r="H866">
        <v>4</v>
      </c>
      <c r="I866" t="s">
        <v>1084</v>
      </c>
      <c r="K866">
        <f t="shared" si="111"/>
        <v>0</v>
      </c>
      <c r="L866">
        <f t="shared" si="105"/>
        <v>1</v>
      </c>
      <c r="M866">
        <f t="shared" si="106"/>
        <v>1</v>
      </c>
      <c r="N866">
        <f t="shared" si="107"/>
        <v>0</v>
      </c>
      <c r="O866">
        <f t="shared" si="108"/>
        <v>1</v>
      </c>
      <c r="P866">
        <f t="shared" si="109"/>
        <v>0</v>
      </c>
      <c r="Q866">
        <f t="shared" si="110"/>
        <v>1</v>
      </c>
      <c r="R866" t="b">
        <v>0</v>
      </c>
      <c r="T866" s="10">
        <v>0.471527777777778</v>
      </c>
      <c r="U866" s="10">
        <v>0.543055555555556</v>
      </c>
      <c r="V866">
        <v>103</v>
      </c>
      <c r="W866" t="b">
        <v>1</v>
      </c>
      <c r="X866" t="s">
        <v>50</v>
      </c>
    </row>
    <row r="867" spans="1:24">
      <c r="A867">
        <v>866</v>
      </c>
      <c r="B867" t="s">
        <v>1190</v>
      </c>
      <c r="C867" t="s">
        <v>16</v>
      </c>
      <c r="D867" s="9">
        <v>37447</v>
      </c>
      <c r="E867" s="9" t="str">
        <f t="shared" si="104"/>
        <v>20-30</v>
      </c>
      <c r="F867">
        <v>22</v>
      </c>
      <c r="G867" t="s">
        <v>17</v>
      </c>
      <c r="H867">
        <v>3</v>
      </c>
      <c r="I867" t="s">
        <v>215</v>
      </c>
      <c r="K867">
        <f t="shared" si="111"/>
        <v>1</v>
      </c>
      <c r="L867">
        <f t="shared" si="105"/>
        <v>1</v>
      </c>
      <c r="M867">
        <f t="shared" si="106"/>
        <v>1</v>
      </c>
      <c r="N867">
        <f t="shared" si="107"/>
        <v>0</v>
      </c>
      <c r="O867">
        <f t="shared" si="108"/>
        <v>0</v>
      </c>
      <c r="P867">
        <f t="shared" si="109"/>
        <v>0</v>
      </c>
      <c r="Q867">
        <f t="shared" si="110"/>
        <v>0</v>
      </c>
      <c r="R867" t="b">
        <v>1</v>
      </c>
      <c r="S867" t="s">
        <v>174</v>
      </c>
      <c r="T867" s="10">
        <v>0.490277777777778</v>
      </c>
      <c r="U867" s="10">
        <v>0.572916666666667</v>
      </c>
      <c r="V867">
        <v>119</v>
      </c>
      <c r="W867" t="b">
        <v>1</v>
      </c>
      <c r="X867" t="s">
        <v>23</v>
      </c>
    </row>
    <row r="868" spans="1:24">
      <c r="A868">
        <v>867</v>
      </c>
      <c r="B868" t="s">
        <v>1191</v>
      </c>
      <c r="C868" t="s">
        <v>16</v>
      </c>
      <c r="D868" s="9">
        <v>31024</v>
      </c>
      <c r="E868" s="9" t="str">
        <f t="shared" si="104"/>
        <v>31-41</v>
      </c>
      <c r="F868">
        <v>39</v>
      </c>
      <c r="G868" t="s">
        <v>21</v>
      </c>
      <c r="H868">
        <v>5</v>
      </c>
      <c r="I868" t="s">
        <v>347</v>
      </c>
      <c r="K868">
        <f t="shared" si="111"/>
        <v>0</v>
      </c>
      <c r="L868">
        <f t="shared" si="105"/>
        <v>1</v>
      </c>
      <c r="M868">
        <f t="shared" si="106"/>
        <v>1</v>
      </c>
      <c r="N868">
        <f t="shared" si="107"/>
        <v>0</v>
      </c>
      <c r="O868">
        <f t="shared" si="108"/>
        <v>1</v>
      </c>
      <c r="P868">
        <f t="shared" si="109"/>
        <v>1</v>
      </c>
      <c r="Q868">
        <f t="shared" si="110"/>
        <v>1</v>
      </c>
      <c r="R868" t="b">
        <v>1</v>
      </c>
      <c r="S868" t="s">
        <v>784</v>
      </c>
      <c r="T868" s="10">
        <v>0.670138888888889</v>
      </c>
      <c r="U868" s="10">
        <v>0.707638888888889</v>
      </c>
      <c r="V868">
        <v>54</v>
      </c>
      <c r="W868" t="b">
        <v>1</v>
      </c>
      <c r="X868" t="s">
        <v>28</v>
      </c>
    </row>
    <row r="869" spans="1:24">
      <c r="A869">
        <v>868</v>
      </c>
      <c r="B869" t="s">
        <v>1192</v>
      </c>
      <c r="C869" t="s">
        <v>16</v>
      </c>
      <c r="D869" s="9">
        <v>28889</v>
      </c>
      <c r="E869" s="9" t="str">
        <f t="shared" si="104"/>
        <v>41-50</v>
      </c>
      <c r="F869">
        <v>45</v>
      </c>
      <c r="G869" t="s">
        <v>21</v>
      </c>
      <c r="H869">
        <v>2</v>
      </c>
      <c r="I869" t="s">
        <v>40</v>
      </c>
      <c r="K869">
        <f t="shared" si="111"/>
        <v>1</v>
      </c>
      <c r="L869">
        <f t="shared" si="105"/>
        <v>0</v>
      </c>
      <c r="M869">
        <f t="shared" si="106"/>
        <v>0</v>
      </c>
      <c r="N869">
        <f t="shared" si="107"/>
        <v>0</v>
      </c>
      <c r="O869">
        <f t="shared" si="108"/>
        <v>0</v>
      </c>
      <c r="P869">
        <f t="shared" si="109"/>
        <v>0</v>
      </c>
      <c r="Q869">
        <f t="shared" si="110"/>
        <v>1</v>
      </c>
      <c r="R869" t="b">
        <v>1</v>
      </c>
      <c r="S869" t="s">
        <v>768</v>
      </c>
      <c r="T869" s="10">
        <v>0.768055555555556</v>
      </c>
      <c r="U869" s="10">
        <v>0.822916666666667</v>
      </c>
      <c r="V869">
        <v>79</v>
      </c>
      <c r="W869" t="b">
        <v>1</v>
      </c>
      <c r="X869" t="s">
        <v>28</v>
      </c>
    </row>
    <row r="870" spans="1:24">
      <c r="A870">
        <v>869</v>
      </c>
      <c r="B870" t="s">
        <v>1193</v>
      </c>
      <c r="C870" t="s">
        <v>16</v>
      </c>
      <c r="D870" s="9">
        <v>39201</v>
      </c>
      <c r="E870" s="9" t="str">
        <f t="shared" si="104"/>
        <v>below 20</v>
      </c>
      <c r="F870">
        <v>17</v>
      </c>
      <c r="G870" t="s">
        <v>21</v>
      </c>
      <c r="H870">
        <v>2</v>
      </c>
      <c r="I870" t="s">
        <v>133</v>
      </c>
      <c r="K870">
        <f t="shared" si="111"/>
        <v>1</v>
      </c>
      <c r="L870">
        <f t="shared" si="105"/>
        <v>0</v>
      </c>
      <c r="M870">
        <f t="shared" si="106"/>
        <v>1</v>
      </c>
      <c r="N870">
        <f t="shared" si="107"/>
        <v>0</v>
      </c>
      <c r="O870">
        <f t="shared" si="108"/>
        <v>0</v>
      </c>
      <c r="P870">
        <f t="shared" si="109"/>
        <v>0</v>
      </c>
      <c r="Q870">
        <f t="shared" si="110"/>
        <v>0</v>
      </c>
      <c r="R870" t="b">
        <v>1</v>
      </c>
      <c r="S870" t="s">
        <v>114</v>
      </c>
      <c r="T870" s="10">
        <v>0.50625</v>
      </c>
      <c r="U870" s="10">
        <v>0.601388888888889</v>
      </c>
      <c r="V870">
        <v>137</v>
      </c>
      <c r="W870" t="b">
        <v>1</v>
      </c>
      <c r="X870" t="s">
        <v>28</v>
      </c>
    </row>
    <row r="871" spans="1:24">
      <c r="A871">
        <v>870</v>
      </c>
      <c r="B871" t="s">
        <v>1012</v>
      </c>
      <c r="C871" t="s">
        <v>25</v>
      </c>
      <c r="D871" s="9">
        <v>32794</v>
      </c>
      <c r="E871" s="9" t="str">
        <f t="shared" si="104"/>
        <v>31-41</v>
      </c>
      <c r="F871">
        <v>34</v>
      </c>
      <c r="G871" t="s">
        <v>21</v>
      </c>
      <c r="H871">
        <v>2</v>
      </c>
      <c r="I871" t="s">
        <v>121</v>
      </c>
      <c r="K871">
        <f t="shared" si="111"/>
        <v>0</v>
      </c>
      <c r="L871">
        <f t="shared" si="105"/>
        <v>0</v>
      </c>
      <c r="M871">
        <f t="shared" si="106"/>
        <v>0</v>
      </c>
      <c r="N871">
        <f t="shared" si="107"/>
        <v>1</v>
      </c>
      <c r="O871">
        <f t="shared" si="108"/>
        <v>0</v>
      </c>
      <c r="P871">
        <f t="shared" si="109"/>
        <v>1</v>
      </c>
      <c r="Q871">
        <f t="shared" si="110"/>
        <v>0</v>
      </c>
      <c r="R871" t="b">
        <v>1</v>
      </c>
      <c r="S871" t="s">
        <v>1194</v>
      </c>
      <c r="T871" s="10">
        <v>0.540972222222222</v>
      </c>
      <c r="U871" s="10">
        <v>0.563194444444444</v>
      </c>
      <c r="V871">
        <v>32</v>
      </c>
      <c r="W871" t="b">
        <v>0</v>
      </c>
    </row>
    <row r="872" spans="1:24">
      <c r="A872">
        <v>871</v>
      </c>
      <c r="B872" t="s">
        <v>1195</v>
      </c>
      <c r="C872" t="s">
        <v>16</v>
      </c>
      <c r="D872" s="9">
        <v>33428</v>
      </c>
      <c r="E872" s="9" t="str">
        <f t="shared" si="104"/>
        <v>31-41</v>
      </c>
      <c r="F872">
        <v>33</v>
      </c>
      <c r="G872" t="s">
        <v>17</v>
      </c>
      <c r="H872">
        <v>5</v>
      </c>
      <c r="I872" t="s">
        <v>289</v>
      </c>
      <c r="K872">
        <f t="shared" si="111"/>
        <v>1</v>
      </c>
      <c r="L872">
        <f t="shared" si="105"/>
        <v>1</v>
      </c>
      <c r="M872">
        <f t="shared" si="106"/>
        <v>1</v>
      </c>
      <c r="N872">
        <f t="shared" si="107"/>
        <v>1</v>
      </c>
      <c r="O872">
        <f t="shared" si="108"/>
        <v>1</v>
      </c>
      <c r="P872">
        <f t="shared" si="109"/>
        <v>0</v>
      </c>
      <c r="Q872">
        <f t="shared" si="110"/>
        <v>0</v>
      </c>
      <c r="R872" t="b">
        <v>1</v>
      </c>
      <c r="S872" t="s">
        <v>107</v>
      </c>
      <c r="T872" s="10">
        <v>0.514583333333333</v>
      </c>
      <c r="U872" s="10">
        <v>0.613194444444444</v>
      </c>
      <c r="V872">
        <v>142</v>
      </c>
      <c r="W872" t="b">
        <v>0</v>
      </c>
    </row>
    <row r="873" spans="1:24">
      <c r="A873">
        <v>872</v>
      </c>
      <c r="B873" t="s">
        <v>436</v>
      </c>
      <c r="C873" t="s">
        <v>25</v>
      </c>
      <c r="D873" s="9">
        <v>40382</v>
      </c>
      <c r="E873" s="9" t="str">
        <f t="shared" si="104"/>
        <v>below 20</v>
      </c>
      <c r="F873">
        <v>14</v>
      </c>
      <c r="G873" t="s">
        <v>21</v>
      </c>
      <c r="H873">
        <v>2</v>
      </c>
      <c r="I873" t="s">
        <v>187</v>
      </c>
      <c r="K873">
        <f t="shared" si="111"/>
        <v>0</v>
      </c>
      <c r="L873">
        <f t="shared" si="105"/>
        <v>0</v>
      </c>
      <c r="M873">
        <f t="shared" si="106"/>
        <v>0</v>
      </c>
      <c r="N873">
        <f t="shared" si="107"/>
        <v>1</v>
      </c>
      <c r="O873">
        <f t="shared" si="108"/>
        <v>1</v>
      </c>
      <c r="P873">
        <f t="shared" si="109"/>
        <v>0</v>
      </c>
      <c r="Q873">
        <f t="shared" si="110"/>
        <v>0</v>
      </c>
      <c r="R873" t="b">
        <v>0</v>
      </c>
      <c r="T873" s="10">
        <v>0.406944444444444</v>
      </c>
      <c r="U873" s="10">
        <v>0.480555555555556</v>
      </c>
      <c r="V873">
        <v>106</v>
      </c>
      <c r="W873" t="b">
        <v>0</v>
      </c>
    </row>
    <row r="874" spans="1:24">
      <c r="A874">
        <v>873</v>
      </c>
      <c r="B874" t="s">
        <v>1196</v>
      </c>
      <c r="C874" t="s">
        <v>25</v>
      </c>
      <c r="D874" s="9">
        <v>30828</v>
      </c>
      <c r="E874" s="9" t="str">
        <f t="shared" si="104"/>
        <v>31-41</v>
      </c>
      <c r="F874">
        <v>40</v>
      </c>
      <c r="G874" t="s">
        <v>21</v>
      </c>
      <c r="H874">
        <v>1</v>
      </c>
      <c r="I874" t="s">
        <v>59</v>
      </c>
      <c r="K874">
        <f t="shared" si="111"/>
        <v>0</v>
      </c>
      <c r="L874">
        <f t="shared" si="105"/>
        <v>0</v>
      </c>
      <c r="M874">
        <f t="shared" si="106"/>
        <v>0</v>
      </c>
      <c r="N874">
        <f t="shared" si="107"/>
        <v>0</v>
      </c>
      <c r="O874">
        <f t="shared" si="108"/>
        <v>0</v>
      </c>
      <c r="P874">
        <f t="shared" si="109"/>
        <v>0</v>
      </c>
      <c r="Q874">
        <f t="shared" si="110"/>
        <v>1</v>
      </c>
      <c r="R874" t="b">
        <v>0</v>
      </c>
      <c r="T874" s="10">
        <v>0.852083333333333</v>
      </c>
      <c r="U874" s="10">
        <v>0.938888888888889</v>
      </c>
      <c r="V874">
        <v>125</v>
      </c>
      <c r="W874" t="b">
        <v>0</v>
      </c>
    </row>
    <row r="875" spans="1:24">
      <c r="A875">
        <v>874</v>
      </c>
      <c r="B875" t="s">
        <v>590</v>
      </c>
      <c r="C875" t="s">
        <v>16</v>
      </c>
      <c r="D875" s="9">
        <v>37124</v>
      </c>
      <c r="E875" s="9" t="str">
        <f t="shared" si="104"/>
        <v>20-30</v>
      </c>
      <c r="F875">
        <v>23</v>
      </c>
      <c r="G875" t="s">
        <v>17</v>
      </c>
      <c r="H875">
        <v>2</v>
      </c>
      <c r="I875" t="s">
        <v>306</v>
      </c>
      <c r="K875">
        <f t="shared" si="111"/>
        <v>1</v>
      </c>
      <c r="L875">
        <f t="shared" si="105"/>
        <v>0</v>
      </c>
      <c r="M875">
        <f t="shared" si="106"/>
        <v>0</v>
      </c>
      <c r="N875">
        <f t="shared" si="107"/>
        <v>0</v>
      </c>
      <c r="O875">
        <f t="shared" si="108"/>
        <v>1</v>
      </c>
      <c r="P875">
        <f t="shared" si="109"/>
        <v>0</v>
      </c>
      <c r="Q875">
        <f t="shared" si="110"/>
        <v>0</v>
      </c>
      <c r="R875" t="b">
        <v>1</v>
      </c>
      <c r="S875" t="s">
        <v>1197</v>
      </c>
      <c r="T875" s="10">
        <v>0.6125</v>
      </c>
      <c r="U875" s="10">
        <v>0.669444444444444</v>
      </c>
      <c r="V875">
        <v>82</v>
      </c>
      <c r="W875" t="b">
        <v>1</v>
      </c>
      <c r="X875" t="s">
        <v>47</v>
      </c>
    </row>
    <row r="876" spans="1:24">
      <c r="A876">
        <v>875</v>
      </c>
      <c r="B876" t="s">
        <v>868</v>
      </c>
      <c r="C876" t="s">
        <v>25</v>
      </c>
      <c r="D876" s="9">
        <v>40194</v>
      </c>
      <c r="E876" s="9" t="str">
        <f t="shared" si="104"/>
        <v>below 20</v>
      </c>
      <c r="F876">
        <v>14</v>
      </c>
      <c r="G876" t="s">
        <v>17</v>
      </c>
      <c r="H876">
        <v>2</v>
      </c>
      <c r="I876" t="s">
        <v>306</v>
      </c>
      <c r="K876">
        <f t="shared" si="111"/>
        <v>1</v>
      </c>
      <c r="L876">
        <f t="shared" si="105"/>
        <v>0</v>
      </c>
      <c r="M876">
        <f t="shared" si="106"/>
        <v>0</v>
      </c>
      <c r="N876">
        <f t="shared" si="107"/>
        <v>0</v>
      </c>
      <c r="O876">
        <f t="shared" si="108"/>
        <v>1</v>
      </c>
      <c r="P876">
        <f t="shared" si="109"/>
        <v>0</v>
      </c>
      <c r="Q876">
        <f t="shared" si="110"/>
        <v>0</v>
      </c>
      <c r="R876" t="b">
        <v>1</v>
      </c>
      <c r="S876" t="s">
        <v>134</v>
      </c>
      <c r="T876" s="10">
        <v>0.572916666666667</v>
      </c>
      <c r="U876" s="10">
        <v>0.611805555555556</v>
      </c>
      <c r="V876">
        <v>56</v>
      </c>
      <c r="W876" t="b">
        <v>0</v>
      </c>
    </row>
    <row r="877" spans="1:24">
      <c r="A877">
        <v>876</v>
      </c>
      <c r="B877" t="s">
        <v>1198</v>
      </c>
      <c r="C877" t="s">
        <v>16</v>
      </c>
      <c r="D877" s="9">
        <v>40925</v>
      </c>
      <c r="E877" s="9" t="str">
        <f t="shared" si="104"/>
        <v>below 20</v>
      </c>
      <c r="F877">
        <v>12</v>
      </c>
      <c r="G877" t="s">
        <v>21</v>
      </c>
      <c r="H877">
        <v>5</v>
      </c>
      <c r="I877" t="s">
        <v>177</v>
      </c>
      <c r="K877">
        <f t="shared" si="111"/>
        <v>1</v>
      </c>
      <c r="L877">
        <f t="shared" si="105"/>
        <v>1</v>
      </c>
      <c r="M877">
        <f t="shared" si="106"/>
        <v>0</v>
      </c>
      <c r="N877">
        <f t="shared" si="107"/>
        <v>0</v>
      </c>
      <c r="O877">
        <f t="shared" si="108"/>
        <v>1</v>
      </c>
      <c r="P877">
        <f t="shared" si="109"/>
        <v>1</v>
      </c>
      <c r="Q877">
        <f t="shared" si="110"/>
        <v>1</v>
      </c>
      <c r="R877" t="b">
        <v>1</v>
      </c>
      <c r="S877" t="s">
        <v>1199</v>
      </c>
      <c r="T877" s="10">
        <v>0.772222222222222</v>
      </c>
      <c r="U877" s="10">
        <v>0.846527777777778</v>
      </c>
      <c r="V877">
        <v>107</v>
      </c>
      <c r="W877" t="b">
        <v>0</v>
      </c>
    </row>
    <row r="878" spans="1:24">
      <c r="A878">
        <v>877</v>
      </c>
      <c r="B878" t="s">
        <v>1200</v>
      </c>
      <c r="C878" t="s">
        <v>25</v>
      </c>
      <c r="D878" s="9">
        <v>39940</v>
      </c>
      <c r="E878" s="9" t="str">
        <f t="shared" si="104"/>
        <v>below 20</v>
      </c>
      <c r="F878">
        <v>15</v>
      </c>
      <c r="G878" t="s">
        <v>21</v>
      </c>
      <c r="H878">
        <v>2</v>
      </c>
      <c r="I878" t="s">
        <v>461</v>
      </c>
      <c r="K878">
        <f t="shared" si="111"/>
        <v>0</v>
      </c>
      <c r="L878">
        <f t="shared" si="105"/>
        <v>0</v>
      </c>
      <c r="M878">
        <f t="shared" si="106"/>
        <v>0</v>
      </c>
      <c r="N878">
        <f t="shared" si="107"/>
        <v>0</v>
      </c>
      <c r="O878">
        <f t="shared" si="108"/>
        <v>1</v>
      </c>
      <c r="P878">
        <f t="shared" si="109"/>
        <v>1</v>
      </c>
      <c r="Q878">
        <f t="shared" si="110"/>
        <v>0</v>
      </c>
      <c r="R878" t="b">
        <v>0</v>
      </c>
      <c r="T878" s="10">
        <v>0.383333333333333</v>
      </c>
      <c r="U878" s="10">
        <v>0.454166666666667</v>
      </c>
      <c r="V878">
        <v>102</v>
      </c>
      <c r="W878" t="b">
        <v>1</v>
      </c>
      <c r="X878" t="s">
        <v>50</v>
      </c>
    </row>
    <row r="879" spans="1:24">
      <c r="A879">
        <v>878</v>
      </c>
      <c r="B879" t="s">
        <v>959</v>
      </c>
      <c r="C879" t="s">
        <v>16</v>
      </c>
      <c r="D879" s="9">
        <v>38147</v>
      </c>
      <c r="E879" s="9" t="str">
        <f t="shared" si="104"/>
        <v>20-30</v>
      </c>
      <c r="F879">
        <v>20</v>
      </c>
      <c r="G879" t="s">
        <v>17</v>
      </c>
      <c r="H879">
        <v>3</v>
      </c>
      <c r="I879" t="s">
        <v>266</v>
      </c>
      <c r="K879">
        <f t="shared" si="111"/>
        <v>1</v>
      </c>
      <c r="L879">
        <f t="shared" si="105"/>
        <v>0</v>
      </c>
      <c r="M879">
        <f t="shared" si="106"/>
        <v>0</v>
      </c>
      <c r="N879">
        <f t="shared" si="107"/>
        <v>0</v>
      </c>
      <c r="O879">
        <f t="shared" si="108"/>
        <v>1</v>
      </c>
      <c r="P879">
        <f t="shared" si="109"/>
        <v>1</v>
      </c>
      <c r="Q879">
        <f t="shared" si="110"/>
        <v>0</v>
      </c>
      <c r="R879" t="b">
        <v>0</v>
      </c>
      <c r="T879" s="10">
        <v>0.586111111111111</v>
      </c>
      <c r="U879" s="10">
        <v>0.645833333333333</v>
      </c>
      <c r="V879">
        <v>86</v>
      </c>
      <c r="W879" t="b">
        <v>0</v>
      </c>
    </row>
    <row r="880" spans="1:24">
      <c r="A880">
        <v>879</v>
      </c>
      <c r="B880" t="s">
        <v>1201</v>
      </c>
      <c r="C880" t="s">
        <v>16</v>
      </c>
      <c r="D880" s="9">
        <v>37612</v>
      </c>
      <c r="E880" s="9" t="str">
        <f t="shared" si="104"/>
        <v>20-30</v>
      </c>
      <c r="F880">
        <v>21</v>
      </c>
      <c r="G880" t="s">
        <v>17</v>
      </c>
      <c r="H880">
        <v>3</v>
      </c>
      <c r="I880" t="s">
        <v>79</v>
      </c>
      <c r="K880">
        <f t="shared" si="111"/>
        <v>0</v>
      </c>
      <c r="L880">
        <f t="shared" si="105"/>
        <v>1</v>
      </c>
      <c r="M880">
        <f t="shared" si="106"/>
        <v>0</v>
      </c>
      <c r="N880">
        <f t="shared" si="107"/>
        <v>0</v>
      </c>
      <c r="O880">
        <f t="shared" si="108"/>
        <v>0</v>
      </c>
      <c r="P880">
        <f t="shared" si="109"/>
        <v>1</v>
      </c>
      <c r="Q880">
        <f t="shared" si="110"/>
        <v>1</v>
      </c>
      <c r="R880" t="b">
        <v>0</v>
      </c>
      <c r="T880" s="10">
        <v>0.44375</v>
      </c>
      <c r="U880" s="10">
        <v>0.480555555555556</v>
      </c>
      <c r="V880">
        <v>53</v>
      </c>
      <c r="W880" t="b">
        <v>1</v>
      </c>
      <c r="X880" t="s">
        <v>23</v>
      </c>
    </row>
    <row r="881" spans="1:24">
      <c r="A881">
        <v>880</v>
      </c>
      <c r="B881" t="s">
        <v>1202</v>
      </c>
      <c r="C881" t="s">
        <v>16</v>
      </c>
      <c r="D881" s="9">
        <v>34735</v>
      </c>
      <c r="E881" s="9" t="str">
        <f t="shared" si="104"/>
        <v>20-30</v>
      </c>
      <c r="F881">
        <v>29</v>
      </c>
      <c r="G881" t="s">
        <v>17</v>
      </c>
      <c r="H881">
        <v>2</v>
      </c>
      <c r="I881" t="s">
        <v>203</v>
      </c>
      <c r="K881">
        <f t="shared" si="111"/>
        <v>1</v>
      </c>
      <c r="L881">
        <f t="shared" si="105"/>
        <v>0</v>
      </c>
      <c r="M881">
        <f t="shared" si="106"/>
        <v>0</v>
      </c>
      <c r="N881">
        <f t="shared" si="107"/>
        <v>0</v>
      </c>
      <c r="O881">
        <f t="shared" si="108"/>
        <v>0</v>
      </c>
      <c r="P881">
        <f t="shared" si="109"/>
        <v>1</v>
      </c>
      <c r="Q881">
        <f t="shared" si="110"/>
        <v>0</v>
      </c>
      <c r="R881" t="b">
        <v>0</v>
      </c>
      <c r="T881" s="10">
        <v>0.459722222222222</v>
      </c>
      <c r="U881" s="10">
        <v>0.574305555555556</v>
      </c>
      <c r="V881">
        <v>165</v>
      </c>
      <c r="W881" t="b">
        <v>1</v>
      </c>
      <c r="X881" t="s">
        <v>23</v>
      </c>
    </row>
    <row r="882" spans="1:24">
      <c r="A882">
        <v>881</v>
      </c>
      <c r="B882" t="s">
        <v>449</v>
      </c>
      <c r="C882" t="s">
        <v>25</v>
      </c>
      <c r="D882" s="9">
        <v>36791</v>
      </c>
      <c r="E882" s="9" t="str">
        <f t="shared" si="104"/>
        <v>20-30</v>
      </c>
      <c r="F882">
        <v>24</v>
      </c>
      <c r="G882" t="s">
        <v>21</v>
      </c>
      <c r="H882">
        <v>3</v>
      </c>
      <c r="I882" t="s">
        <v>79</v>
      </c>
      <c r="K882">
        <f t="shared" si="111"/>
        <v>0</v>
      </c>
      <c r="L882">
        <f t="shared" si="105"/>
        <v>1</v>
      </c>
      <c r="M882">
        <f t="shared" si="106"/>
        <v>0</v>
      </c>
      <c r="N882">
        <f t="shared" si="107"/>
        <v>0</v>
      </c>
      <c r="O882">
        <f t="shared" si="108"/>
        <v>0</v>
      </c>
      <c r="P882">
        <f t="shared" si="109"/>
        <v>1</v>
      </c>
      <c r="Q882">
        <f t="shared" si="110"/>
        <v>1</v>
      </c>
      <c r="R882" t="b">
        <v>0</v>
      </c>
      <c r="T882" s="10">
        <v>0.448611111111111</v>
      </c>
      <c r="U882" s="10">
        <v>0.5</v>
      </c>
      <c r="V882">
        <v>74</v>
      </c>
      <c r="W882" t="b">
        <v>1</v>
      </c>
      <c r="X882" t="s">
        <v>47</v>
      </c>
    </row>
    <row r="883" spans="1:24">
      <c r="A883">
        <v>882</v>
      </c>
      <c r="B883" t="s">
        <v>1203</v>
      </c>
      <c r="C883" t="s">
        <v>16</v>
      </c>
      <c r="D883" s="9">
        <v>34803</v>
      </c>
      <c r="E883" s="9" t="str">
        <f t="shared" si="104"/>
        <v>20-30</v>
      </c>
      <c r="F883">
        <v>29</v>
      </c>
      <c r="G883" t="s">
        <v>21</v>
      </c>
      <c r="H883">
        <v>2</v>
      </c>
      <c r="I883" t="s">
        <v>259</v>
      </c>
      <c r="K883">
        <f t="shared" si="111"/>
        <v>0</v>
      </c>
      <c r="L883">
        <f t="shared" si="105"/>
        <v>1</v>
      </c>
      <c r="M883">
        <f t="shared" si="106"/>
        <v>0</v>
      </c>
      <c r="N883">
        <f t="shared" si="107"/>
        <v>0</v>
      </c>
      <c r="O883">
        <f t="shared" si="108"/>
        <v>1</v>
      </c>
      <c r="P883">
        <f t="shared" si="109"/>
        <v>0</v>
      </c>
      <c r="Q883">
        <f t="shared" si="110"/>
        <v>0</v>
      </c>
      <c r="R883" t="b">
        <v>0</v>
      </c>
      <c r="T883" s="10">
        <v>0.652083333333333</v>
      </c>
      <c r="U883" s="10">
        <v>0.755555555555556</v>
      </c>
      <c r="V883">
        <v>149</v>
      </c>
      <c r="W883" t="b">
        <v>1</v>
      </c>
      <c r="X883" t="s">
        <v>50</v>
      </c>
    </row>
    <row r="884" spans="1:24">
      <c r="A884">
        <v>883</v>
      </c>
      <c r="B884" t="s">
        <v>1204</v>
      </c>
      <c r="C884" t="s">
        <v>16</v>
      </c>
      <c r="D884" s="9">
        <v>40455</v>
      </c>
      <c r="E884" s="9" t="str">
        <f t="shared" si="104"/>
        <v>below 20</v>
      </c>
      <c r="F884">
        <v>13</v>
      </c>
      <c r="G884" t="s">
        <v>17</v>
      </c>
      <c r="H884">
        <v>3</v>
      </c>
      <c r="I884" t="s">
        <v>315</v>
      </c>
      <c r="K884">
        <f t="shared" si="111"/>
        <v>0</v>
      </c>
      <c r="L884">
        <f t="shared" si="105"/>
        <v>0</v>
      </c>
      <c r="M884">
        <f t="shared" si="106"/>
        <v>1</v>
      </c>
      <c r="N884">
        <f t="shared" si="107"/>
        <v>0</v>
      </c>
      <c r="O884">
        <f t="shared" si="108"/>
        <v>1</v>
      </c>
      <c r="P884">
        <f t="shared" si="109"/>
        <v>0</v>
      </c>
      <c r="Q884">
        <f t="shared" si="110"/>
        <v>1</v>
      </c>
      <c r="R884" t="b">
        <v>1</v>
      </c>
      <c r="S884" t="s">
        <v>1089</v>
      </c>
      <c r="T884" s="10">
        <v>0.646527777777778</v>
      </c>
      <c r="U884" s="10">
        <v>0.744444444444444</v>
      </c>
      <c r="V884">
        <v>141</v>
      </c>
      <c r="W884" t="b">
        <v>0</v>
      </c>
    </row>
    <row r="885" spans="1:24">
      <c r="A885">
        <v>884</v>
      </c>
      <c r="B885" t="s">
        <v>1205</v>
      </c>
      <c r="C885" t="s">
        <v>25</v>
      </c>
      <c r="D885" s="9">
        <v>27566</v>
      </c>
      <c r="E885" s="9" t="str">
        <f t="shared" si="104"/>
        <v>41-50</v>
      </c>
      <c r="F885">
        <v>49</v>
      </c>
      <c r="G885" t="s">
        <v>21</v>
      </c>
      <c r="H885">
        <v>1</v>
      </c>
      <c r="I885" t="s">
        <v>46</v>
      </c>
      <c r="K885">
        <f t="shared" si="111"/>
        <v>0</v>
      </c>
      <c r="L885">
        <f t="shared" si="105"/>
        <v>1</v>
      </c>
      <c r="M885">
        <f t="shared" si="106"/>
        <v>0</v>
      </c>
      <c r="N885">
        <f t="shared" si="107"/>
        <v>0</v>
      </c>
      <c r="O885">
        <f t="shared" si="108"/>
        <v>0</v>
      </c>
      <c r="P885">
        <f t="shared" si="109"/>
        <v>0</v>
      </c>
      <c r="Q885">
        <f t="shared" si="110"/>
        <v>0</v>
      </c>
      <c r="R885" t="b">
        <v>1</v>
      </c>
      <c r="S885" t="s">
        <v>1206</v>
      </c>
      <c r="T885" s="10">
        <v>0.679166666666667</v>
      </c>
      <c r="U885" s="10">
        <v>0.743055555555555</v>
      </c>
      <c r="V885">
        <v>92</v>
      </c>
      <c r="W885" t="b">
        <v>0</v>
      </c>
    </row>
    <row r="886" spans="1:24">
      <c r="A886">
        <v>885</v>
      </c>
      <c r="B886" t="s">
        <v>1207</v>
      </c>
      <c r="C886" t="s">
        <v>16</v>
      </c>
      <c r="D886" s="9">
        <v>31993</v>
      </c>
      <c r="E886" s="9" t="str">
        <f t="shared" si="104"/>
        <v>31-41</v>
      </c>
      <c r="F886">
        <v>37</v>
      </c>
      <c r="G886" t="s">
        <v>21</v>
      </c>
      <c r="H886">
        <v>3</v>
      </c>
      <c r="I886" t="s">
        <v>148</v>
      </c>
      <c r="K886">
        <f t="shared" si="111"/>
        <v>0</v>
      </c>
      <c r="L886">
        <f t="shared" si="105"/>
        <v>0</v>
      </c>
      <c r="M886">
        <f t="shared" si="106"/>
        <v>0</v>
      </c>
      <c r="N886">
        <f t="shared" si="107"/>
        <v>1</v>
      </c>
      <c r="O886">
        <f t="shared" si="108"/>
        <v>1</v>
      </c>
      <c r="P886">
        <f t="shared" si="109"/>
        <v>1</v>
      </c>
      <c r="Q886">
        <f t="shared" si="110"/>
        <v>0</v>
      </c>
      <c r="R886" t="b">
        <v>0</v>
      </c>
      <c r="T886" s="10">
        <v>0.60625</v>
      </c>
      <c r="U886" s="10">
        <v>0.673611111111111</v>
      </c>
      <c r="V886">
        <v>97</v>
      </c>
      <c r="W886" t="b">
        <v>0</v>
      </c>
    </row>
    <row r="887" spans="1:24">
      <c r="A887">
        <v>886</v>
      </c>
      <c r="B887" t="s">
        <v>1208</v>
      </c>
      <c r="C887" t="s">
        <v>16</v>
      </c>
      <c r="D887" s="9">
        <v>38431</v>
      </c>
      <c r="E887" s="9" t="str">
        <f t="shared" si="104"/>
        <v>below 20</v>
      </c>
      <c r="F887">
        <v>19</v>
      </c>
      <c r="G887" t="s">
        <v>21</v>
      </c>
      <c r="H887">
        <v>4</v>
      </c>
      <c r="I887" t="s">
        <v>168</v>
      </c>
      <c r="K887">
        <f t="shared" si="111"/>
        <v>1</v>
      </c>
      <c r="L887">
        <f t="shared" si="105"/>
        <v>0</v>
      </c>
      <c r="M887">
        <f t="shared" si="106"/>
        <v>1</v>
      </c>
      <c r="N887">
        <f t="shared" si="107"/>
        <v>1</v>
      </c>
      <c r="O887">
        <f t="shared" si="108"/>
        <v>0</v>
      </c>
      <c r="P887">
        <f t="shared" si="109"/>
        <v>0</v>
      </c>
      <c r="Q887">
        <f t="shared" si="110"/>
        <v>1</v>
      </c>
      <c r="R887" t="b">
        <v>1</v>
      </c>
      <c r="S887" t="s">
        <v>1209</v>
      </c>
      <c r="T887" s="10">
        <v>0.657638888888889</v>
      </c>
      <c r="U887" s="10">
        <v>0.760416666666667</v>
      </c>
      <c r="V887">
        <v>148</v>
      </c>
      <c r="W887" t="b">
        <v>0</v>
      </c>
    </row>
    <row r="888" spans="1:24">
      <c r="A888">
        <v>887</v>
      </c>
      <c r="B888" t="s">
        <v>369</v>
      </c>
      <c r="C888" t="s">
        <v>25</v>
      </c>
      <c r="D888" s="9">
        <v>36823</v>
      </c>
      <c r="E888" s="9" t="str">
        <f t="shared" si="104"/>
        <v>20-30</v>
      </c>
      <c r="F888">
        <v>23</v>
      </c>
      <c r="G888" t="s">
        <v>17</v>
      </c>
      <c r="H888">
        <v>2</v>
      </c>
      <c r="I888" t="s">
        <v>509</v>
      </c>
      <c r="K888">
        <f t="shared" si="111"/>
        <v>0</v>
      </c>
      <c r="L888">
        <f t="shared" si="105"/>
        <v>0</v>
      </c>
      <c r="M888">
        <f t="shared" si="106"/>
        <v>1</v>
      </c>
      <c r="N888">
        <f t="shared" si="107"/>
        <v>0</v>
      </c>
      <c r="O888">
        <f t="shared" si="108"/>
        <v>0</v>
      </c>
      <c r="P888">
        <f t="shared" si="109"/>
        <v>0</v>
      </c>
      <c r="Q888">
        <f t="shared" si="110"/>
        <v>1</v>
      </c>
      <c r="R888" t="b">
        <v>0</v>
      </c>
      <c r="T888" s="10">
        <v>0.794444444444444</v>
      </c>
      <c r="U888" s="10">
        <v>0.830555555555556</v>
      </c>
      <c r="V888">
        <v>52</v>
      </c>
      <c r="W888" t="b">
        <v>0</v>
      </c>
    </row>
    <row r="889" spans="1:24">
      <c r="A889">
        <v>888</v>
      </c>
      <c r="B889" t="s">
        <v>1210</v>
      </c>
      <c r="C889" t="s">
        <v>16</v>
      </c>
      <c r="D889" s="9">
        <v>33073</v>
      </c>
      <c r="E889" s="9" t="str">
        <f t="shared" si="104"/>
        <v>31-41</v>
      </c>
      <c r="F889">
        <v>34</v>
      </c>
      <c r="G889" t="s">
        <v>17</v>
      </c>
      <c r="H889">
        <v>2</v>
      </c>
      <c r="I889" t="s">
        <v>189</v>
      </c>
      <c r="K889">
        <f t="shared" si="111"/>
        <v>0</v>
      </c>
      <c r="L889">
        <f t="shared" si="105"/>
        <v>1</v>
      </c>
      <c r="M889">
        <f t="shared" si="106"/>
        <v>1</v>
      </c>
      <c r="N889">
        <f t="shared" si="107"/>
        <v>0</v>
      </c>
      <c r="O889">
        <f t="shared" si="108"/>
        <v>0</v>
      </c>
      <c r="P889">
        <f t="shared" si="109"/>
        <v>0</v>
      </c>
      <c r="Q889">
        <f t="shared" si="110"/>
        <v>0</v>
      </c>
      <c r="R889" t="b">
        <v>0</v>
      </c>
      <c r="T889" s="10">
        <v>0.709722222222222</v>
      </c>
      <c r="U889" s="10">
        <v>0.751388888888889</v>
      </c>
      <c r="V889">
        <v>60</v>
      </c>
      <c r="W889" t="b">
        <v>1</v>
      </c>
      <c r="X889" t="s">
        <v>28</v>
      </c>
    </row>
    <row r="890" spans="1:24">
      <c r="A890">
        <v>889</v>
      </c>
      <c r="B890" t="s">
        <v>1211</v>
      </c>
      <c r="C890" t="s">
        <v>25</v>
      </c>
      <c r="D890" s="9">
        <v>38771</v>
      </c>
      <c r="E890" s="9" t="str">
        <f t="shared" si="104"/>
        <v>below 20</v>
      </c>
      <c r="F890">
        <v>18</v>
      </c>
      <c r="G890" t="s">
        <v>17</v>
      </c>
      <c r="H890">
        <v>3</v>
      </c>
      <c r="I890" t="s">
        <v>245</v>
      </c>
      <c r="K890">
        <f t="shared" si="111"/>
        <v>1</v>
      </c>
      <c r="L890">
        <f t="shared" si="105"/>
        <v>0</v>
      </c>
      <c r="M890">
        <f t="shared" si="106"/>
        <v>1</v>
      </c>
      <c r="N890">
        <f t="shared" si="107"/>
        <v>0</v>
      </c>
      <c r="O890">
        <f t="shared" si="108"/>
        <v>0</v>
      </c>
      <c r="P890">
        <f t="shared" si="109"/>
        <v>1</v>
      </c>
      <c r="Q890">
        <f t="shared" si="110"/>
        <v>0</v>
      </c>
      <c r="R890" t="b">
        <v>1</v>
      </c>
      <c r="S890" t="s">
        <v>1212</v>
      </c>
      <c r="T890" s="10">
        <v>0.486805555555556</v>
      </c>
      <c r="U890" s="10">
        <v>0.576388888888889</v>
      </c>
      <c r="V890">
        <v>129</v>
      </c>
      <c r="W890" t="b">
        <v>0</v>
      </c>
    </row>
    <row r="891" spans="1:24">
      <c r="A891">
        <v>890</v>
      </c>
      <c r="B891" t="s">
        <v>1213</v>
      </c>
      <c r="C891" t="s">
        <v>25</v>
      </c>
      <c r="D891" s="9">
        <v>35670</v>
      </c>
      <c r="E891" s="9" t="str">
        <f t="shared" si="104"/>
        <v>20-30</v>
      </c>
      <c r="F891">
        <v>27</v>
      </c>
      <c r="G891" t="s">
        <v>17</v>
      </c>
      <c r="H891">
        <v>3</v>
      </c>
      <c r="I891" t="s">
        <v>315</v>
      </c>
      <c r="K891">
        <f t="shared" si="111"/>
        <v>0</v>
      </c>
      <c r="L891">
        <f t="shared" si="105"/>
        <v>0</v>
      </c>
      <c r="M891">
        <f t="shared" si="106"/>
        <v>1</v>
      </c>
      <c r="N891">
        <f t="shared" si="107"/>
        <v>0</v>
      </c>
      <c r="O891">
        <f t="shared" si="108"/>
        <v>1</v>
      </c>
      <c r="P891">
        <f t="shared" si="109"/>
        <v>0</v>
      </c>
      <c r="Q891">
        <f t="shared" si="110"/>
        <v>1</v>
      </c>
      <c r="R891" t="b">
        <v>0</v>
      </c>
      <c r="T891" s="10">
        <v>0.845833333333333</v>
      </c>
      <c r="U891" s="10">
        <v>0.879166666666667</v>
      </c>
      <c r="V891">
        <v>48</v>
      </c>
      <c r="W891" t="b">
        <v>1</v>
      </c>
      <c r="X891" t="s">
        <v>50</v>
      </c>
    </row>
    <row r="892" spans="1:24">
      <c r="A892">
        <v>891</v>
      </c>
      <c r="B892" t="s">
        <v>1214</v>
      </c>
      <c r="C892" t="s">
        <v>25</v>
      </c>
      <c r="D892" s="9">
        <v>28387</v>
      </c>
      <c r="E892" s="9" t="str">
        <f t="shared" si="104"/>
        <v>41-50</v>
      </c>
      <c r="F892">
        <v>47</v>
      </c>
      <c r="G892" t="s">
        <v>17</v>
      </c>
      <c r="H892">
        <v>5</v>
      </c>
      <c r="I892" t="s">
        <v>863</v>
      </c>
      <c r="K892">
        <f t="shared" si="111"/>
        <v>1</v>
      </c>
      <c r="L892">
        <f t="shared" si="105"/>
        <v>1</v>
      </c>
      <c r="M892">
        <f t="shared" si="106"/>
        <v>1</v>
      </c>
      <c r="N892">
        <f t="shared" si="107"/>
        <v>0</v>
      </c>
      <c r="O892">
        <f t="shared" si="108"/>
        <v>1</v>
      </c>
      <c r="P892">
        <f t="shared" si="109"/>
        <v>0</v>
      </c>
      <c r="Q892">
        <f t="shared" si="110"/>
        <v>1</v>
      </c>
      <c r="R892" t="b">
        <v>0</v>
      </c>
      <c r="T892" s="10">
        <v>0.476388888888889</v>
      </c>
      <c r="U892" s="10">
        <v>0.594444444444444</v>
      </c>
      <c r="V892">
        <v>170</v>
      </c>
      <c r="W892" t="b">
        <v>0</v>
      </c>
    </row>
    <row r="893" spans="1:24">
      <c r="A893">
        <v>892</v>
      </c>
      <c r="B893" t="s">
        <v>1215</v>
      </c>
      <c r="C893" t="s">
        <v>25</v>
      </c>
      <c r="D893" s="9">
        <v>34298</v>
      </c>
      <c r="E893" s="9" t="str">
        <f t="shared" si="104"/>
        <v>20-30</v>
      </c>
      <c r="F893">
        <v>30</v>
      </c>
      <c r="G893" t="s">
        <v>21</v>
      </c>
      <c r="H893">
        <v>2</v>
      </c>
      <c r="I893" t="s">
        <v>203</v>
      </c>
      <c r="K893">
        <f t="shared" si="111"/>
        <v>1</v>
      </c>
      <c r="L893">
        <f t="shared" si="105"/>
        <v>0</v>
      </c>
      <c r="M893">
        <f t="shared" si="106"/>
        <v>0</v>
      </c>
      <c r="N893">
        <f t="shared" si="107"/>
        <v>0</v>
      </c>
      <c r="O893">
        <f t="shared" si="108"/>
        <v>0</v>
      </c>
      <c r="P893">
        <f t="shared" si="109"/>
        <v>1</v>
      </c>
      <c r="Q893">
        <f t="shared" si="110"/>
        <v>0</v>
      </c>
      <c r="R893" t="b">
        <v>0</v>
      </c>
      <c r="T893" s="10">
        <v>0.515277777777778</v>
      </c>
      <c r="U893" s="10">
        <v>0.543055555555556</v>
      </c>
      <c r="V893">
        <v>40</v>
      </c>
      <c r="W893" t="b">
        <v>1</v>
      </c>
      <c r="X893" t="s">
        <v>28</v>
      </c>
    </row>
    <row r="894" spans="1:24">
      <c r="A894">
        <v>893</v>
      </c>
      <c r="B894" t="s">
        <v>42</v>
      </c>
      <c r="C894" t="s">
        <v>25</v>
      </c>
      <c r="D894" s="9">
        <v>30938</v>
      </c>
      <c r="E894" s="9" t="str">
        <f t="shared" si="104"/>
        <v>31-41</v>
      </c>
      <c r="F894">
        <v>40</v>
      </c>
      <c r="G894" t="s">
        <v>17</v>
      </c>
      <c r="H894">
        <v>2</v>
      </c>
      <c r="I894" t="s">
        <v>111</v>
      </c>
      <c r="K894">
        <f t="shared" si="111"/>
        <v>0</v>
      </c>
      <c r="L894">
        <f t="shared" si="105"/>
        <v>1</v>
      </c>
      <c r="M894">
        <f t="shared" si="106"/>
        <v>0</v>
      </c>
      <c r="N894">
        <f t="shared" si="107"/>
        <v>0</v>
      </c>
      <c r="O894">
        <f t="shared" si="108"/>
        <v>0</v>
      </c>
      <c r="P894">
        <f t="shared" si="109"/>
        <v>0</v>
      </c>
      <c r="Q894">
        <f t="shared" si="110"/>
        <v>1</v>
      </c>
      <c r="R894" t="b">
        <v>1</v>
      </c>
      <c r="S894" t="s">
        <v>654</v>
      </c>
      <c r="T894" s="10">
        <v>0.85625</v>
      </c>
      <c r="U894" s="10">
        <v>0.877777777777778</v>
      </c>
      <c r="V894">
        <v>31</v>
      </c>
      <c r="W894" t="b">
        <v>1</v>
      </c>
      <c r="X894" t="s">
        <v>47</v>
      </c>
    </row>
    <row r="895" spans="1:24">
      <c r="A895">
        <v>894</v>
      </c>
      <c r="B895" t="s">
        <v>1216</v>
      </c>
      <c r="C895" t="s">
        <v>16</v>
      </c>
      <c r="D895" s="9">
        <v>38067</v>
      </c>
      <c r="E895" s="9" t="str">
        <f t="shared" si="104"/>
        <v>20-30</v>
      </c>
      <c r="F895">
        <v>20</v>
      </c>
      <c r="G895" t="s">
        <v>21</v>
      </c>
      <c r="H895">
        <v>1</v>
      </c>
      <c r="I895" t="s">
        <v>81</v>
      </c>
      <c r="K895">
        <f t="shared" si="111"/>
        <v>0</v>
      </c>
      <c r="L895">
        <f t="shared" si="105"/>
        <v>0</v>
      </c>
      <c r="M895">
        <f t="shared" si="106"/>
        <v>0</v>
      </c>
      <c r="N895">
        <f t="shared" si="107"/>
        <v>0</v>
      </c>
      <c r="O895">
        <f t="shared" si="108"/>
        <v>0</v>
      </c>
      <c r="P895">
        <f t="shared" si="109"/>
        <v>1</v>
      </c>
      <c r="Q895">
        <f t="shared" si="110"/>
        <v>0</v>
      </c>
      <c r="R895" t="b">
        <v>1</v>
      </c>
      <c r="S895" t="s">
        <v>107</v>
      </c>
      <c r="T895" s="10">
        <v>0.629166666666667</v>
      </c>
      <c r="U895" s="10">
        <v>0.674305555555556</v>
      </c>
      <c r="V895">
        <v>65</v>
      </c>
      <c r="W895" t="b">
        <v>0</v>
      </c>
    </row>
    <row r="896" spans="1:24">
      <c r="A896">
        <v>895</v>
      </c>
      <c r="B896" t="s">
        <v>1217</v>
      </c>
      <c r="C896" t="s">
        <v>25</v>
      </c>
      <c r="D896" s="9">
        <v>32308</v>
      </c>
      <c r="E896" s="9" t="str">
        <f t="shared" si="104"/>
        <v>31-41</v>
      </c>
      <c r="F896">
        <v>36</v>
      </c>
      <c r="G896" t="s">
        <v>17</v>
      </c>
      <c r="H896">
        <v>3</v>
      </c>
      <c r="I896" t="s">
        <v>504</v>
      </c>
      <c r="K896">
        <f t="shared" si="111"/>
        <v>0</v>
      </c>
      <c r="L896">
        <f t="shared" si="105"/>
        <v>0</v>
      </c>
      <c r="M896">
        <f t="shared" si="106"/>
        <v>1</v>
      </c>
      <c r="N896">
        <f t="shared" si="107"/>
        <v>1</v>
      </c>
      <c r="O896">
        <f t="shared" si="108"/>
        <v>0</v>
      </c>
      <c r="P896">
        <f t="shared" si="109"/>
        <v>0</v>
      </c>
      <c r="Q896">
        <f t="shared" si="110"/>
        <v>1</v>
      </c>
      <c r="R896" t="b">
        <v>0</v>
      </c>
      <c r="T896" s="10">
        <v>0.703472222222222</v>
      </c>
      <c r="U896" s="10">
        <v>0.828472222222222</v>
      </c>
      <c r="V896">
        <v>180</v>
      </c>
      <c r="W896" t="b">
        <v>1</v>
      </c>
      <c r="X896" t="s">
        <v>50</v>
      </c>
    </row>
    <row r="897" spans="1:24">
      <c r="A897">
        <v>896</v>
      </c>
      <c r="B897" t="s">
        <v>1218</v>
      </c>
      <c r="C897" t="s">
        <v>16</v>
      </c>
      <c r="D897" s="9">
        <v>28983</v>
      </c>
      <c r="E897" s="9" t="str">
        <f t="shared" si="104"/>
        <v>41-50</v>
      </c>
      <c r="F897">
        <v>45</v>
      </c>
      <c r="G897" t="s">
        <v>17</v>
      </c>
      <c r="H897">
        <v>4</v>
      </c>
      <c r="I897" t="s">
        <v>61</v>
      </c>
      <c r="K897">
        <f t="shared" si="111"/>
        <v>1</v>
      </c>
      <c r="L897">
        <f t="shared" si="105"/>
        <v>1</v>
      </c>
      <c r="M897">
        <f t="shared" si="106"/>
        <v>0</v>
      </c>
      <c r="N897">
        <f t="shared" si="107"/>
        <v>1</v>
      </c>
      <c r="O897">
        <f t="shared" si="108"/>
        <v>0</v>
      </c>
      <c r="P897">
        <f t="shared" si="109"/>
        <v>0</v>
      </c>
      <c r="Q897">
        <f t="shared" si="110"/>
        <v>1</v>
      </c>
      <c r="R897" t="b">
        <v>0</v>
      </c>
      <c r="T897" s="10">
        <v>0.420138888888889</v>
      </c>
      <c r="U897" s="10">
        <v>0.532638888888889</v>
      </c>
      <c r="V897">
        <v>162</v>
      </c>
      <c r="W897" t="b">
        <v>1</v>
      </c>
      <c r="X897" t="s">
        <v>50</v>
      </c>
    </row>
    <row r="898" spans="1:24">
      <c r="A898">
        <v>897</v>
      </c>
      <c r="B898" t="s">
        <v>1219</v>
      </c>
      <c r="C898" t="s">
        <v>16</v>
      </c>
      <c r="D898" s="9">
        <v>32087</v>
      </c>
      <c r="E898" s="9" t="str">
        <f t="shared" ref="E898:E961" si="112">IF(F898&lt;20,"below 20",IF(F898&lt;=30,"20-30",IF(F898&lt;=40,"31-41",IF(F898&lt;=50,"41-50","above 50"))))</f>
        <v>31-41</v>
      </c>
      <c r="F898">
        <v>36</v>
      </c>
      <c r="G898" t="s">
        <v>17</v>
      </c>
      <c r="H898">
        <v>3</v>
      </c>
      <c r="I898" t="s">
        <v>247</v>
      </c>
      <c r="K898">
        <f t="shared" si="111"/>
        <v>0</v>
      </c>
      <c r="L898">
        <f t="shared" si="105"/>
        <v>0</v>
      </c>
      <c r="M898">
        <f t="shared" si="106"/>
        <v>1</v>
      </c>
      <c r="N898">
        <f t="shared" si="107"/>
        <v>1</v>
      </c>
      <c r="O898">
        <f t="shared" si="108"/>
        <v>0</v>
      </c>
      <c r="P898">
        <f t="shared" si="109"/>
        <v>1</v>
      </c>
      <c r="Q898">
        <f t="shared" si="110"/>
        <v>0</v>
      </c>
      <c r="R898" t="b">
        <v>1</v>
      </c>
      <c r="S898" t="s">
        <v>67</v>
      </c>
      <c r="T898" s="10">
        <v>0.402083333333333</v>
      </c>
      <c r="U898" s="10">
        <v>0.424305555555556</v>
      </c>
      <c r="V898">
        <v>32</v>
      </c>
      <c r="W898" t="b">
        <v>0</v>
      </c>
    </row>
    <row r="899" spans="1:24">
      <c r="A899">
        <v>898</v>
      </c>
      <c r="B899" t="s">
        <v>1220</v>
      </c>
      <c r="C899" t="s">
        <v>16</v>
      </c>
      <c r="D899" s="9">
        <v>32077</v>
      </c>
      <c r="E899" s="9" t="str">
        <f t="shared" si="112"/>
        <v>31-41</v>
      </c>
      <c r="F899">
        <v>36</v>
      </c>
      <c r="G899" t="s">
        <v>17</v>
      </c>
      <c r="H899">
        <v>1</v>
      </c>
      <c r="I899" t="s">
        <v>49</v>
      </c>
      <c r="K899">
        <f t="shared" si="111"/>
        <v>0</v>
      </c>
      <c r="L899">
        <f t="shared" ref="L899:L962" si="113">--ISNUMBER(SEARCH("Mon",I899))</f>
        <v>0</v>
      </c>
      <c r="M899">
        <f t="shared" ref="M899:M962" si="114">--ISNUMBER(SEARCH("Tue",I899))</f>
        <v>0</v>
      </c>
      <c r="N899">
        <f t="shared" ref="N899:N962" si="115">--ISNUMBER(SEARCH("Wed",I899))</f>
        <v>0</v>
      </c>
      <c r="O899">
        <f t="shared" ref="O899:O962" si="116">--ISNUMBER(SEARCH("Thu",I899))</f>
        <v>1</v>
      </c>
      <c r="P899">
        <f t="shared" ref="P899:P962" si="117">--ISNUMBER(SEARCH("Fri",I899))</f>
        <v>0</v>
      </c>
      <c r="Q899">
        <f t="shared" ref="Q899:Q962" si="118">--ISNUMBER(SEARCH("Sat",I899))</f>
        <v>0</v>
      </c>
      <c r="R899" t="b">
        <v>0</v>
      </c>
      <c r="T899" s="10">
        <v>0.461805555555556</v>
      </c>
      <c r="U899" s="10">
        <v>0.536111111111111</v>
      </c>
      <c r="V899">
        <v>107</v>
      </c>
      <c r="W899" t="b">
        <v>0</v>
      </c>
    </row>
    <row r="900" spans="1:24">
      <c r="A900">
        <v>899</v>
      </c>
      <c r="B900" t="s">
        <v>1112</v>
      </c>
      <c r="C900" t="s">
        <v>25</v>
      </c>
      <c r="D900" s="9">
        <v>39534</v>
      </c>
      <c r="E900" s="9" t="str">
        <f t="shared" si="112"/>
        <v>below 20</v>
      </c>
      <c r="F900">
        <v>16</v>
      </c>
      <c r="G900" t="s">
        <v>21</v>
      </c>
      <c r="H900">
        <v>1</v>
      </c>
      <c r="I900" t="s">
        <v>26</v>
      </c>
      <c r="K900">
        <f t="shared" si="111"/>
        <v>1</v>
      </c>
      <c r="L900">
        <f t="shared" si="113"/>
        <v>0</v>
      </c>
      <c r="M900">
        <f t="shared" si="114"/>
        <v>0</v>
      </c>
      <c r="N900">
        <f t="shared" si="115"/>
        <v>0</v>
      </c>
      <c r="O900">
        <f t="shared" si="116"/>
        <v>0</v>
      </c>
      <c r="P900">
        <f t="shared" si="117"/>
        <v>0</v>
      </c>
      <c r="Q900">
        <f t="shared" si="118"/>
        <v>0</v>
      </c>
      <c r="R900" t="b">
        <v>1</v>
      </c>
      <c r="S900" t="s">
        <v>1071</v>
      </c>
      <c r="T900" s="10">
        <v>0.540972222222222</v>
      </c>
      <c r="U900" s="10">
        <v>0.582638888888889</v>
      </c>
      <c r="V900">
        <v>60</v>
      </c>
      <c r="W900" t="b">
        <v>0</v>
      </c>
    </row>
    <row r="901" spans="1:24">
      <c r="A901">
        <v>900</v>
      </c>
      <c r="B901" t="s">
        <v>1221</v>
      </c>
      <c r="C901" t="s">
        <v>16</v>
      </c>
      <c r="D901" s="9">
        <v>36715</v>
      </c>
      <c r="E901" s="9" t="str">
        <f t="shared" si="112"/>
        <v>20-30</v>
      </c>
      <c r="F901">
        <v>24</v>
      </c>
      <c r="G901" t="s">
        <v>21</v>
      </c>
      <c r="H901">
        <v>3</v>
      </c>
      <c r="I901" t="s">
        <v>98</v>
      </c>
      <c r="K901">
        <f t="shared" ref="K901:K964" si="119">--ISNUMBER(SEARCH("Sun",I901))</f>
        <v>0</v>
      </c>
      <c r="L901">
        <f t="shared" si="113"/>
        <v>1</v>
      </c>
      <c r="M901">
        <f t="shared" si="114"/>
        <v>0</v>
      </c>
      <c r="N901">
        <f t="shared" si="115"/>
        <v>0</v>
      </c>
      <c r="O901">
        <f t="shared" si="116"/>
        <v>1</v>
      </c>
      <c r="P901">
        <f t="shared" si="117"/>
        <v>1</v>
      </c>
      <c r="Q901">
        <f t="shared" si="118"/>
        <v>0</v>
      </c>
      <c r="R901" t="b">
        <v>0</v>
      </c>
      <c r="T901" s="10">
        <v>0.800694444444444</v>
      </c>
      <c r="U901" s="10">
        <v>0.897916666666667</v>
      </c>
      <c r="V901">
        <v>140</v>
      </c>
      <c r="W901" t="b">
        <v>1</v>
      </c>
      <c r="X901" t="s">
        <v>28</v>
      </c>
    </row>
    <row r="902" spans="1:24">
      <c r="A902">
        <v>901</v>
      </c>
      <c r="B902" t="s">
        <v>1222</v>
      </c>
      <c r="C902" t="s">
        <v>16</v>
      </c>
      <c r="D902" s="9">
        <v>32290</v>
      </c>
      <c r="E902" s="9" t="str">
        <f t="shared" si="112"/>
        <v>31-41</v>
      </c>
      <c r="F902">
        <v>36</v>
      </c>
      <c r="G902" t="s">
        <v>17</v>
      </c>
      <c r="H902">
        <v>1</v>
      </c>
      <c r="I902" t="s">
        <v>46</v>
      </c>
      <c r="K902">
        <f t="shared" si="119"/>
        <v>0</v>
      </c>
      <c r="L902">
        <f t="shared" si="113"/>
        <v>1</v>
      </c>
      <c r="M902">
        <f t="shared" si="114"/>
        <v>0</v>
      </c>
      <c r="N902">
        <f t="shared" si="115"/>
        <v>0</v>
      </c>
      <c r="O902">
        <f t="shared" si="116"/>
        <v>0</v>
      </c>
      <c r="P902">
        <f t="shared" si="117"/>
        <v>0</v>
      </c>
      <c r="Q902">
        <f t="shared" si="118"/>
        <v>0</v>
      </c>
      <c r="R902" t="b">
        <v>0</v>
      </c>
      <c r="T902" s="10">
        <v>0.729166666666667</v>
      </c>
      <c r="U902" s="10">
        <v>0.810416666666667</v>
      </c>
      <c r="V902">
        <v>117</v>
      </c>
      <c r="W902" t="b">
        <v>0</v>
      </c>
    </row>
    <row r="903" spans="1:24">
      <c r="A903">
        <v>902</v>
      </c>
      <c r="B903" t="s">
        <v>1223</v>
      </c>
      <c r="C903" t="s">
        <v>16</v>
      </c>
      <c r="D903" s="9">
        <v>30695</v>
      </c>
      <c r="E903" s="9" t="str">
        <f t="shared" si="112"/>
        <v>31-41</v>
      </c>
      <c r="F903">
        <v>40</v>
      </c>
      <c r="G903" t="s">
        <v>21</v>
      </c>
      <c r="H903">
        <v>1</v>
      </c>
      <c r="I903" t="s">
        <v>49</v>
      </c>
      <c r="K903">
        <f t="shared" si="119"/>
        <v>0</v>
      </c>
      <c r="L903">
        <f t="shared" si="113"/>
        <v>0</v>
      </c>
      <c r="M903">
        <f t="shared" si="114"/>
        <v>0</v>
      </c>
      <c r="N903">
        <f t="shared" si="115"/>
        <v>0</v>
      </c>
      <c r="O903">
        <f t="shared" si="116"/>
        <v>1</v>
      </c>
      <c r="P903">
        <f t="shared" si="117"/>
        <v>0</v>
      </c>
      <c r="Q903">
        <f t="shared" si="118"/>
        <v>0</v>
      </c>
      <c r="R903" t="b">
        <v>1</v>
      </c>
      <c r="S903" t="s">
        <v>44</v>
      </c>
      <c r="T903" s="10">
        <v>0.66875</v>
      </c>
      <c r="U903" s="10">
        <v>0.715277777777778</v>
      </c>
      <c r="V903">
        <v>67</v>
      </c>
      <c r="W903" t="b">
        <v>0</v>
      </c>
    </row>
    <row r="904" spans="1:24">
      <c r="A904">
        <v>903</v>
      </c>
      <c r="B904" t="s">
        <v>182</v>
      </c>
      <c r="C904" t="s">
        <v>16</v>
      </c>
      <c r="D904" s="9">
        <v>30755</v>
      </c>
      <c r="E904" s="9" t="str">
        <f t="shared" si="112"/>
        <v>31-41</v>
      </c>
      <c r="F904">
        <v>40</v>
      </c>
      <c r="G904" t="s">
        <v>17</v>
      </c>
      <c r="H904">
        <v>2</v>
      </c>
      <c r="I904" t="s">
        <v>55</v>
      </c>
      <c r="K904">
        <f t="shared" si="119"/>
        <v>1</v>
      </c>
      <c r="L904">
        <f t="shared" si="113"/>
        <v>0</v>
      </c>
      <c r="M904">
        <f t="shared" si="114"/>
        <v>0</v>
      </c>
      <c r="N904">
        <f t="shared" si="115"/>
        <v>1</v>
      </c>
      <c r="O904">
        <f t="shared" si="116"/>
        <v>0</v>
      </c>
      <c r="P904">
        <f t="shared" si="117"/>
        <v>0</v>
      </c>
      <c r="Q904">
        <f t="shared" si="118"/>
        <v>0</v>
      </c>
      <c r="R904" t="b">
        <v>1</v>
      </c>
      <c r="S904" t="s">
        <v>107</v>
      </c>
      <c r="T904" s="10">
        <v>0.796527777777778</v>
      </c>
      <c r="U904" s="10">
        <v>0.825</v>
      </c>
      <c r="V904">
        <v>41</v>
      </c>
      <c r="W904" t="b">
        <v>1</v>
      </c>
      <c r="X904" t="s">
        <v>47</v>
      </c>
    </row>
    <row r="905" spans="1:24">
      <c r="A905">
        <v>904</v>
      </c>
      <c r="B905" t="s">
        <v>1224</v>
      </c>
      <c r="C905" t="s">
        <v>16</v>
      </c>
      <c r="D905" s="9">
        <v>40188</v>
      </c>
      <c r="E905" s="9" t="str">
        <f t="shared" si="112"/>
        <v>below 20</v>
      </c>
      <c r="F905">
        <v>14</v>
      </c>
      <c r="G905" t="s">
        <v>17</v>
      </c>
      <c r="H905">
        <v>2</v>
      </c>
      <c r="I905" t="s">
        <v>195</v>
      </c>
      <c r="K905">
        <f t="shared" si="119"/>
        <v>1</v>
      </c>
      <c r="L905">
        <f t="shared" si="113"/>
        <v>1</v>
      </c>
      <c r="M905">
        <f t="shared" si="114"/>
        <v>0</v>
      </c>
      <c r="N905">
        <f t="shared" si="115"/>
        <v>0</v>
      </c>
      <c r="O905">
        <f t="shared" si="116"/>
        <v>0</v>
      </c>
      <c r="P905">
        <f t="shared" si="117"/>
        <v>0</v>
      </c>
      <c r="Q905">
        <f t="shared" si="118"/>
        <v>0</v>
      </c>
      <c r="R905" t="b">
        <v>0</v>
      </c>
      <c r="T905" s="10">
        <v>0.422916666666667</v>
      </c>
      <c r="U905" s="10">
        <v>0.473611111111111</v>
      </c>
      <c r="V905">
        <v>73</v>
      </c>
      <c r="W905" t="b">
        <v>1</v>
      </c>
      <c r="X905" t="s">
        <v>23</v>
      </c>
    </row>
    <row r="906" spans="1:24">
      <c r="A906">
        <v>905</v>
      </c>
      <c r="B906" t="s">
        <v>1225</v>
      </c>
      <c r="C906" t="s">
        <v>16</v>
      </c>
      <c r="D906" s="9">
        <v>33479</v>
      </c>
      <c r="E906" s="9" t="str">
        <f t="shared" si="112"/>
        <v>31-41</v>
      </c>
      <c r="F906">
        <v>33</v>
      </c>
      <c r="G906" t="s">
        <v>17</v>
      </c>
      <c r="H906">
        <v>1</v>
      </c>
      <c r="I906" t="s">
        <v>185</v>
      </c>
      <c r="K906">
        <f t="shared" si="119"/>
        <v>0</v>
      </c>
      <c r="L906">
        <f t="shared" si="113"/>
        <v>0</v>
      </c>
      <c r="M906">
        <f t="shared" si="114"/>
        <v>0</v>
      </c>
      <c r="N906">
        <f t="shared" si="115"/>
        <v>1</v>
      </c>
      <c r="O906">
        <f t="shared" si="116"/>
        <v>0</v>
      </c>
      <c r="P906">
        <f t="shared" si="117"/>
        <v>0</v>
      </c>
      <c r="Q906">
        <f t="shared" si="118"/>
        <v>0</v>
      </c>
      <c r="R906" t="b">
        <v>0</v>
      </c>
      <c r="T906" s="10">
        <v>0.589583333333333</v>
      </c>
      <c r="U906" s="10">
        <v>0.699305555555556</v>
      </c>
      <c r="V906">
        <v>158</v>
      </c>
      <c r="W906" t="b">
        <v>0</v>
      </c>
    </row>
    <row r="907" spans="1:24">
      <c r="A907">
        <v>906</v>
      </c>
      <c r="B907" t="s">
        <v>207</v>
      </c>
      <c r="C907" t="s">
        <v>25</v>
      </c>
      <c r="D907" s="9">
        <v>29851</v>
      </c>
      <c r="E907" s="9" t="str">
        <f t="shared" si="112"/>
        <v>41-50</v>
      </c>
      <c r="F907">
        <v>43</v>
      </c>
      <c r="G907" t="s">
        <v>21</v>
      </c>
      <c r="H907">
        <v>1</v>
      </c>
      <c r="I907" t="s">
        <v>59</v>
      </c>
      <c r="K907">
        <f t="shared" si="119"/>
        <v>0</v>
      </c>
      <c r="L907">
        <f t="shared" si="113"/>
        <v>0</v>
      </c>
      <c r="M907">
        <f t="shared" si="114"/>
        <v>0</v>
      </c>
      <c r="N907">
        <f t="shared" si="115"/>
        <v>0</v>
      </c>
      <c r="O907">
        <f t="shared" si="116"/>
        <v>0</v>
      </c>
      <c r="P907">
        <f t="shared" si="117"/>
        <v>0</v>
      </c>
      <c r="Q907">
        <f t="shared" si="118"/>
        <v>1</v>
      </c>
      <c r="R907" t="b">
        <v>0</v>
      </c>
      <c r="T907" s="10">
        <v>0.390277777777778</v>
      </c>
      <c r="U907" s="10">
        <v>0.500694444444444</v>
      </c>
      <c r="V907">
        <v>159</v>
      </c>
      <c r="W907" t="b">
        <v>1</v>
      </c>
      <c r="X907" t="s">
        <v>28</v>
      </c>
    </row>
    <row r="908" spans="1:24">
      <c r="A908">
        <v>907</v>
      </c>
      <c r="B908" t="s">
        <v>1226</v>
      </c>
      <c r="C908" t="s">
        <v>25</v>
      </c>
      <c r="D908" s="9">
        <v>27969</v>
      </c>
      <c r="E908" s="9" t="str">
        <f t="shared" si="112"/>
        <v>41-50</v>
      </c>
      <c r="F908">
        <v>48</v>
      </c>
      <c r="G908" t="s">
        <v>21</v>
      </c>
      <c r="H908">
        <v>2</v>
      </c>
      <c r="I908" t="s">
        <v>189</v>
      </c>
      <c r="K908">
        <f t="shared" si="119"/>
        <v>0</v>
      </c>
      <c r="L908">
        <f t="shared" si="113"/>
        <v>1</v>
      </c>
      <c r="M908">
        <f t="shared" si="114"/>
        <v>1</v>
      </c>
      <c r="N908">
        <f t="shared" si="115"/>
        <v>0</v>
      </c>
      <c r="O908">
        <f t="shared" si="116"/>
        <v>0</v>
      </c>
      <c r="P908">
        <f t="shared" si="117"/>
        <v>0</v>
      </c>
      <c r="Q908">
        <f t="shared" si="118"/>
        <v>0</v>
      </c>
      <c r="R908" t="b">
        <v>1</v>
      </c>
      <c r="S908" t="s">
        <v>1227</v>
      </c>
      <c r="T908" s="10">
        <v>0.633333333333333</v>
      </c>
      <c r="U908" s="10">
        <v>0.738194444444444</v>
      </c>
      <c r="V908">
        <v>151</v>
      </c>
      <c r="W908" t="b">
        <v>0</v>
      </c>
    </row>
    <row r="909" spans="1:24">
      <c r="A909">
        <v>908</v>
      </c>
      <c r="B909" t="s">
        <v>1228</v>
      </c>
      <c r="C909" t="s">
        <v>16</v>
      </c>
      <c r="D909" s="9">
        <v>40990</v>
      </c>
      <c r="E909" s="9" t="str">
        <f t="shared" si="112"/>
        <v>below 20</v>
      </c>
      <c r="F909">
        <v>12</v>
      </c>
      <c r="G909" t="s">
        <v>21</v>
      </c>
      <c r="H909">
        <v>5</v>
      </c>
      <c r="I909" t="s">
        <v>104</v>
      </c>
      <c r="K909">
        <f t="shared" si="119"/>
        <v>0</v>
      </c>
      <c r="L909">
        <f t="shared" si="113"/>
        <v>0</v>
      </c>
      <c r="M909">
        <f t="shared" si="114"/>
        <v>1</v>
      </c>
      <c r="N909">
        <f t="shared" si="115"/>
        <v>1</v>
      </c>
      <c r="O909">
        <f t="shared" si="116"/>
        <v>1</v>
      </c>
      <c r="P909">
        <f t="shared" si="117"/>
        <v>1</v>
      </c>
      <c r="Q909">
        <f t="shared" si="118"/>
        <v>1</v>
      </c>
      <c r="R909" t="b">
        <v>0</v>
      </c>
      <c r="T909" s="10">
        <v>0.434027777777778</v>
      </c>
      <c r="U909" s="10">
        <v>0.534027777777778</v>
      </c>
      <c r="V909">
        <v>144</v>
      </c>
      <c r="W909" t="b">
        <v>0</v>
      </c>
    </row>
    <row r="910" spans="1:24">
      <c r="A910">
        <v>909</v>
      </c>
      <c r="B910" t="s">
        <v>1229</v>
      </c>
      <c r="C910" t="s">
        <v>25</v>
      </c>
      <c r="D910" s="9">
        <v>31070</v>
      </c>
      <c r="E910" s="9" t="str">
        <f t="shared" si="112"/>
        <v>31-41</v>
      </c>
      <c r="F910">
        <v>39</v>
      </c>
      <c r="G910" t="s">
        <v>17</v>
      </c>
      <c r="H910">
        <v>4</v>
      </c>
      <c r="I910" t="s">
        <v>1230</v>
      </c>
      <c r="K910">
        <f t="shared" si="119"/>
        <v>1</v>
      </c>
      <c r="L910">
        <f t="shared" si="113"/>
        <v>0</v>
      </c>
      <c r="M910">
        <f t="shared" si="114"/>
        <v>1</v>
      </c>
      <c r="N910">
        <f t="shared" si="115"/>
        <v>1</v>
      </c>
      <c r="O910">
        <f t="shared" si="116"/>
        <v>0</v>
      </c>
      <c r="P910">
        <f t="shared" si="117"/>
        <v>1</v>
      </c>
      <c r="Q910">
        <f t="shared" si="118"/>
        <v>0</v>
      </c>
      <c r="R910" t="b">
        <v>1</v>
      </c>
      <c r="S910" t="s">
        <v>1231</v>
      </c>
      <c r="T910" s="10">
        <v>0.565972222222222</v>
      </c>
      <c r="U910" s="10">
        <v>0.661805555555556</v>
      </c>
      <c r="V910">
        <v>138</v>
      </c>
      <c r="W910" t="b">
        <v>1</v>
      </c>
      <c r="X910" t="s">
        <v>23</v>
      </c>
    </row>
    <row r="911" spans="1:24">
      <c r="A911">
        <v>910</v>
      </c>
      <c r="B911" t="s">
        <v>1232</v>
      </c>
      <c r="C911" t="s">
        <v>25</v>
      </c>
      <c r="D911" s="9">
        <v>34582</v>
      </c>
      <c r="E911" s="9" t="str">
        <f t="shared" si="112"/>
        <v>20-30</v>
      </c>
      <c r="F911">
        <v>30</v>
      </c>
      <c r="G911" t="s">
        <v>17</v>
      </c>
      <c r="H911">
        <v>3</v>
      </c>
      <c r="I911" t="s">
        <v>161</v>
      </c>
      <c r="K911">
        <f t="shared" si="119"/>
        <v>0</v>
      </c>
      <c r="L911">
        <f t="shared" si="113"/>
        <v>0</v>
      </c>
      <c r="M911">
        <f t="shared" si="114"/>
        <v>0</v>
      </c>
      <c r="N911">
        <f t="shared" si="115"/>
        <v>0</v>
      </c>
      <c r="O911">
        <f t="shared" si="116"/>
        <v>1</v>
      </c>
      <c r="P911">
        <f t="shared" si="117"/>
        <v>1</v>
      </c>
      <c r="Q911">
        <f t="shared" si="118"/>
        <v>1</v>
      </c>
      <c r="R911" t="b">
        <v>1</v>
      </c>
      <c r="S911" t="s">
        <v>1233</v>
      </c>
      <c r="T911" s="10">
        <v>0.464583333333333</v>
      </c>
      <c r="U911" s="10">
        <v>0.490972222222222</v>
      </c>
      <c r="V911">
        <v>38</v>
      </c>
      <c r="W911" t="b">
        <v>0</v>
      </c>
    </row>
    <row r="912" spans="1:24">
      <c r="A912">
        <v>911</v>
      </c>
      <c r="B912" t="s">
        <v>1234</v>
      </c>
      <c r="C912" t="s">
        <v>16</v>
      </c>
      <c r="D912" s="9">
        <v>36684</v>
      </c>
      <c r="E912" s="9" t="str">
        <f t="shared" si="112"/>
        <v>20-30</v>
      </c>
      <c r="F912">
        <v>24</v>
      </c>
      <c r="G912" t="s">
        <v>21</v>
      </c>
      <c r="H912">
        <v>3</v>
      </c>
      <c r="I912" t="s">
        <v>57</v>
      </c>
      <c r="K912">
        <f t="shared" si="119"/>
        <v>1</v>
      </c>
      <c r="L912">
        <f t="shared" si="113"/>
        <v>1</v>
      </c>
      <c r="M912">
        <f t="shared" si="114"/>
        <v>0</v>
      </c>
      <c r="N912">
        <f t="shared" si="115"/>
        <v>1</v>
      </c>
      <c r="O912">
        <f t="shared" si="116"/>
        <v>0</v>
      </c>
      <c r="P912">
        <f t="shared" si="117"/>
        <v>0</v>
      </c>
      <c r="Q912">
        <f t="shared" si="118"/>
        <v>0</v>
      </c>
      <c r="R912" t="b">
        <v>1</v>
      </c>
      <c r="S912" t="s">
        <v>1235</v>
      </c>
      <c r="T912" s="10">
        <v>0.870138888888889</v>
      </c>
      <c r="U912" s="10">
        <v>0.990277777777778</v>
      </c>
      <c r="V912">
        <v>173</v>
      </c>
      <c r="W912" t="b">
        <v>0</v>
      </c>
    </row>
    <row r="913" spans="1:24">
      <c r="A913">
        <v>912</v>
      </c>
      <c r="B913" t="s">
        <v>1222</v>
      </c>
      <c r="C913" t="s">
        <v>16</v>
      </c>
      <c r="D913" s="9">
        <v>28356</v>
      </c>
      <c r="E913" s="9" t="str">
        <f t="shared" si="112"/>
        <v>41-50</v>
      </c>
      <c r="F913">
        <v>47</v>
      </c>
      <c r="G913" t="s">
        <v>21</v>
      </c>
      <c r="H913">
        <v>1</v>
      </c>
      <c r="I913" t="s">
        <v>35</v>
      </c>
      <c r="K913">
        <f t="shared" si="119"/>
        <v>0</v>
      </c>
      <c r="L913">
        <f t="shared" si="113"/>
        <v>0</v>
      </c>
      <c r="M913">
        <f t="shared" si="114"/>
        <v>1</v>
      </c>
      <c r="N913">
        <f t="shared" si="115"/>
        <v>0</v>
      </c>
      <c r="O913">
        <f t="shared" si="116"/>
        <v>0</v>
      </c>
      <c r="P913">
        <f t="shared" si="117"/>
        <v>0</v>
      </c>
      <c r="Q913">
        <f t="shared" si="118"/>
        <v>0</v>
      </c>
      <c r="R913" t="b">
        <v>0</v>
      </c>
      <c r="T913" s="10">
        <v>0.813888888888889</v>
      </c>
      <c r="U913" s="10">
        <v>0.910416666666667</v>
      </c>
      <c r="V913">
        <v>139</v>
      </c>
      <c r="W913" t="b">
        <v>0</v>
      </c>
    </row>
    <row r="914" spans="1:24">
      <c r="A914">
        <v>913</v>
      </c>
      <c r="B914" t="s">
        <v>1236</v>
      </c>
      <c r="C914" t="s">
        <v>25</v>
      </c>
      <c r="D914" s="9">
        <v>32838</v>
      </c>
      <c r="E914" s="9" t="str">
        <f t="shared" si="112"/>
        <v>31-41</v>
      </c>
      <c r="F914">
        <v>34</v>
      </c>
      <c r="G914" t="s">
        <v>21</v>
      </c>
      <c r="H914">
        <v>1</v>
      </c>
      <c r="I914" t="s">
        <v>185</v>
      </c>
      <c r="K914">
        <f t="shared" si="119"/>
        <v>0</v>
      </c>
      <c r="L914">
        <f t="shared" si="113"/>
        <v>0</v>
      </c>
      <c r="M914">
        <f t="shared" si="114"/>
        <v>0</v>
      </c>
      <c r="N914">
        <f t="shared" si="115"/>
        <v>1</v>
      </c>
      <c r="O914">
        <f t="shared" si="116"/>
        <v>0</v>
      </c>
      <c r="P914">
        <f t="shared" si="117"/>
        <v>0</v>
      </c>
      <c r="Q914">
        <f t="shared" si="118"/>
        <v>0</v>
      </c>
      <c r="R914" t="b">
        <v>1</v>
      </c>
      <c r="S914" t="s">
        <v>287</v>
      </c>
      <c r="T914" s="10">
        <v>0.615972222222222</v>
      </c>
      <c r="U914" s="10">
        <v>0.720833333333333</v>
      </c>
      <c r="V914">
        <v>151</v>
      </c>
      <c r="W914" t="b">
        <v>0</v>
      </c>
    </row>
    <row r="915" spans="1:24">
      <c r="A915">
        <v>914</v>
      </c>
      <c r="B915" t="s">
        <v>1237</v>
      </c>
      <c r="C915" t="s">
        <v>25</v>
      </c>
      <c r="D915" s="9">
        <v>34487</v>
      </c>
      <c r="E915" s="9" t="str">
        <f t="shared" si="112"/>
        <v>20-30</v>
      </c>
      <c r="F915">
        <v>30</v>
      </c>
      <c r="G915" t="s">
        <v>17</v>
      </c>
      <c r="H915">
        <v>1</v>
      </c>
      <c r="I915" t="s">
        <v>46</v>
      </c>
      <c r="K915">
        <f t="shared" si="119"/>
        <v>0</v>
      </c>
      <c r="L915">
        <f t="shared" si="113"/>
        <v>1</v>
      </c>
      <c r="M915">
        <f t="shared" si="114"/>
        <v>0</v>
      </c>
      <c r="N915">
        <f t="shared" si="115"/>
        <v>0</v>
      </c>
      <c r="O915">
        <f t="shared" si="116"/>
        <v>0</v>
      </c>
      <c r="P915">
        <f t="shared" si="117"/>
        <v>0</v>
      </c>
      <c r="Q915">
        <f t="shared" si="118"/>
        <v>0</v>
      </c>
      <c r="R915" t="b">
        <v>0</v>
      </c>
      <c r="T915" s="10">
        <v>0.736805555555556</v>
      </c>
      <c r="U915" s="10">
        <v>0.810416666666667</v>
      </c>
      <c r="V915">
        <v>106</v>
      </c>
      <c r="W915" t="b">
        <v>0</v>
      </c>
    </row>
    <row r="916" spans="1:24">
      <c r="A916">
        <v>915</v>
      </c>
      <c r="B916" t="s">
        <v>1238</v>
      </c>
      <c r="C916" t="s">
        <v>16</v>
      </c>
      <c r="D916" s="9">
        <v>36993</v>
      </c>
      <c r="E916" s="9" t="str">
        <f t="shared" si="112"/>
        <v>20-30</v>
      </c>
      <c r="F916">
        <v>23</v>
      </c>
      <c r="G916" t="s">
        <v>21</v>
      </c>
      <c r="H916">
        <v>1</v>
      </c>
      <c r="I916" t="s">
        <v>35</v>
      </c>
      <c r="K916">
        <f t="shared" si="119"/>
        <v>0</v>
      </c>
      <c r="L916">
        <f t="shared" si="113"/>
        <v>0</v>
      </c>
      <c r="M916">
        <f t="shared" si="114"/>
        <v>1</v>
      </c>
      <c r="N916">
        <f t="shared" si="115"/>
        <v>0</v>
      </c>
      <c r="O916">
        <f t="shared" si="116"/>
        <v>0</v>
      </c>
      <c r="P916">
        <f t="shared" si="117"/>
        <v>0</v>
      </c>
      <c r="Q916">
        <f t="shared" si="118"/>
        <v>0</v>
      </c>
      <c r="R916" t="b">
        <v>1</v>
      </c>
      <c r="S916" t="s">
        <v>19</v>
      </c>
      <c r="T916" s="10">
        <v>0.791666666666667</v>
      </c>
      <c r="U916" s="10">
        <v>0.839583333333333</v>
      </c>
      <c r="V916">
        <v>69</v>
      </c>
      <c r="W916" t="b">
        <v>0</v>
      </c>
    </row>
    <row r="917" spans="1:24">
      <c r="A917">
        <v>916</v>
      </c>
      <c r="B917" t="s">
        <v>1239</v>
      </c>
      <c r="C917" t="s">
        <v>25</v>
      </c>
      <c r="D917" s="9">
        <v>36752</v>
      </c>
      <c r="E917" s="9" t="str">
        <f t="shared" si="112"/>
        <v>20-30</v>
      </c>
      <c r="F917">
        <v>24</v>
      </c>
      <c r="G917" t="s">
        <v>21</v>
      </c>
      <c r="H917">
        <v>1</v>
      </c>
      <c r="I917" t="s">
        <v>185</v>
      </c>
      <c r="K917">
        <f t="shared" si="119"/>
        <v>0</v>
      </c>
      <c r="L917">
        <f t="shared" si="113"/>
        <v>0</v>
      </c>
      <c r="M917">
        <f t="shared" si="114"/>
        <v>0</v>
      </c>
      <c r="N917">
        <f t="shared" si="115"/>
        <v>1</v>
      </c>
      <c r="O917">
        <f t="shared" si="116"/>
        <v>0</v>
      </c>
      <c r="P917">
        <f t="shared" si="117"/>
        <v>0</v>
      </c>
      <c r="Q917">
        <f t="shared" si="118"/>
        <v>0</v>
      </c>
      <c r="R917" t="b">
        <v>1</v>
      </c>
      <c r="S917" t="s">
        <v>1240</v>
      </c>
      <c r="T917" s="10">
        <v>0.628472222222222</v>
      </c>
      <c r="U917" s="10">
        <v>0.665972222222222</v>
      </c>
      <c r="V917">
        <v>54</v>
      </c>
      <c r="W917" t="b">
        <v>0</v>
      </c>
    </row>
    <row r="918" spans="1:24">
      <c r="A918">
        <v>917</v>
      </c>
      <c r="B918" t="s">
        <v>1241</v>
      </c>
      <c r="C918" t="s">
        <v>25</v>
      </c>
      <c r="D918" s="9">
        <v>40722</v>
      </c>
      <c r="E918" s="9" t="str">
        <f t="shared" si="112"/>
        <v>below 20</v>
      </c>
      <c r="F918">
        <v>13</v>
      </c>
      <c r="G918" t="s">
        <v>21</v>
      </c>
      <c r="H918">
        <v>2</v>
      </c>
      <c r="I918" t="s">
        <v>259</v>
      </c>
      <c r="K918">
        <f t="shared" si="119"/>
        <v>0</v>
      </c>
      <c r="L918">
        <f t="shared" si="113"/>
        <v>1</v>
      </c>
      <c r="M918">
        <f t="shared" si="114"/>
        <v>0</v>
      </c>
      <c r="N918">
        <f t="shared" si="115"/>
        <v>0</v>
      </c>
      <c r="O918">
        <f t="shared" si="116"/>
        <v>1</v>
      </c>
      <c r="P918">
        <f t="shared" si="117"/>
        <v>0</v>
      </c>
      <c r="Q918">
        <f t="shared" si="118"/>
        <v>0</v>
      </c>
      <c r="R918" t="b">
        <v>0</v>
      </c>
      <c r="T918" s="10">
        <v>0.811805555555556</v>
      </c>
      <c r="U918" s="10">
        <v>0.839583333333333</v>
      </c>
      <c r="V918">
        <v>40</v>
      </c>
      <c r="W918" t="b">
        <v>0</v>
      </c>
    </row>
    <row r="919" spans="1:24">
      <c r="A919">
        <v>918</v>
      </c>
      <c r="B919" t="s">
        <v>1242</v>
      </c>
      <c r="C919" t="s">
        <v>16</v>
      </c>
      <c r="D919" s="9">
        <v>38865</v>
      </c>
      <c r="E919" s="9" t="str">
        <f t="shared" si="112"/>
        <v>below 20</v>
      </c>
      <c r="F919">
        <v>18</v>
      </c>
      <c r="G919" t="s">
        <v>21</v>
      </c>
      <c r="H919">
        <v>4</v>
      </c>
      <c r="I919" t="s">
        <v>1243</v>
      </c>
      <c r="K919">
        <f t="shared" si="119"/>
        <v>1</v>
      </c>
      <c r="L919">
        <f t="shared" si="113"/>
        <v>1</v>
      </c>
      <c r="M919">
        <f t="shared" si="114"/>
        <v>1</v>
      </c>
      <c r="N919">
        <f t="shared" si="115"/>
        <v>0</v>
      </c>
      <c r="O919">
        <f t="shared" si="116"/>
        <v>0</v>
      </c>
      <c r="P919">
        <f t="shared" si="117"/>
        <v>0</v>
      </c>
      <c r="Q919">
        <f t="shared" si="118"/>
        <v>1</v>
      </c>
      <c r="R919" t="b">
        <v>0</v>
      </c>
      <c r="T919" s="10">
        <v>0.474305555555556</v>
      </c>
      <c r="U919" s="10">
        <v>0.566666666666667</v>
      </c>
      <c r="V919">
        <v>133</v>
      </c>
      <c r="W919" t="b">
        <v>0</v>
      </c>
    </row>
    <row r="920" spans="1:24">
      <c r="A920">
        <v>919</v>
      </c>
      <c r="B920" t="s">
        <v>1244</v>
      </c>
      <c r="C920" t="s">
        <v>25</v>
      </c>
      <c r="D920" s="9">
        <v>29059</v>
      </c>
      <c r="E920" s="9" t="str">
        <f t="shared" si="112"/>
        <v>41-50</v>
      </c>
      <c r="F920">
        <v>45</v>
      </c>
      <c r="G920" t="s">
        <v>17</v>
      </c>
      <c r="H920">
        <v>5</v>
      </c>
      <c r="I920" t="s">
        <v>152</v>
      </c>
      <c r="K920">
        <f t="shared" si="119"/>
        <v>1</v>
      </c>
      <c r="L920">
        <f t="shared" si="113"/>
        <v>0</v>
      </c>
      <c r="M920">
        <f t="shared" si="114"/>
        <v>1</v>
      </c>
      <c r="N920">
        <f t="shared" si="115"/>
        <v>1</v>
      </c>
      <c r="O920">
        <f t="shared" si="116"/>
        <v>1</v>
      </c>
      <c r="P920">
        <f t="shared" si="117"/>
        <v>0</v>
      </c>
      <c r="Q920">
        <f t="shared" si="118"/>
        <v>1</v>
      </c>
      <c r="R920" t="b">
        <v>0</v>
      </c>
      <c r="T920" s="10">
        <v>0.821527777777778</v>
      </c>
      <c r="U920" s="10">
        <v>0.854861111111111</v>
      </c>
      <c r="V920">
        <v>48</v>
      </c>
      <c r="W920" t="b">
        <v>0</v>
      </c>
    </row>
    <row r="921" spans="1:24">
      <c r="A921">
        <v>920</v>
      </c>
      <c r="B921" t="s">
        <v>1245</v>
      </c>
      <c r="C921" t="s">
        <v>16</v>
      </c>
      <c r="D921" s="9">
        <v>30367</v>
      </c>
      <c r="E921" s="9" t="str">
        <f t="shared" si="112"/>
        <v>41-50</v>
      </c>
      <c r="F921">
        <v>41</v>
      </c>
      <c r="G921" t="s">
        <v>21</v>
      </c>
      <c r="H921">
        <v>1</v>
      </c>
      <c r="I921" t="s">
        <v>81</v>
      </c>
      <c r="K921">
        <f t="shared" si="119"/>
        <v>0</v>
      </c>
      <c r="L921">
        <f t="shared" si="113"/>
        <v>0</v>
      </c>
      <c r="M921">
        <f t="shared" si="114"/>
        <v>0</v>
      </c>
      <c r="N921">
        <f t="shared" si="115"/>
        <v>0</v>
      </c>
      <c r="O921">
        <f t="shared" si="116"/>
        <v>0</v>
      </c>
      <c r="P921">
        <f t="shared" si="117"/>
        <v>1</v>
      </c>
      <c r="Q921">
        <f t="shared" si="118"/>
        <v>0</v>
      </c>
      <c r="R921" t="b">
        <v>0</v>
      </c>
      <c r="T921" s="10">
        <v>0.432638888888889</v>
      </c>
      <c r="U921" s="10">
        <v>0.489583333333333</v>
      </c>
      <c r="V921">
        <v>82</v>
      </c>
      <c r="W921" t="b">
        <v>0</v>
      </c>
    </row>
    <row r="922" spans="1:24">
      <c r="A922">
        <v>921</v>
      </c>
      <c r="B922" t="s">
        <v>1246</v>
      </c>
      <c r="C922" t="s">
        <v>16</v>
      </c>
      <c r="D922" s="9">
        <v>40578</v>
      </c>
      <c r="E922" s="9" t="str">
        <f t="shared" si="112"/>
        <v>below 20</v>
      </c>
      <c r="F922">
        <v>13</v>
      </c>
      <c r="G922" t="s">
        <v>17</v>
      </c>
      <c r="H922">
        <v>1</v>
      </c>
      <c r="I922" t="s">
        <v>81</v>
      </c>
      <c r="K922">
        <f t="shared" si="119"/>
        <v>0</v>
      </c>
      <c r="L922">
        <f t="shared" si="113"/>
        <v>0</v>
      </c>
      <c r="M922">
        <f t="shared" si="114"/>
        <v>0</v>
      </c>
      <c r="N922">
        <f t="shared" si="115"/>
        <v>0</v>
      </c>
      <c r="O922">
        <f t="shared" si="116"/>
        <v>0</v>
      </c>
      <c r="P922">
        <f t="shared" si="117"/>
        <v>1</v>
      </c>
      <c r="Q922">
        <f t="shared" si="118"/>
        <v>0</v>
      </c>
      <c r="R922" t="b">
        <v>1</v>
      </c>
      <c r="S922" t="s">
        <v>44</v>
      </c>
      <c r="T922" s="10">
        <v>0.527083333333333</v>
      </c>
      <c r="U922" s="10">
        <v>0.559027777777778</v>
      </c>
      <c r="V922">
        <v>46</v>
      </c>
      <c r="W922" t="b">
        <v>0</v>
      </c>
    </row>
    <row r="923" spans="1:24">
      <c r="A923">
        <v>922</v>
      </c>
      <c r="B923" t="s">
        <v>1064</v>
      </c>
      <c r="C923" t="s">
        <v>16</v>
      </c>
      <c r="D923" s="9">
        <v>32841</v>
      </c>
      <c r="E923" s="9" t="str">
        <f t="shared" si="112"/>
        <v>31-41</v>
      </c>
      <c r="F923">
        <v>34</v>
      </c>
      <c r="G923" t="s">
        <v>21</v>
      </c>
      <c r="H923">
        <v>1</v>
      </c>
      <c r="I923" t="s">
        <v>49</v>
      </c>
      <c r="K923">
        <f t="shared" si="119"/>
        <v>0</v>
      </c>
      <c r="L923">
        <f t="shared" si="113"/>
        <v>0</v>
      </c>
      <c r="M923">
        <f t="shared" si="114"/>
        <v>0</v>
      </c>
      <c r="N923">
        <f t="shared" si="115"/>
        <v>0</v>
      </c>
      <c r="O923">
        <f t="shared" si="116"/>
        <v>1</v>
      </c>
      <c r="P923">
        <f t="shared" si="117"/>
        <v>0</v>
      </c>
      <c r="Q923">
        <f t="shared" si="118"/>
        <v>0</v>
      </c>
      <c r="R923" t="b">
        <v>1</v>
      </c>
      <c r="S923" t="s">
        <v>1247</v>
      </c>
      <c r="T923" s="10">
        <v>0.436111111111111</v>
      </c>
      <c r="U923" s="10">
        <v>0.544444444444444</v>
      </c>
      <c r="V923">
        <v>156</v>
      </c>
      <c r="W923" t="b">
        <v>1</v>
      </c>
      <c r="X923" t="s">
        <v>23</v>
      </c>
    </row>
    <row r="924" spans="1:24">
      <c r="A924">
        <v>923</v>
      </c>
      <c r="B924" t="s">
        <v>1248</v>
      </c>
      <c r="C924" t="s">
        <v>16</v>
      </c>
      <c r="D924" s="9">
        <v>29834</v>
      </c>
      <c r="E924" s="9" t="str">
        <f t="shared" si="112"/>
        <v>41-50</v>
      </c>
      <c r="F924">
        <v>43</v>
      </c>
      <c r="G924" t="s">
        <v>21</v>
      </c>
      <c r="H924">
        <v>1</v>
      </c>
      <c r="I924" t="s">
        <v>185</v>
      </c>
      <c r="K924">
        <f t="shared" si="119"/>
        <v>0</v>
      </c>
      <c r="L924">
        <f t="shared" si="113"/>
        <v>0</v>
      </c>
      <c r="M924">
        <f t="shared" si="114"/>
        <v>0</v>
      </c>
      <c r="N924">
        <f t="shared" si="115"/>
        <v>1</v>
      </c>
      <c r="O924">
        <f t="shared" si="116"/>
        <v>0</v>
      </c>
      <c r="P924">
        <f t="shared" si="117"/>
        <v>0</v>
      </c>
      <c r="Q924">
        <f t="shared" si="118"/>
        <v>0</v>
      </c>
      <c r="R924" t="b">
        <v>0</v>
      </c>
      <c r="T924" s="10">
        <v>0.627777777777778</v>
      </c>
      <c r="U924" s="10">
        <v>0.664583333333333</v>
      </c>
      <c r="V924">
        <v>53</v>
      </c>
      <c r="W924" t="b">
        <v>1</v>
      </c>
      <c r="X924" t="s">
        <v>47</v>
      </c>
    </row>
    <row r="925" spans="1:24">
      <c r="A925">
        <v>924</v>
      </c>
      <c r="B925" t="s">
        <v>1249</v>
      </c>
      <c r="C925" t="s">
        <v>25</v>
      </c>
      <c r="D925" s="9">
        <v>31178</v>
      </c>
      <c r="E925" s="9" t="str">
        <f t="shared" si="112"/>
        <v>31-41</v>
      </c>
      <c r="F925">
        <v>39</v>
      </c>
      <c r="G925" t="s">
        <v>17</v>
      </c>
      <c r="H925">
        <v>2</v>
      </c>
      <c r="I925" t="s">
        <v>509</v>
      </c>
      <c r="K925">
        <f t="shared" si="119"/>
        <v>0</v>
      </c>
      <c r="L925">
        <f t="shared" si="113"/>
        <v>0</v>
      </c>
      <c r="M925">
        <f t="shared" si="114"/>
        <v>1</v>
      </c>
      <c r="N925">
        <f t="shared" si="115"/>
        <v>0</v>
      </c>
      <c r="O925">
        <f t="shared" si="116"/>
        <v>0</v>
      </c>
      <c r="P925">
        <f t="shared" si="117"/>
        <v>0</v>
      </c>
      <c r="Q925">
        <f t="shared" si="118"/>
        <v>1</v>
      </c>
      <c r="R925" t="b">
        <v>0</v>
      </c>
      <c r="T925" s="10">
        <v>0.747916666666667</v>
      </c>
      <c r="U925" s="10">
        <v>0.843055555555556</v>
      </c>
      <c r="V925">
        <v>137</v>
      </c>
      <c r="W925" t="b">
        <v>1</v>
      </c>
      <c r="X925" t="s">
        <v>47</v>
      </c>
    </row>
    <row r="926" spans="1:24">
      <c r="A926">
        <v>925</v>
      </c>
      <c r="B926" t="s">
        <v>826</v>
      </c>
      <c r="C926" t="s">
        <v>16</v>
      </c>
      <c r="D926" s="9">
        <v>40771</v>
      </c>
      <c r="E926" s="9" t="str">
        <f t="shared" si="112"/>
        <v>below 20</v>
      </c>
      <c r="F926">
        <v>13</v>
      </c>
      <c r="G926" t="s">
        <v>17</v>
      </c>
      <c r="H926">
        <v>3</v>
      </c>
      <c r="I926" t="s">
        <v>321</v>
      </c>
      <c r="K926">
        <f t="shared" si="119"/>
        <v>0</v>
      </c>
      <c r="L926">
        <f t="shared" si="113"/>
        <v>0</v>
      </c>
      <c r="M926">
        <f t="shared" si="114"/>
        <v>0</v>
      </c>
      <c r="N926">
        <f t="shared" si="115"/>
        <v>1</v>
      </c>
      <c r="O926">
        <f t="shared" si="116"/>
        <v>0</v>
      </c>
      <c r="P926">
        <f t="shared" si="117"/>
        <v>1</v>
      </c>
      <c r="Q926">
        <f t="shared" si="118"/>
        <v>1</v>
      </c>
      <c r="R926" t="b">
        <v>1</v>
      </c>
      <c r="S926" t="s">
        <v>528</v>
      </c>
      <c r="T926" s="10">
        <v>0.574305555555556</v>
      </c>
      <c r="U926" s="10">
        <v>0.688888888888889</v>
      </c>
      <c r="V926">
        <v>165</v>
      </c>
      <c r="W926" t="b">
        <v>0</v>
      </c>
    </row>
    <row r="927" spans="1:24">
      <c r="A927">
        <v>926</v>
      </c>
      <c r="B927" t="s">
        <v>1250</v>
      </c>
      <c r="C927" t="s">
        <v>25</v>
      </c>
      <c r="D927" s="9">
        <v>37204</v>
      </c>
      <c r="E927" s="9" t="str">
        <f t="shared" si="112"/>
        <v>20-30</v>
      </c>
      <c r="F927">
        <v>22</v>
      </c>
      <c r="G927" t="s">
        <v>21</v>
      </c>
      <c r="H927">
        <v>5</v>
      </c>
      <c r="I927" t="s">
        <v>368</v>
      </c>
      <c r="K927">
        <f t="shared" si="119"/>
        <v>0</v>
      </c>
      <c r="L927">
        <f t="shared" si="113"/>
        <v>1</v>
      </c>
      <c r="M927">
        <f t="shared" si="114"/>
        <v>1</v>
      </c>
      <c r="N927">
        <f t="shared" si="115"/>
        <v>1</v>
      </c>
      <c r="O927">
        <f t="shared" si="116"/>
        <v>1</v>
      </c>
      <c r="P927">
        <f t="shared" si="117"/>
        <v>1</v>
      </c>
      <c r="Q927">
        <f t="shared" si="118"/>
        <v>0</v>
      </c>
      <c r="R927" t="b">
        <v>0</v>
      </c>
      <c r="T927" s="10">
        <v>0.386111111111111</v>
      </c>
      <c r="U927" s="10">
        <v>0.435416666666667</v>
      </c>
      <c r="V927">
        <v>71</v>
      </c>
      <c r="W927" t="b">
        <v>1</v>
      </c>
      <c r="X927" t="s">
        <v>23</v>
      </c>
    </row>
    <row r="928" spans="1:24">
      <c r="A928">
        <v>927</v>
      </c>
      <c r="B928" t="s">
        <v>1251</v>
      </c>
      <c r="C928" t="s">
        <v>25</v>
      </c>
      <c r="D928" s="9">
        <v>36963</v>
      </c>
      <c r="E928" s="9" t="str">
        <f t="shared" si="112"/>
        <v>20-30</v>
      </c>
      <c r="F928">
        <v>23</v>
      </c>
      <c r="G928" t="s">
        <v>21</v>
      </c>
      <c r="H928">
        <v>3</v>
      </c>
      <c r="I928" t="s">
        <v>37</v>
      </c>
      <c r="K928">
        <f t="shared" si="119"/>
        <v>1</v>
      </c>
      <c r="L928">
        <f t="shared" si="113"/>
        <v>1</v>
      </c>
      <c r="M928">
        <f t="shared" si="114"/>
        <v>0</v>
      </c>
      <c r="N928">
        <f t="shared" si="115"/>
        <v>0</v>
      </c>
      <c r="O928">
        <f t="shared" si="116"/>
        <v>0</v>
      </c>
      <c r="P928">
        <f t="shared" si="117"/>
        <v>0</v>
      </c>
      <c r="Q928">
        <f t="shared" si="118"/>
        <v>1</v>
      </c>
      <c r="R928" t="b">
        <v>1</v>
      </c>
      <c r="S928" t="s">
        <v>1089</v>
      </c>
      <c r="T928" s="10">
        <v>0.41875</v>
      </c>
      <c r="U928" s="10">
        <v>0.480555555555556</v>
      </c>
      <c r="V928">
        <v>89</v>
      </c>
      <c r="W928" t="b">
        <v>1</v>
      </c>
      <c r="X928" t="s">
        <v>50</v>
      </c>
    </row>
    <row r="929" spans="1:24">
      <c r="A929">
        <v>928</v>
      </c>
      <c r="B929" t="s">
        <v>1252</v>
      </c>
      <c r="C929" t="s">
        <v>16</v>
      </c>
      <c r="D929" s="9">
        <v>32037</v>
      </c>
      <c r="E929" s="9" t="str">
        <f t="shared" si="112"/>
        <v>31-41</v>
      </c>
      <c r="F929">
        <v>37</v>
      </c>
      <c r="G929" t="s">
        <v>17</v>
      </c>
      <c r="H929">
        <v>3</v>
      </c>
      <c r="I929" t="s">
        <v>30</v>
      </c>
      <c r="K929">
        <f t="shared" si="119"/>
        <v>0</v>
      </c>
      <c r="L929">
        <f t="shared" si="113"/>
        <v>0</v>
      </c>
      <c r="M929">
        <f t="shared" si="114"/>
        <v>1</v>
      </c>
      <c r="N929">
        <f t="shared" si="115"/>
        <v>0</v>
      </c>
      <c r="O929">
        <f t="shared" si="116"/>
        <v>0</v>
      </c>
      <c r="P929">
        <f t="shared" si="117"/>
        <v>1</v>
      </c>
      <c r="Q929">
        <f t="shared" si="118"/>
        <v>1</v>
      </c>
      <c r="R929" t="b">
        <v>0</v>
      </c>
      <c r="T929" s="10">
        <v>0.73125</v>
      </c>
      <c r="U929" s="10">
        <v>0.781944444444444</v>
      </c>
      <c r="V929">
        <v>73</v>
      </c>
      <c r="W929" t="b">
        <v>0</v>
      </c>
    </row>
    <row r="930" spans="1:24">
      <c r="A930">
        <v>929</v>
      </c>
      <c r="B930" t="s">
        <v>1253</v>
      </c>
      <c r="C930" t="s">
        <v>25</v>
      </c>
      <c r="D930" s="9">
        <v>34645</v>
      </c>
      <c r="E930" s="9" t="str">
        <f t="shared" si="112"/>
        <v>20-30</v>
      </c>
      <c r="F930">
        <v>29</v>
      </c>
      <c r="G930" t="s">
        <v>17</v>
      </c>
      <c r="H930">
        <v>5</v>
      </c>
      <c r="I930" t="s">
        <v>183</v>
      </c>
      <c r="K930">
        <f t="shared" si="119"/>
        <v>0</v>
      </c>
      <c r="L930">
        <f t="shared" si="113"/>
        <v>1</v>
      </c>
      <c r="M930">
        <f t="shared" si="114"/>
        <v>1</v>
      </c>
      <c r="N930">
        <f t="shared" si="115"/>
        <v>1</v>
      </c>
      <c r="O930">
        <f t="shared" si="116"/>
        <v>0</v>
      </c>
      <c r="P930">
        <f t="shared" si="117"/>
        <v>1</v>
      </c>
      <c r="Q930">
        <f t="shared" si="118"/>
        <v>1</v>
      </c>
      <c r="R930" t="b">
        <v>1</v>
      </c>
      <c r="S930" t="s">
        <v>1254</v>
      </c>
      <c r="T930" s="10">
        <v>0.401388888888889</v>
      </c>
      <c r="U930" s="10">
        <v>0.454166666666667</v>
      </c>
      <c r="V930">
        <v>76</v>
      </c>
      <c r="W930" t="b">
        <v>0</v>
      </c>
    </row>
    <row r="931" spans="1:24">
      <c r="A931">
        <v>930</v>
      </c>
      <c r="B931" t="s">
        <v>1255</v>
      </c>
      <c r="C931" t="s">
        <v>16</v>
      </c>
      <c r="D931" s="9">
        <v>37118</v>
      </c>
      <c r="E931" s="9" t="str">
        <f t="shared" si="112"/>
        <v>20-30</v>
      </c>
      <c r="F931">
        <v>23</v>
      </c>
      <c r="G931" t="s">
        <v>17</v>
      </c>
      <c r="H931">
        <v>5</v>
      </c>
      <c r="I931" t="s">
        <v>88</v>
      </c>
      <c r="K931">
        <f t="shared" si="119"/>
        <v>0</v>
      </c>
      <c r="L931">
        <f t="shared" si="113"/>
        <v>1</v>
      </c>
      <c r="M931">
        <f t="shared" si="114"/>
        <v>0</v>
      </c>
      <c r="N931">
        <f t="shared" si="115"/>
        <v>1</v>
      </c>
      <c r="O931">
        <f t="shared" si="116"/>
        <v>1</v>
      </c>
      <c r="P931">
        <f t="shared" si="117"/>
        <v>1</v>
      </c>
      <c r="Q931">
        <f t="shared" si="118"/>
        <v>1</v>
      </c>
      <c r="R931" t="b">
        <v>0</v>
      </c>
      <c r="T931" s="10">
        <v>0.58125</v>
      </c>
      <c r="U931" s="10">
        <v>0.613888888888889</v>
      </c>
      <c r="V931">
        <v>47</v>
      </c>
      <c r="W931" t="b">
        <v>0</v>
      </c>
    </row>
    <row r="932" spans="1:24">
      <c r="A932">
        <v>931</v>
      </c>
      <c r="B932" t="s">
        <v>1256</v>
      </c>
      <c r="C932" t="s">
        <v>16</v>
      </c>
      <c r="D932" s="9">
        <v>37154</v>
      </c>
      <c r="E932" s="9" t="str">
        <f t="shared" si="112"/>
        <v>20-30</v>
      </c>
      <c r="F932">
        <v>23</v>
      </c>
      <c r="G932" t="s">
        <v>21</v>
      </c>
      <c r="H932">
        <v>5</v>
      </c>
      <c r="I932" t="s">
        <v>96</v>
      </c>
      <c r="K932">
        <f t="shared" si="119"/>
        <v>1</v>
      </c>
      <c r="L932">
        <f t="shared" si="113"/>
        <v>1</v>
      </c>
      <c r="M932">
        <f t="shared" si="114"/>
        <v>0</v>
      </c>
      <c r="N932">
        <f t="shared" si="115"/>
        <v>1</v>
      </c>
      <c r="O932">
        <f t="shared" si="116"/>
        <v>0</v>
      </c>
      <c r="P932">
        <f t="shared" si="117"/>
        <v>1</v>
      </c>
      <c r="Q932">
        <f t="shared" si="118"/>
        <v>1</v>
      </c>
      <c r="R932" t="b">
        <v>0</v>
      </c>
      <c r="T932" s="10">
        <v>0.689583333333333</v>
      </c>
      <c r="U932" s="10">
        <v>0.747916666666667</v>
      </c>
      <c r="V932">
        <v>84</v>
      </c>
      <c r="W932" t="b">
        <v>0</v>
      </c>
    </row>
    <row r="933" spans="1:24">
      <c r="A933">
        <v>932</v>
      </c>
      <c r="B933" t="s">
        <v>1257</v>
      </c>
      <c r="C933" t="s">
        <v>25</v>
      </c>
      <c r="D933" s="9">
        <v>35517</v>
      </c>
      <c r="E933" s="9" t="str">
        <f t="shared" si="112"/>
        <v>20-30</v>
      </c>
      <c r="F933">
        <v>27</v>
      </c>
      <c r="G933" t="s">
        <v>17</v>
      </c>
      <c r="H933">
        <v>3</v>
      </c>
      <c r="I933" t="s">
        <v>150</v>
      </c>
      <c r="K933">
        <f t="shared" si="119"/>
        <v>0</v>
      </c>
      <c r="L933">
        <f t="shared" si="113"/>
        <v>1</v>
      </c>
      <c r="M933">
        <f t="shared" si="114"/>
        <v>0</v>
      </c>
      <c r="N933">
        <f t="shared" si="115"/>
        <v>1</v>
      </c>
      <c r="O933">
        <f t="shared" si="116"/>
        <v>0</v>
      </c>
      <c r="P933">
        <f t="shared" si="117"/>
        <v>0</v>
      </c>
      <c r="Q933">
        <f t="shared" si="118"/>
        <v>1</v>
      </c>
      <c r="R933" t="b">
        <v>1</v>
      </c>
      <c r="S933" t="s">
        <v>1258</v>
      </c>
      <c r="T933" s="10">
        <v>0.45</v>
      </c>
      <c r="U933" s="10">
        <v>0.508333333333333</v>
      </c>
      <c r="V933">
        <v>84</v>
      </c>
      <c r="W933" t="b">
        <v>0</v>
      </c>
    </row>
    <row r="934" spans="1:24">
      <c r="A934">
        <v>933</v>
      </c>
      <c r="B934" t="s">
        <v>1259</v>
      </c>
      <c r="C934" t="s">
        <v>16</v>
      </c>
      <c r="D934" s="9">
        <v>40002</v>
      </c>
      <c r="E934" s="9" t="str">
        <f t="shared" si="112"/>
        <v>below 20</v>
      </c>
      <c r="F934">
        <v>15</v>
      </c>
      <c r="G934" t="s">
        <v>17</v>
      </c>
      <c r="H934">
        <v>1</v>
      </c>
      <c r="I934" t="s">
        <v>35</v>
      </c>
      <c r="K934">
        <f t="shared" si="119"/>
        <v>0</v>
      </c>
      <c r="L934">
        <f t="shared" si="113"/>
        <v>0</v>
      </c>
      <c r="M934">
        <f t="shared" si="114"/>
        <v>1</v>
      </c>
      <c r="N934">
        <f t="shared" si="115"/>
        <v>0</v>
      </c>
      <c r="O934">
        <f t="shared" si="116"/>
        <v>0</v>
      </c>
      <c r="P934">
        <f t="shared" si="117"/>
        <v>0</v>
      </c>
      <c r="Q934">
        <f t="shared" si="118"/>
        <v>0</v>
      </c>
      <c r="R934" t="b">
        <v>1</v>
      </c>
      <c r="S934" t="s">
        <v>1260</v>
      </c>
      <c r="T934" s="10">
        <v>0.795833333333333</v>
      </c>
      <c r="U934" s="10">
        <v>0.817361111111111</v>
      </c>
      <c r="V934">
        <v>31</v>
      </c>
      <c r="W934" t="b">
        <v>1</v>
      </c>
      <c r="X934" t="s">
        <v>28</v>
      </c>
    </row>
    <row r="935" spans="1:24">
      <c r="A935">
        <v>934</v>
      </c>
      <c r="B935" t="s">
        <v>488</v>
      </c>
      <c r="C935" t="s">
        <v>16</v>
      </c>
      <c r="D935" s="9">
        <v>30372</v>
      </c>
      <c r="E935" s="9" t="str">
        <f t="shared" si="112"/>
        <v>41-50</v>
      </c>
      <c r="F935">
        <v>41</v>
      </c>
      <c r="G935" t="s">
        <v>17</v>
      </c>
      <c r="H935">
        <v>5</v>
      </c>
      <c r="I935" t="s">
        <v>567</v>
      </c>
      <c r="K935">
        <f t="shared" si="119"/>
        <v>1</v>
      </c>
      <c r="L935">
        <f t="shared" si="113"/>
        <v>0</v>
      </c>
      <c r="M935">
        <f t="shared" si="114"/>
        <v>0</v>
      </c>
      <c r="N935">
        <f t="shared" si="115"/>
        <v>1</v>
      </c>
      <c r="O935">
        <f t="shared" si="116"/>
        <v>1</v>
      </c>
      <c r="P935">
        <f t="shared" si="117"/>
        <v>1</v>
      </c>
      <c r="Q935">
        <f t="shared" si="118"/>
        <v>1</v>
      </c>
      <c r="R935" t="b">
        <v>0</v>
      </c>
      <c r="T935" s="10">
        <v>0.578472222222222</v>
      </c>
      <c r="U935" s="10">
        <v>0.667361111111111</v>
      </c>
      <c r="V935">
        <v>128</v>
      </c>
      <c r="W935" t="b">
        <v>0</v>
      </c>
    </row>
    <row r="936" spans="1:24">
      <c r="A936">
        <v>935</v>
      </c>
      <c r="B936" t="s">
        <v>752</v>
      </c>
      <c r="C936" t="s">
        <v>16</v>
      </c>
      <c r="D936" s="9">
        <v>39962</v>
      </c>
      <c r="E936" s="9" t="str">
        <f t="shared" si="112"/>
        <v>below 20</v>
      </c>
      <c r="F936">
        <v>15</v>
      </c>
      <c r="G936" t="s">
        <v>21</v>
      </c>
      <c r="H936">
        <v>2</v>
      </c>
      <c r="I936" t="s">
        <v>509</v>
      </c>
      <c r="K936">
        <f t="shared" si="119"/>
        <v>0</v>
      </c>
      <c r="L936">
        <f t="shared" si="113"/>
        <v>0</v>
      </c>
      <c r="M936">
        <f t="shared" si="114"/>
        <v>1</v>
      </c>
      <c r="N936">
        <f t="shared" si="115"/>
        <v>0</v>
      </c>
      <c r="O936">
        <f t="shared" si="116"/>
        <v>0</v>
      </c>
      <c r="P936">
        <f t="shared" si="117"/>
        <v>0</v>
      </c>
      <c r="Q936">
        <f t="shared" si="118"/>
        <v>1</v>
      </c>
      <c r="R936" t="b">
        <v>0</v>
      </c>
      <c r="T936" s="10">
        <v>0.524305555555556</v>
      </c>
      <c r="U936" s="10">
        <v>0.622222222222222</v>
      </c>
      <c r="V936">
        <v>141</v>
      </c>
      <c r="W936" t="b">
        <v>0</v>
      </c>
    </row>
    <row r="937" spans="1:24">
      <c r="A937">
        <v>936</v>
      </c>
      <c r="B937" t="s">
        <v>1261</v>
      </c>
      <c r="C937" t="s">
        <v>25</v>
      </c>
      <c r="D937" s="9">
        <v>40518</v>
      </c>
      <c r="E937" s="9" t="str">
        <f t="shared" si="112"/>
        <v>below 20</v>
      </c>
      <c r="F937">
        <v>13</v>
      </c>
      <c r="G937" t="s">
        <v>17</v>
      </c>
      <c r="H937">
        <v>3</v>
      </c>
      <c r="I937" t="s">
        <v>251</v>
      </c>
      <c r="K937">
        <f t="shared" si="119"/>
        <v>1</v>
      </c>
      <c r="L937">
        <f t="shared" si="113"/>
        <v>0</v>
      </c>
      <c r="M937">
        <f t="shared" si="114"/>
        <v>1</v>
      </c>
      <c r="N937">
        <f t="shared" si="115"/>
        <v>1</v>
      </c>
      <c r="O937">
        <f t="shared" si="116"/>
        <v>0</v>
      </c>
      <c r="P937">
        <f t="shared" si="117"/>
        <v>0</v>
      </c>
      <c r="Q937">
        <f t="shared" si="118"/>
        <v>0</v>
      </c>
      <c r="R937" t="b">
        <v>1</v>
      </c>
      <c r="S937" t="s">
        <v>178</v>
      </c>
      <c r="T937" s="10">
        <v>0.646527777777778</v>
      </c>
      <c r="U937" s="10">
        <v>0.768055555555556</v>
      </c>
      <c r="V937">
        <v>175</v>
      </c>
      <c r="W937" t="b">
        <v>0</v>
      </c>
    </row>
    <row r="938" spans="1:24">
      <c r="A938">
        <v>937</v>
      </c>
      <c r="B938" t="s">
        <v>1262</v>
      </c>
      <c r="C938" t="s">
        <v>25</v>
      </c>
      <c r="D938" s="9">
        <v>27611</v>
      </c>
      <c r="E938" s="9" t="str">
        <f t="shared" si="112"/>
        <v>41-50</v>
      </c>
      <c r="F938">
        <v>49</v>
      </c>
      <c r="G938" t="s">
        <v>17</v>
      </c>
      <c r="H938">
        <v>3</v>
      </c>
      <c r="I938" t="s">
        <v>136</v>
      </c>
      <c r="K938">
        <f t="shared" si="119"/>
        <v>1</v>
      </c>
      <c r="L938">
        <f t="shared" si="113"/>
        <v>0</v>
      </c>
      <c r="M938">
        <f t="shared" si="114"/>
        <v>0</v>
      </c>
      <c r="N938">
        <f t="shared" si="115"/>
        <v>1</v>
      </c>
      <c r="O938">
        <f t="shared" si="116"/>
        <v>0</v>
      </c>
      <c r="P938">
        <f t="shared" si="117"/>
        <v>1</v>
      </c>
      <c r="Q938">
        <f t="shared" si="118"/>
        <v>0</v>
      </c>
      <c r="R938" t="b">
        <v>1</v>
      </c>
      <c r="S938" t="s">
        <v>428</v>
      </c>
      <c r="T938" s="10">
        <v>0.454861111111111</v>
      </c>
      <c r="U938" s="10">
        <v>0.578472222222222</v>
      </c>
      <c r="V938">
        <v>178</v>
      </c>
      <c r="W938" t="b">
        <v>0</v>
      </c>
    </row>
    <row r="939" spans="1:24">
      <c r="A939">
        <v>938</v>
      </c>
      <c r="B939" t="s">
        <v>1263</v>
      </c>
      <c r="C939" t="s">
        <v>25</v>
      </c>
      <c r="D939" s="9">
        <v>33888</v>
      </c>
      <c r="E939" s="9" t="str">
        <f t="shared" si="112"/>
        <v>31-41</v>
      </c>
      <c r="F939">
        <v>31</v>
      </c>
      <c r="G939" t="s">
        <v>21</v>
      </c>
      <c r="H939">
        <v>3</v>
      </c>
      <c r="I939" t="s">
        <v>148</v>
      </c>
      <c r="K939">
        <f t="shared" si="119"/>
        <v>0</v>
      </c>
      <c r="L939">
        <f t="shared" si="113"/>
        <v>0</v>
      </c>
      <c r="M939">
        <f t="shared" si="114"/>
        <v>0</v>
      </c>
      <c r="N939">
        <f t="shared" si="115"/>
        <v>1</v>
      </c>
      <c r="O939">
        <f t="shared" si="116"/>
        <v>1</v>
      </c>
      <c r="P939">
        <f t="shared" si="117"/>
        <v>1</v>
      </c>
      <c r="Q939">
        <f t="shared" si="118"/>
        <v>0</v>
      </c>
      <c r="R939" t="b">
        <v>1</v>
      </c>
      <c r="S939" t="s">
        <v>201</v>
      </c>
      <c r="T939" s="10">
        <v>0.414583333333333</v>
      </c>
      <c r="U939" s="10">
        <v>0.470833333333333</v>
      </c>
      <c r="V939">
        <v>81</v>
      </c>
      <c r="W939" t="b">
        <v>1</v>
      </c>
      <c r="X939" t="s">
        <v>28</v>
      </c>
    </row>
    <row r="940" spans="1:24">
      <c r="A940">
        <v>939</v>
      </c>
      <c r="B940" t="s">
        <v>1264</v>
      </c>
      <c r="C940" t="s">
        <v>16</v>
      </c>
      <c r="D940" s="9">
        <v>29867</v>
      </c>
      <c r="E940" s="9" t="str">
        <f t="shared" si="112"/>
        <v>41-50</v>
      </c>
      <c r="F940">
        <v>42</v>
      </c>
      <c r="G940" t="s">
        <v>17</v>
      </c>
      <c r="H940">
        <v>5</v>
      </c>
      <c r="I940" t="s">
        <v>96</v>
      </c>
      <c r="K940">
        <f t="shared" si="119"/>
        <v>1</v>
      </c>
      <c r="L940">
        <f t="shared" si="113"/>
        <v>1</v>
      </c>
      <c r="M940">
        <f t="shared" si="114"/>
        <v>0</v>
      </c>
      <c r="N940">
        <f t="shared" si="115"/>
        <v>1</v>
      </c>
      <c r="O940">
        <f t="shared" si="116"/>
        <v>0</v>
      </c>
      <c r="P940">
        <f t="shared" si="117"/>
        <v>1</v>
      </c>
      <c r="Q940">
        <f t="shared" si="118"/>
        <v>1</v>
      </c>
      <c r="R940" t="b">
        <v>0</v>
      </c>
      <c r="T940" s="10">
        <v>0.534722222222222</v>
      </c>
      <c r="U940" s="10">
        <v>0.590277777777778</v>
      </c>
      <c r="V940">
        <v>80</v>
      </c>
      <c r="W940" t="b">
        <v>1</v>
      </c>
      <c r="X940" t="s">
        <v>47</v>
      </c>
    </row>
    <row r="941" spans="1:24">
      <c r="A941">
        <v>940</v>
      </c>
      <c r="B941" t="s">
        <v>1126</v>
      </c>
      <c r="C941" t="s">
        <v>16</v>
      </c>
      <c r="D941" s="9">
        <v>33410</v>
      </c>
      <c r="E941" s="9" t="str">
        <f t="shared" si="112"/>
        <v>31-41</v>
      </c>
      <c r="F941">
        <v>33</v>
      </c>
      <c r="G941" t="s">
        <v>17</v>
      </c>
      <c r="H941">
        <v>2</v>
      </c>
      <c r="I941" t="s">
        <v>69</v>
      </c>
      <c r="K941">
        <f t="shared" si="119"/>
        <v>0</v>
      </c>
      <c r="L941">
        <f t="shared" si="113"/>
        <v>0</v>
      </c>
      <c r="M941">
        <f t="shared" si="114"/>
        <v>0</v>
      </c>
      <c r="N941">
        <f t="shared" si="115"/>
        <v>1</v>
      </c>
      <c r="O941">
        <f t="shared" si="116"/>
        <v>0</v>
      </c>
      <c r="P941">
        <f t="shared" si="117"/>
        <v>0</v>
      </c>
      <c r="Q941">
        <f t="shared" si="118"/>
        <v>1</v>
      </c>
      <c r="R941" t="b">
        <v>1</v>
      </c>
      <c r="S941" t="s">
        <v>1265</v>
      </c>
      <c r="T941" s="10">
        <v>0.850694444444445</v>
      </c>
      <c r="U941" s="10">
        <v>0.878472222222222</v>
      </c>
      <c r="V941">
        <v>40</v>
      </c>
      <c r="W941" t="b">
        <v>0</v>
      </c>
    </row>
    <row r="942" spans="1:24">
      <c r="A942">
        <v>941</v>
      </c>
      <c r="B942" t="s">
        <v>1266</v>
      </c>
      <c r="C942" t="s">
        <v>25</v>
      </c>
      <c r="D942" s="9">
        <v>28845</v>
      </c>
      <c r="E942" s="9" t="str">
        <f t="shared" si="112"/>
        <v>41-50</v>
      </c>
      <c r="F942">
        <v>45</v>
      </c>
      <c r="G942" t="s">
        <v>17</v>
      </c>
      <c r="H942">
        <v>3</v>
      </c>
      <c r="I942" t="s">
        <v>164</v>
      </c>
      <c r="K942">
        <f t="shared" si="119"/>
        <v>0</v>
      </c>
      <c r="L942">
        <f t="shared" si="113"/>
        <v>0</v>
      </c>
      <c r="M942">
        <f t="shared" si="114"/>
        <v>1</v>
      </c>
      <c r="N942">
        <f t="shared" si="115"/>
        <v>0</v>
      </c>
      <c r="O942">
        <f t="shared" si="116"/>
        <v>1</v>
      </c>
      <c r="P942">
        <f t="shared" si="117"/>
        <v>1</v>
      </c>
      <c r="Q942">
        <f t="shared" si="118"/>
        <v>0</v>
      </c>
      <c r="R942" t="b">
        <v>0</v>
      </c>
      <c r="T942" s="10">
        <v>0.43125</v>
      </c>
      <c r="U942" s="10">
        <v>0.470833333333333</v>
      </c>
      <c r="V942">
        <v>57</v>
      </c>
      <c r="W942" t="b">
        <v>1</v>
      </c>
      <c r="X942" t="s">
        <v>50</v>
      </c>
    </row>
    <row r="943" spans="1:24">
      <c r="A943">
        <v>942</v>
      </c>
      <c r="B943" t="s">
        <v>1267</v>
      </c>
      <c r="C943" t="s">
        <v>25</v>
      </c>
      <c r="D943" s="9">
        <v>29653</v>
      </c>
      <c r="E943" s="9" t="str">
        <f t="shared" si="112"/>
        <v>41-50</v>
      </c>
      <c r="F943">
        <v>43</v>
      </c>
      <c r="G943" t="s">
        <v>21</v>
      </c>
      <c r="H943">
        <v>3</v>
      </c>
      <c r="I943" t="s">
        <v>85</v>
      </c>
      <c r="K943">
        <f t="shared" si="119"/>
        <v>0</v>
      </c>
      <c r="L943">
        <f t="shared" si="113"/>
        <v>1</v>
      </c>
      <c r="M943">
        <f t="shared" si="114"/>
        <v>1</v>
      </c>
      <c r="N943">
        <f t="shared" si="115"/>
        <v>0</v>
      </c>
      <c r="O943">
        <f t="shared" si="116"/>
        <v>1</v>
      </c>
      <c r="P943">
        <f t="shared" si="117"/>
        <v>0</v>
      </c>
      <c r="Q943">
        <f t="shared" si="118"/>
        <v>0</v>
      </c>
      <c r="R943" t="b">
        <v>0</v>
      </c>
      <c r="T943" s="10">
        <v>0.449305555555556</v>
      </c>
      <c r="U943" s="10">
        <v>0.548611111111111</v>
      </c>
      <c r="V943">
        <v>143</v>
      </c>
      <c r="W943" t="b">
        <v>1</v>
      </c>
      <c r="X943" t="s">
        <v>28</v>
      </c>
    </row>
    <row r="944" spans="1:24">
      <c r="A944">
        <v>943</v>
      </c>
      <c r="B944" t="s">
        <v>1268</v>
      </c>
      <c r="C944" t="s">
        <v>25</v>
      </c>
      <c r="D944" s="9">
        <v>30734</v>
      </c>
      <c r="E944" s="9" t="str">
        <f t="shared" si="112"/>
        <v>31-41</v>
      </c>
      <c r="F944">
        <v>40</v>
      </c>
      <c r="G944" t="s">
        <v>21</v>
      </c>
      <c r="H944">
        <v>3</v>
      </c>
      <c r="I944" t="s">
        <v>98</v>
      </c>
      <c r="K944">
        <f t="shared" si="119"/>
        <v>0</v>
      </c>
      <c r="L944">
        <f t="shared" si="113"/>
        <v>1</v>
      </c>
      <c r="M944">
        <f t="shared" si="114"/>
        <v>0</v>
      </c>
      <c r="N944">
        <f t="shared" si="115"/>
        <v>0</v>
      </c>
      <c r="O944">
        <f t="shared" si="116"/>
        <v>1</v>
      </c>
      <c r="P944">
        <f t="shared" si="117"/>
        <v>1</v>
      </c>
      <c r="Q944">
        <f t="shared" si="118"/>
        <v>0</v>
      </c>
      <c r="R944" t="b">
        <v>0</v>
      </c>
      <c r="T944" s="10">
        <v>0.498611111111111</v>
      </c>
      <c r="U944" s="10">
        <v>0.60625</v>
      </c>
      <c r="V944">
        <v>155</v>
      </c>
      <c r="W944" t="b">
        <v>1</v>
      </c>
      <c r="X944" t="s">
        <v>28</v>
      </c>
    </row>
    <row r="945" spans="1:24">
      <c r="A945">
        <v>944</v>
      </c>
      <c r="B945" t="s">
        <v>1269</v>
      </c>
      <c r="C945" t="s">
        <v>16</v>
      </c>
      <c r="D945" s="9">
        <v>34241</v>
      </c>
      <c r="E945" s="9" t="str">
        <f t="shared" si="112"/>
        <v>31-41</v>
      </c>
      <c r="F945">
        <v>31</v>
      </c>
      <c r="G945" t="s">
        <v>21</v>
      </c>
      <c r="H945">
        <v>5</v>
      </c>
      <c r="I945" t="s">
        <v>816</v>
      </c>
      <c r="K945">
        <f t="shared" si="119"/>
        <v>1</v>
      </c>
      <c r="L945">
        <f t="shared" si="113"/>
        <v>0</v>
      </c>
      <c r="M945">
        <f t="shared" si="114"/>
        <v>1</v>
      </c>
      <c r="N945">
        <f t="shared" si="115"/>
        <v>1</v>
      </c>
      <c r="O945">
        <f t="shared" si="116"/>
        <v>0</v>
      </c>
      <c r="P945">
        <f t="shared" si="117"/>
        <v>1</v>
      </c>
      <c r="Q945">
        <f t="shared" si="118"/>
        <v>1</v>
      </c>
      <c r="R945" t="b">
        <v>0</v>
      </c>
      <c r="T945" s="10">
        <v>0.403472222222222</v>
      </c>
      <c r="U945" s="10">
        <v>0.460416666666667</v>
      </c>
      <c r="V945">
        <v>82</v>
      </c>
      <c r="W945" t="b">
        <v>1</v>
      </c>
      <c r="X945" t="s">
        <v>23</v>
      </c>
    </row>
    <row r="946" spans="1:24">
      <c r="A946">
        <v>945</v>
      </c>
      <c r="B946" t="s">
        <v>1270</v>
      </c>
      <c r="C946" t="s">
        <v>16</v>
      </c>
      <c r="D946" s="9">
        <v>27727</v>
      </c>
      <c r="E946" s="9" t="str">
        <f t="shared" si="112"/>
        <v>41-50</v>
      </c>
      <c r="F946">
        <v>48</v>
      </c>
      <c r="G946" t="s">
        <v>21</v>
      </c>
      <c r="H946">
        <v>2</v>
      </c>
      <c r="I946" t="s">
        <v>121</v>
      </c>
      <c r="K946">
        <f t="shared" si="119"/>
        <v>0</v>
      </c>
      <c r="L946">
        <f t="shared" si="113"/>
        <v>0</v>
      </c>
      <c r="M946">
        <f t="shared" si="114"/>
        <v>0</v>
      </c>
      <c r="N946">
        <f t="shared" si="115"/>
        <v>1</v>
      </c>
      <c r="O946">
        <f t="shared" si="116"/>
        <v>0</v>
      </c>
      <c r="P946">
        <f t="shared" si="117"/>
        <v>1</v>
      </c>
      <c r="Q946">
        <f t="shared" si="118"/>
        <v>0</v>
      </c>
      <c r="R946" t="b">
        <v>0</v>
      </c>
      <c r="T946" s="10">
        <v>0.718055555555556</v>
      </c>
      <c r="U946" s="10">
        <v>0.838888888888889</v>
      </c>
      <c r="V946">
        <v>174</v>
      </c>
      <c r="W946" t="b">
        <v>1</v>
      </c>
      <c r="X946" t="s">
        <v>47</v>
      </c>
    </row>
    <row r="947" spans="1:24">
      <c r="A947">
        <v>946</v>
      </c>
      <c r="B947" t="s">
        <v>1271</v>
      </c>
      <c r="C947" t="s">
        <v>25</v>
      </c>
      <c r="D947" s="9">
        <v>37666</v>
      </c>
      <c r="E947" s="9" t="str">
        <f t="shared" si="112"/>
        <v>20-30</v>
      </c>
      <c r="F947">
        <v>21</v>
      </c>
      <c r="G947" t="s">
        <v>17</v>
      </c>
      <c r="H947">
        <v>3</v>
      </c>
      <c r="I947" t="s">
        <v>37</v>
      </c>
      <c r="K947">
        <f t="shared" si="119"/>
        <v>1</v>
      </c>
      <c r="L947">
        <f t="shared" si="113"/>
        <v>1</v>
      </c>
      <c r="M947">
        <f t="shared" si="114"/>
        <v>0</v>
      </c>
      <c r="N947">
        <f t="shared" si="115"/>
        <v>0</v>
      </c>
      <c r="O947">
        <f t="shared" si="116"/>
        <v>0</v>
      </c>
      <c r="P947">
        <f t="shared" si="117"/>
        <v>0</v>
      </c>
      <c r="Q947">
        <f t="shared" si="118"/>
        <v>1</v>
      </c>
      <c r="R947" t="b">
        <v>0</v>
      </c>
      <c r="T947" s="10">
        <v>0.575694444444444</v>
      </c>
      <c r="U947" s="10">
        <v>0.697916666666667</v>
      </c>
      <c r="V947">
        <v>176</v>
      </c>
      <c r="W947" t="b">
        <v>1</v>
      </c>
      <c r="X947" t="s">
        <v>50</v>
      </c>
    </row>
    <row r="948" spans="1:24">
      <c r="A948">
        <v>947</v>
      </c>
      <c r="B948" t="s">
        <v>936</v>
      </c>
      <c r="C948" t="s">
        <v>16</v>
      </c>
      <c r="D948" s="9">
        <v>38908</v>
      </c>
      <c r="E948" s="9" t="str">
        <f t="shared" si="112"/>
        <v>below 20</v>
      </c>
      <c r="F948">
        <v>18</v>
      </c>
      <c r="G948" t="s">
        <v>21</v>
      </c>
      <c r="H948">
        <v>4</v>
      </c>
      <c r="I948" t="s">
        <v>123</v>
      </c>
      <c r="K948">
        <f t="shared" si="119"/>
        <v>0</v>
      </c>
      <c r="L948">
        <f t="shared" si="113"/>
        <v>1</v>
      </c>
      <c r="M948">
        <f t="shared" si="114"/>
        <v>1</v>
      </c>
      <c r="N948">
        <f t="shared" si="115"/>
        <v>0</v>
      </c>
      <c r="O948">
        <f t="shared" si="116"/>
        <v>1</v>
      </c>
      <c r="P948">
        <f t="shared" si="117"/>
        <v>1</v>
      </c>
      <c r="Q948">
        <f t="shared" si="118"/>
        <v>0</v>
      </c>
      <c r="R948" t="b">
        <v>0</v>
      </c>
      <c r="T948" s="10">
        <v>0.404166666666667</v>
      </c>
      <c r="U948" s="10">
        <v>0.4875</v>
      </c>
      <c r="V948">
        <v>120</v>
      </c>
      <c r="W948" t="b">
        <v>1</v>
      </c>
      <c r="X948" t="s">
        <v>28</v>
      </c>
    </row>
    <row r="949" spans="1:24">
      <c r="A949">
        <v>948</v>
      </c>
      <c r="B949" t="s">
        <v>50</v>
      </c>
      <c r="C949" t="s">
        <v>16</v>
      </c>
      <c r="D949" s="9">
        <v>36612</v>
      </c>
      <c r="E949" s="9" t="str">
        <f t="shared" si="112"/>
        <v>20-30</v>
      </c>
      <c r="F949">
        <v>24</v>
      </c>
      <c r="G949" t="s">
        <v>17</v>
      </c>
      <c r="H949">
        <v>2</v>
      </c>
      <c r="I949" t="s">
        <v>40</v>
      </c>
      <c r="K949">
        <f t="shared" si="119"/>
        <v>1</v>
      </c>
      <c r="L949">
        <f t="shared" si="113"/>
        <v>0</v>
      </c>
      <c r="M949">
        <f t="shared" si="114"/>
        <v>0</v>
      </c>
      <c r="N949">
        <f t="shared" si="115"/>
        <v>0</v>
      </c>
      <c r="O949">
        <f t="shared" si="116"/>
        <v>0</v>
      </c>
      <c r="P949">
        <f t="shared" si="117"/>
        <v>0</v>
      </c>
      <c r="Q949">
        <f t="shared" si="118"/>
        <v>1</v>
      </c>
      <c r="R949" t="b">
        <v>1</v>
      </c>
      <c r="S949" t="s">
        <v>1272</v>
      </c>
      <c r="T949" s="10">
        <v>0.485416666666667</v>
      </c>
      <c r="U949" s="10">
        <v>0.507638888888889</v>
      </c>
      <c r="V949">
        <v>32</v>
      </c>
      <c r="W949" t="b">
        <v>0</v>
      </c>
    </row>
    <row r="950" spans="1:24">
      <c r="A950">
        <v>949</v>
      </c>
      <c r="B950" t="s">
        <v>1273</v>
      </c>
      <c r="C950" t="s">
        <v>25</v>
      </c>
      <c r="D950" s="9">
        <v>33062</v>
      </c>
      <c r="E950" s="9" t="str">
        <f t="shared" si="112"/>
        <v>31-41</v>
      </c>
      <c r="F950">
        <v>34</v>
      </c>
      <c r="G950" t="s">
        <v>21</v>
      </c>
      <c r="H950">
        <v>2</v>
      </c>
      <c r="I950" t="s">
        <v>133</v>
      </c>
      <c r="K950">
        <f t="shared" si="119"/>
        <v>1</v>
      </c>
      <c r="L950">
        <f t="shared" si="113"/>
        <v>0</v>
      </c>
      <c r="M950">
        <f t="shared" si="114"/>
        <v>1</v>
      </c>
      <c r="N950">
        <f t="shared" si="115"/>
        <v>0</v>
      </c>
      <c r="O950">
        <f t="shared" si="116"/>
        <v>0</v>
      </c>
      <c r="P950">
        <f t="shared" si="117"/>
        <v>0</v>
      </c>
      <c r="Q950">
        <f t="shared" si="118"/>
        <v>0</v>
      </c>
      <c r="R950" t="b">
        <v>0</v>
      </c>
      <c r="T950" s="10">
        <v>0.709027777777778</v>
      </c>
      <c r="U950" s="10">
        <v>0.756944444444445</v>
      </c>
      <c r="V950">
        <v>69</v>
      </c>
      <c r="W950" t="b">
        <v>1</v>
      </c>
      <c r="X950" t="s">
        <v>50</v>
      </c>
    </row>
    <row r="951" spans="1:24">
      <c r="A951">
        <v>950</v>
      </c>
      <c r="B951" t="s">
        <v>1274</v>
      </c>
      <c r="C951" t="s">
        <v>16</v>
      </c>
      <c r="D951" s="9">
        <v>37195</v>
      </c>
      <c r="E951" s="9" t="str">
        <f t="shared" si="112"/>
        <v>20-30</v>
      </c>
      <c r="F951">
        <v>22</v>
      </c>
      <c r="G951" t="s">
        <v>21</v>
      </c>
      <c r="H951">
        <v>5</v>
      </c>
      <c r="I951" t="s">
        <v>183</v>
      </c>
      <c r="K951">
        <f t="shared" si="119"/>
        <v>0</v>
      </c>
      <c r="L951">
        <f t="shared" si="113"/>
        <v>1</v>
      </c>
      <c r="M951">
        <f t="shared" si="114"/>
        <v>1</v>
      </c>
      <c r="N951">
        <f t="shared" si="115"/>
        <v>1</v>
      </c>
      <c r="O951">
        <f t="shared" si="116"/>
        <v>0</v>
      </c>
      <c r="P951">
        <f t="shared" si="117"/>
        <v>1</v>
      </c>
      <c r="Q951">
        <f t="shared" si="118"/>
        <v>1</v>
      </c>
      <c r="R951" t="b">
        <v>1</v>
      </c>
      <c r="S951" t="s">
        <v>217</v>
      </c>
      <c r="T951" s="10">
        <v>0.655555555555556</v>
      </c>
      <c r="U951" s="10">
        <v>0.736111111111111</v>
      </c>
      <c r="V951">
        <v>116</v>
      </c>
      <c r="W951" t="b">
        <v>1</v>
      </c>
      <c r="X951" t="s">
        <v>23</v>
      </c>
    </row>
    <row r="952" spans="1:24">
      <c r="A952">
        <v>951</v>
      </c>
      <c r="B952" t="s">
        <v>1275</v>
      </c>
      <c r="C952" t="s">
        <v>16</v>
      </c>
      <c r="D952" s="9">
        <v>37563</v>
      </c>
      <c r="E952" s="9" t="str">
        <f t="shared" si="112"/>
        <v>20-30</v>
      </c>
      <c r="F952">
        <v>21</v>
      </c>
      <c r="G952" t="s">
        <v>17</v>
      </c>
      <c r="H952">
        <v>5</v>
      </c>
      <c r="I952" t="s">
        <v>192</v>
      </c>
      <c r="K952">
        <f t="shared" si="119"/>
        <v>1</v>
      </c>
      <c r="L952">
        <f t="shared" si="113"/>
        <v>1</v>
      </c>
      <c r="M952">
        <f t="shared" si="114"/>
        <v>1</v>
      </c>
      <c r="N952">
        <f t="shared" si="115"/>
        <v>0</v>
      </c>
      <c r="O952">
        <f t="shared" si="116"/>
        <v>0</v>
      </c>
      <c r="P952">
        <f t="shared" si="117"/>
        <v>1</v>
      </c>
      <c r="Q952">
        <f t="shared" si="118"/>
        <v>1</v>
      </c>
      <c r="R952" t="b">
        <v>1</v>
      </c>
      <c r="S952" t="s">
        <v>1276</v>
      </c>
      <c r="T952" s="10">
        <v>0.483333333333333</v>
      </c>
      <c r="U952" s="10">
        <v>0.571527777777778</v>
      </c>
      <c r="V952">
        <v>127</v>
      </c>
      <c r="W952" t="b">
        <v>0</v>
      </c>
    </row>
    <row r="953" spans="1:24">
      <c r="A953">
        <v>952</v>
      </c>
      <c r="B953" t="s">
        <v>1277</v>
      </c>
      <c r="C953" t="s">
        <v>25</v>
      </c>
      <c r="D953" s="9">
        <v>30019</v>
      </c>
      <c r="E953" s="9" t="str">
        <f t="shared" si="112"/>
        <v>41-50</v>
      </c>
      <c r="F953">
        <v>42</v>
      </c>
      <c r="G953" t="s">
        <v>21</v>
      </c>
      <c r="H953">
        <v>4</v>
      </c>
      <c r="I953" t="s">
        <v>61</v>
      </c>
      <c r="K953">
        <f t="shared" si="119"/>
        <v>1</v>
      </c>
      <c r="L953">
        <f t="shared" si="113"/>
        <v>1</v>
      </c>
      <c r="M953">
        <f t="shared" si="114"/>
        <v>0</v>
      </c>
      <c r="N953">
        <f t="shared" si="115"/>
        <v>1</v>
      </c>
      <c r="O953">
        <f t="shared" si="116"/>
        <v>0</v>
      </c>
      <c r="P953">
        <f t="shared" si="117"/>
        <v>0</v>
      </c>
      <c r="Q953">
        <f t="shared" si="118"/>
        <v>1</v>
      </c>
      <c r="R953" t="b">
        <v>1</v>
      </c>
      <c r="S953" t="s">
        <v>174</v>
      </c>
      <c r="T953" s="10">
        <v>0.80625</v>
      </c>
      <c r="U953" s="10">
        <v>0.844444444444444</v>
      </c>
      <c r="V953">
        <v>55</v>
      </c>
      <c r="W953" t="b">
        <v>1</v>
      </c>
      <c r="X953" t="s">
        <v>23</v>
      </c>
    </row>
    <row r="954" spans="1:24">
      <c r="A954">
        <v>953</v>
      </c>
      <c r="B954" t="s">
        <v>1278</v>
      </c>
      <c r="C954" t="s">
        <v>16</v>
      </c>
      <c r="D954" s="9">
        <v>28301</v>
      </c>
      <c r="E954" s="9" t="str">
        <f t="shared" si="112"/>
        <v>41-50</v>
      </c>
      <c r="F954">
        <v>47</v>
      </c>
      <c r="G954" t="s">
        <v>21</v>
      </c>
      <c r="H954">
        <v>2</v>
      </c>
      <c r="I954" t="s">
        <v>509</v>
      </c>
      <c r="K954">
        <f t="shared" si="119"/>
        <v>0</v>
      </c>
      <c r="L954">
        <f t="shared" si="113"/>
        <v>0</v>
      </c>
      <c r="M954">
        <f t="shared" si="114"/>
        <v>1</v>
      </c>
      <c r="N954">
        <f t="shared" si="115"/>
        <v>0</v>
      </c>
      <c r="O954">
        <f t="shared" si="116"/>
        <v>0</v>
      </c>
      <c r="P954">
        <f t="shared" si="117"/>
        <v>0</v>
      </c>
      <c r="Q954">
        <f t="shared" si="118"/>
        <v>1</v>
      </c>
      <c r="R954" t="b">
        <v>1</v>
      </c>
      <c r="S954" t="s">
        <v>260</v>
      </c>
      <c r="T954" s="10">
        <v>0.782638888888889</v>
      </c>
      <c r="U954" s="10">
        <v>0.84375</v>
      </c>
      <c r="V954">
        <v>88</v>
      </c>
      <c r="W954" t="b">
        <v>0</v>
      </c>
    </row>
    <row r="955" spans="1:24">
      <c r="A955">
        <v>954</v>
      </c>
      <c r="B955" t="s">
        <v>1279</v>
      </c>
      <c r="C955" t="s">
        <v>25</v>
      </c>
      <c r="D955" s="9">
        <v>29199</v>
      </c>
      <c r="E955" s="9" t="str">
        <f t="shared" si="112"/>
        <v>41-50</v>
      </c>
      <c r="F955">
        <v>44</v>
      </c>
      <c r="G955" t="s">
        <v>17</v>
      </c>
      <c r="H955">
        <v>5</v>
      </c>
      <c r="I955" t="s">
        <v>104</v>
      </c>
      <c r="K955">
        <f t="shared" si="119"/>
        <v>0</v>
      </c>
      <c r="L955">
        <f t="shared" si="113"/>
        <v>0</v>
      </c>
      <c r="M955">
        <f t="shared" si="114"/>
        <v>1</v>
      </c>
      <c r="N955">
        <f t="shared" si="115"/>
        <v>1</v>
      </c>
      <c r="O955">
        <f t="shared" si="116"/>
        <v>1</v>
      </c>
      <c r="P955">
        <f t="shared" si="117"/>
        <v>1</v>
      </c>
      <c r="Q955">
        <f t="shared" si="118"/>
        <v>1</v>
      </c>
      <c r="R955" t="b">
        <v>1</v>
      </c>
      <c r="S955" t="s">
        <v>1280</v>
      </c>
      <c r="T955" s="10">
        <v>0.64375</v>
      </c>
      <c r="U955" s="10">
        <v>0.726388888888889</v>
      </c>
      <c r="V955">
        <v>119</v>
      </c>
      <c r="W955" t="b">
        <v>1</v>
      </c>
      <c r="X955" t="s">
        <v>28</v>
      </c>
    </row>
    <row r="956" spans="1:24">
      <c r="A956">
        <v>955</v>
      </c>
      <c r="B956" t="s">
        <v>1281</v>
      </c>
      <c r="C956" t="s">
        <v>25</v>
      </c>
      <c r="D956" s="9">
        <v>31435</v>
      </c>
      <c r="E956" s="9" t="str">
        <f t="shared" si="112"/>
        <v>31-41</v>
      </c>
      <c r="F956">
        <v>38</v>
      </c>
      <c r="G956" t="s">
        <v>21</v>
      </c>
      <c r="H956">
        <v>3</v>
      </c>
      <c r="I956" t="s">
        <v>79</v>
      </c>
      <c r="K956">
        <f t="shared" si="119"/>
        <v>0</v>
      </c>
      <c r="L956">
        <f t="shared" si="113"/>
        <v>1</v>
      </c>
      <c r="M956">
        <f t="shared" si="114"/>
        <v>0</v>
      </c>
      <c r="N956">
        <f t="shared" si="115"/>
        <v>0</v>
      </c>
      <c r="O956">
        <f t="shared" si="116"/>
        <v>0</v>
      </c>
      <c r="P956">
        <f t="shared" si="117"/>
        <v>1</v>
      </c>
      <c r="Q956">
        <f t="shared" si="118"/>
        <v>1</v>
      </c>
      <c r="R956" t="b">
        <v>1</v>
      </c>
      <c r="S956" t="s">
        <v>935</v>
      </c>
      <c r="T956" s="10">
        <v>0.531944444444444</v>
      </c>
      <c r="U956" s="10">
        <v>0.557638888888889</v>
      </c>
      <c r="V956">
        <v>37</v>
      </c>
      <c r="W956" t="b">
        <v>1</v>
      </c>
      <c r="X956" t="s">
        <v>28</v>
      </c>
    </row>
    <row r="957" spans="1:24">
      <c r="A957">
        <v>956</v>
      </c>
      <c r="B957" t="s">
        <v>1282</v>
      </c>
      <c r="C957" t="s">
        <v>16</v>
      </c>
      <c r="D957" s="9">
        <v>40417</v>
      </c>
      <c r="E957" s="9" t="str">
        <f t="shared" si="112"/>
        <v>below 20</v>
      </c>
      <c r="F957">
        <v>14</v>
      </c>
      <c r="G957" t="s">
        <v>17</v>
      </c>
      <c r="H957">
        <v>2</v>
      </c>
      <c r="I957" t="s">
        <v>101</v>
      </c>
      <c r="K957">
        <f t="shared" si="119"/>
        <v>0</v>
      </c>
      <c r="L957">
        <f t="shared" si="113"/>
        <v>0</v>
      </c>
      <c r="M957">
        <f t="shared" si="114"/>
        <v>0</v>
      </c>
      <c r="N957">
        <f t="shared" si="115"/>
        <v>0</v>
      </c>
      <c r="O957">
        <f t="shared" si="116"/>
        <v>0</v>
      </c>
      <c r="P957">
        <f t="shared" si="117"/>
        <v>1</v>
      </c>
      <c r="Q957">
        <f t="shared" si="118"/>
        <v>1</v>
      </c>
      <c r="R957" t="b">
        <v>1</v>
      </c>
      <c r="S957" t="s">
        <v>1283</v>
      </c>
      <c r="T957" s="10">
        <v>0.595833333333333</v>
      </c>
      <c r="U957" s="10">
        <v>0.649305555555556</v>
      </c>
      <c r="V957">
        <v>77</v>
      </c>
      <c r="W957" t="b">
        <v>0</v>
      </c>
    </row>
    <row r="958" spans="1:24">
      <c r="A958">
        <v>957</v>
      </c>
      <c r="B958" t="s">
        <v>1284</v>
      </c>
      <c r="C958" t="s">
        <v>16</v>
      </c>
      <c r="D958" s="9">
        <v>38547</v>
      </c>
      <c r="E958" s="9" t="str">
        <f t="shared" si="112"/>
        <v>below 20</v>
      </c>
      <c r="F958">
        <v>19</v>
      </c>
      <c r="G958" t="s">
        <v>17</v>
      </c>
      <c r="H958">
        <v>3</v>
      </c>
      <c r="I958" t="s">
        <v>247</v>
      </c>
      <c r="K958">
        <f t="shared" si="119"/>
        <v>0</v>
      </c>
      <c r="L958">
        <f t="shared" si="113"/>
        <v>0</v>
      </c>
      <c r="M958">
        <f t="shared" si="114"/>
        <v>1</v>
      </c>
      <c r="N958">
        <f t="shared" si="115"/>
        <v>1</v>
      </c>
      <c r="O958">
        <f t="shared" si="116"/>
        <v>0</v>
      </c>
      <c r="P958">
        <f t="shared" si="117"/>
        <v>1</v>
      </c>
      <c r="Q958">
        <f t="shared" si="118"/>
        <v>0</v>
      </c>
      <c r="R958" t="b">
        <v>0</v>
      </c>
      <c r="T958" s="10">
        <v>0.738194444444444</v>
      </c>
      <c r="U958" s="10">
        <v>0.802083333333333</v>
      </c>
      <c r="V958">
        <v>92</v>
      </c>
      <c r="W958" t="b">
        <v>1</v>
      </c>
      <c r="X958" t="s">
        <v>28</v>
      </c>
    </row>
    <row r="959" spans="1:24">
      <c r="A959">
        <v>958</v>
      </c>
      <c r="B959" t="s">
        <v>1285</v>
      </c>
      <c r="C959" t="s">
        <v>16</v>
      </c>
      <c r="D959" s="9">
        <v>40262</v>
      </c>
      <c r="E959" s="9" t="str">
        <f t="shared" si="112"/>
        <v>below 20</v>
      </c>
      <c r="F959">
        <v>14</v>
      </c>
      <c r="G959" t="s">
        <v>21</v>
      </c>
      <c r="H959">
        <v>3</v>
      </c>
      <c r="I959" t="s">
        <v>513</v>
      </c>
      <c r="K959">
        <f t="shared" si="119"/>
        <v>1</v>
      </c>
      <c r="L959">
        <f t="shared" si="113"/>
        <v>0</v>
      </c>
      <c r="M959">
        <f t="shared" si="114"/>
        <v>1</v>
      </c>
      <c r="N959">
        <f t="shared" si="115"/>
        <v>0</v>
      </c>
      <c r="O959">
        <f t="shared" si="116"/>
        <v>0</v>
      </c>
      <c r="P959">
        <f t="shared" si="117"/>
        <v>0</v>
      </c>
      <c r="Q959">
        <f t="shared" si="118"/>
        <v>1</v>
      </c>
      <c r="R959" t="b">
        <v>1</v>
      </c>
      <c r="S959" t="s">
        <v>943</v>
      </c>
      <c r="T959" s="10">
        <v>0.582638888888889</v>
      </c>
      <c r="U959" s="10">
        <v>0.654861111111111</v>
      </c>
      <c r="V959">
        <v>104</v>
      </c>
      <c r="W959" t="b">
        <v>0</v>
      </c>
    </row>
    <row r="960" spans="1:24">
      <c r="A960">
        <v>959</v>
      </c>
      <c r="B960" t="s">
        <v>1286</v>
      </c>
      <c r="C960" t="s">
        <v>16</v>
      </c>
      <c r="D960" s="9">
        <v>37723</v>
      </c>
      <c r="E960" s="9" t="str">
        <f t="shared" si="112"/>
        <v>20-30</v>
      </c>
      <c r="F960">
        <v>21</v>
      </c>
      <c r="G960" t="s">
        <v>17</v>
      </c>
      <c r="H960">
        <v>3</v>
      </c>
      <c r="I960" t="s">
        <v>315</v>
      </c>
      <c r="K960">
        <f t="shared" si="119"/>
        <v>0</v>
      </c>
      <c r="L960">
        <f t="shared" si="113"/>
        <v>0</v>
      </c>
      <c r="M960">
        <f t="shared" si="114"/>
        <v>1</v>
      </c>
      <c r="N960">
        <f t="shared" si="115"/>
        <v>0</v>
      </c>
      <c r="O960">
        <f t="shared" si="116"/>
        <v>1</v>
      </c>
      <c r="P960">
        <f t="shared" si="117"/>
        <v>0</v>
      </c>
      <c r="Q960">
        <f t="shared" si="118"/>
        <v>1</v>
      </c>
      <c r="R960" t="b">
        <v>0</v>
      </c>
      <c r="T960" s="10">
        <v>0.390277777777778</v>
      </c>
      <c r="U960" s="10">
        <v>0.508333333333333</v>
      </c>
      <c r="V960">
        <v>170</v>
      </c>
      <c r="W960" t="b">
        <v>1</v>
      </c>
      <c r="X960" t="s">
        <v>50</v>
      </c>
    </row>
    <row r="961" spans="1:24">
      <c r="A961">
        <v>960</v>
      </c>
      <c r="B961" t="s">
        <v>1287</v>
      </c>
      <c r="C961" t="s">
        <v>16</v>
      </c>
      <c r="D961" s="9">
        <v>34023</v>
      </c>
      <c r="E961" s="9" t="str">
        <f t="shared" si="112"/>
        <v>31-41</v>
      </c>
      <c r="F961">
        <v>31</v>
      </c>
      <c r="G961" t="s">
        <v>21</v>
      </c>
      <c r="H961">
        <v>3</v>
      </c>
      <c r="I961" t="s">
        <v>247</v>
      </c>
      <c r="K961">
        <f t="shared" si="119"/>
        <v>0</v>
      </c>
      <c r="L961">
        <f t="shared" si="113"/>
        <v>0</v>
      </c>
      <c r="M961">
        <f t="shared" si="114"/>
        <v>1</v>
      </c>
      <c r="N961">
        <f t="shared" si="115"/>
        <v>1</v>
      </c>
      <c r="O961">
        <f t="shared" si="116"/>
        <v>0</v>
      </c>
      <c r="P961">
        <f t="shared" si="117"/>
        <v>1</v>
      </c>
      <c r="Q961">
        <f t="shared" si="118"/>
        <v>0</v>
      </c>
      <c r="R961" t="b">
        <v>0</v>
      </c>
      <c r="T961" s="10">
        <v>0.426388888888889</v>
      </c>
      <c r="U961" s="10">
        <v>0.476388888888889</v>
      </c>
      <c r="V961">
        <v>72</v>
      </c>
      <c r="W961" t="b">
        <v>1</v>
      </c>
      <c r="X961" t="s">
        <v>23</v>
      </c>
    </row>
    <row r="962" spans="1:24">
      <c r="A962">
        <v>961</v>
      </c>
      <c r="B962" t="s">
        <v>1288</v>
      </c>
      <c r="C962" t="s">
        <v>16</v>
      </c>
      <c r="D962" s="9">
        <v>33231</v>
      </c>
      <c r="E962" s="9" t="str">
        <f t="shared" ref="E962:E1001" si="120">IF(F962&lt;20,"below 20",IF(F962&lt;=30,"20-30",IF(F962&lt;=40,"31-41",IF(F962&lt;=50,"41-50","above 50"))))</f>
        <v>31-41</v>
      </c>
      <c r="F962">
        <v>33</v>
      </c>
      <c r="G962" t="s">
        <v>17</v>
      </c>
      <c r="H962">
        <v>4</v>
      </c>
      <c r="I962" t="s">
        <v>439</v>
      </c>
      <c r="K962">
        <f t="shared" si="119"/>
        <v>0</v>
      </c>
      <c r="L962">
        <f t="shared" si="113"/>
        <v>1</v>
      </c>
      <c r="M962">
        <f t="shared" si="114"/>
        <v>1</v>
      </c>
      <c r="N962">
        <f t="shared" si="115"/>
        <v>1</v>
      </c>
      <c r="O962">
        <f t="shared" si="116"/>
        <v>1</v>
      </c>
      <c r="P962">
        <f t="shared" si="117"/>
        <v>0</v>
      </c>
      <c r="Q962">
        <f t="shared" si="118"/>
        <v>0</v>
      </c>
      <c r="R962" t="b">
        <v>0</v>
      </c>
      <c r="T962" s="10">
        <v>0.433333333333333</v>
      </c>
      <c r="U962" s="10">
        <v>0.525</v>
      </c>
      <c r="V962">
        <v>132</v>
      </c>
      <c r="W962" t="b">
        <v>0</v>
      </c>
    </row>
    <row r="963" spans="1:24">
      <c r="A963">
        <v>962</v>
      </c>
      <c r="B963" t="s">
        <v>1289</v>
      </c>
      <c r="C963" t="s">
        <v>16</v>
      </c>
      <c r="D963" s="9">
        <v>35054</v>
      </c>
      <c r="E963" s="9" t="str">
        <f t="shared" si="120"/>
        <v>20-30</v>
      </c>
      <c r="F963">
        <v>28</v>
      </c>
      <c r="G963" t="s">
        <v>21</v>
      </c>
      <c r="H963">
        <v>3</v>
      </c>
      <c r="I963" t="s">
        <v>57</v>
      </c>
      <c r="K963">
        <f t="shared" si="119"/>
        <v>1</v>
      </c>
      <c r="L963">
        <f t="shared" ref="L963:L1001" si="121">--ISNUMBER(SEARCH("Mon",I963))</f>
        <v>1</v>
      </c>
      <c r="M963">
        <f t="shared" ref="M963:M1001" si="122">--ISNUMBER(SEARCH("Tue",I963))</f>
        <v>0</v>
      </c>
      <c r="N963">
        <f t="shared" ref="N963:N1001" si="123">--ISNUMBER(SEARCH("Wed",I963))</f>
        <v>1</v>
      </c>
      <c r="O963">
        <f t="shared" ref="O963:O1001" si="124">--ISNUMBER(SEARCH("Thu",I963))</f>
        <v>0</v>
      </c>
      <c r="P963">
        <f t="shared" ref="P963:P1001" si="125">--ISNUMBER(SEARCH("Fri",I963))</f>
        <v>0</v>
      </c>
      <c r="Q963">
        <f t="shared" ref="Q963:Q1001" si="126">--ISNUMBER(SEARCH("Sat",I963))</f>
        <v>0</v>
      </c>
      <c r="R963" t="b">
        <v>0</v>
      </c>
      <c r="T963" s="10">
        <v>0.561111111111111</v>
      </c>
      <c r="U963" s="10">
        <v>0.633333333333333</v>
      </c>
      <c r="V963">
        <v>104</v>
      </c>
      <c r="W963" t="b">
        <v>1</v>
      </c>
      <c r="X963" t="s">
        <v>47</v>
      </c>
    </row>
    <row r="964" spans="1:24">
      <c r="A964">
        <v>963</v>
      </c>
      <c r="B964" t="s">
        <v>181</v>
      </c>
      <c r="C964" t="s">
        <v>25</v>
      </c>
      <c r="D964" s="9">
        <v>40619</v>
      </c>
      <c r="E964" s="9" t="str">
        <f t="shared" si="120"/>
        <v>below 20</v>
      </c>
      <c r="F964">
        <v>13</v>
      </c>
      <c r="G964" t="s">
        <v>17</v>
      </c>
      <c r="H964">
        <v>2</v>
      </c>
      <c r="I964" t="s">
        <v>187</v>
      </c>
      <c r="K964">
        <f t="shared" si="119"/>
        <v>0</v>
      </c>
      <c r="L964">
        <f t="shared" si="121"/>
        <v>0</v>
      </c>
      <c r="M964">
        <f t="shared" si="122"/>
        <v>0</v>
      </c>
      <c r="N964">
        <f t="shared" si="123"/>
        <v>1</v>
      </c>
      <c r="O964">
        <f t="shared" si="124"/>
        <v>1</v>
      </c>
      <c r="P964">
        <f t="shared" si="125"/>
        <v>0</v>
      </c>
      <c r="Q964">
        <f t="shared" si="126"/>
        <v>0</v>
      </c>
      <c r="R964" t="b">
        <v>1</v>
      </c>
      <c r="S964" t="s">
        <v>107</v>
      </c>
      <c r="T964" s="10">
        <v>0.390972222222222</v>
      </c>
      <c r="U964" s="10">
        <v>0.459027777777778</v>
      </c>
      <c r="V964">
        <v>98</v>
      </c>
      <c r="W964" t="b">
        <v>0</v>
      </c>
    </row>
    <row r="965" spans="1:24">
      <c r="A965">
        <v>964</v>
      </c>
      <c r="B965" t="s">
        <v>1290</v>
      </c>
      <c r="C965" t="s">
        <v>25</v>
      </c>
      <c r="D965" s="9">
        <v>29703</v>
      </c>
      <c r="E965" s="9" t="str">
        <f t="shared" si="120"/>
        <v>41-50</v>
      </c>
      <c r="F965">
        <v>43</v>
      </c>
      <c r="G965" t="s">
        <v>21</v>
      </c>
      <c r="H965">
        <v>3</v>
      </c>
      <c r="I965" t="s">
        <v>325</v>
      </c>
      <c r="K965">
        <f t="shared" ref="K965:K1001" si="127">--ISNUMBER(SEARCH("Sun",I965))</f>
        <v>1</v>
      </c>
      <c r="L965">
        <f t="shared" si="121"/>
        <v>0</v>
      </c>
      <c r="M965">
        <f t="shared" si="122"/>
        <v>0</v>
      </c>
      <c r="N965">
        <f t="shared" si="123"/>
        <v>1</v>
      </c>
      <c r="O965">
        <f t="shared" si="124"/>
        <v>0</v>
      </c>
      <c r="P965">
        <f t="shared" si="125"/>
        <v>0</v>
      </c>
      <c r="Q965">
        <f t="shared" si="126"/>
        <v>1</v>
      </c>
      <c r="R965" t="b">
        <v>0</v>
      </c>
      <c r="T965" s="10">
        <v>0.775694444444444</v>
      </c>
      <c r="U965" s="10">
        <v>0.85</v>
      </c>
      <c r="V965">
        <v>107</v>
      </c>
      <c r="W965" t="b">
        <v>1</v>
      </c>
      <c r="X965" t="s">
        <v>28</v>
      </c>
    </row>
    <row r="966" spans="1:24">
      <c r="A966">
        <v>965</v>
      </c>
      <c r="B966" t="s">
        <v>1291</v>
      </c>
      <c r="C966" t="s">
        <v>25</v>
      </c>
      <c r="D966" s="9">
        <v>40118</v>
      </c>
      <c r="E966" s="9" t="str">
        <f t="shared" si="120"/>
        <v>below 20</v>
      </c>
      <c r="F966">
        <v>14</v>
      </c>
      <c r="G966" t="s">
        <v>21</v>
      </c>
      <c r="H966">
        <v>1</v>
      </c>
      <c r="I966" t="s">
        <v>46</v>
      </c>
      <c r="K966">
        <f t="shared" si="127"/>
        <v>0</v>
      </c>
      <c r="L966">
        <f t="shared" si="121"/>
        <v>1</v>
      </c>
      <c r="M966">
        <f t="shared" si="122"/>
        <v>0</v>
      </c>
      <c r="N966">
        <f t="shared" si="123"/>
        <v>0</v>
      </c>
      <c r="O966">
        <f t="shared" si="124"/>
        <v>0</v>
      </c>
      <c r="P966">
        <f t="shared" si="125"/>
        <v>0</v>
      </c>
      <c r="Q966">
        <f t="shared" si="126"/>
        <v>0</v>
      </c>
      <c r="R966" t="b">
        <v>1</v>
      </c>
      <c r="S966" t="s">
        <v>1292</v>
      </c>
      <c r="T966" s="10">
        <v>0.497222222222222</v>
      </c>
      <c r="U966" s="10">
        <v>0.523611111111111</v>
      </c>
      <c r="V966">
        <v>38</v>
      </c>
      <c r="W966" t="b">
        <v>0</v>
      </c>
    </row>
    <row r="967" spans="1:24">
      <c r="A967">
        <v>966</v>
      </c>
      <c r="B967" t="s">
        <v>1253</v>
      </c>
      <c r="C967" t="s">
        <v>25</v>
      </c>
      <c r="D967" s="9">
        <v>32196</v>
      </c>
      <c r="E967" s="9" t="str">
        <f t="shared" si="120"/>
        <v>31-41</v>
      </c>
      <c r="F967">
        <v>36</v>
      </c>
      <c r="G967" t="s">
        <v>17</v>
      </c>
      <c r="H967">
        <v>2</v>
      </c>
      <c r="I967" t="s">
        <v>306</v>
      </c>
      <c r="K967">
        <f t="shared" si="127"/>
        <v>1</v>
      </c>
      <c r="L967">
        <f t="shared" si="121"/>
        <v>0</v>
      </c>
      <c r="M967">
        <f t="shared" si="122"/>
        <v>0</v>
      </c>
      <c r="N967">
        <f t="shared" si="123"/>
        <v>0</v>
      </c>
      <c r="O967">
        <f t="shared" si="124"/>
        <v>1</v>
      </c>
      <c r="P967">
        <f t="shared" si="125"/>
        <v>0</v>
      </c>
      <c r="Q967">
        <f t="shared" si="126"/>
        <v>0</v>
      </c>
      <c r="R967" t="b">
        <v>0</v>
      </c>
      <c r="T967" s="10">
        <v>0.700694444444444</v>
      </c>
      <c r="U967" s="10">
        <v>0.734722222222222</v>
      </c>
      <c r="V967">
        <v>49</v>
      </c>
      <c r="W967" t="b">
        <v>1</v>
      </c>
      <c r="X967" t="s">
        <v>50</v>
      </c>
    </row>
    <row r="968" spans="1:24">
      <c r="A968">
        <v>967</v>
      </c>
      <c r="B968" t="s">
        <v>1293</v>
      </c>
      <c r="C968" t="s">
        <v>16</v>
      </c>
      <c r="D968" s="9">
        <v>35879</v>
      </c>
      <c r="E968" s="9" t="str">
        <f t="shared" si="120"/>
        <v>20-30</v>
      </c>
      <c r="F968">
        <v>26</v>
      </c>
      <c r="G968" t="s">
        <v>21</v>
      </c>
      <c r="H968">
        <v>1</v>
      </c>
      <c r="I968" t="s">
        <v>26</v>
      </c>
      <c r="K968">
        <f t="shared" si="127"/>
        <v>1</v>
      </c>
      <c r="L968">
        <f t="shared" si="121"/>
        <v>0</v>
      </c>
      <c r="M968">
        <f t="shared" si="122"/>
        <v>0</v>
      </c>
      <c r="N968">
        <f t="shared" si="123"/>
        <v>0</v>
      </c>
      <c r="O968">
        <f t="shared" si="124"/>
        <v>0</v>
      </c>
      <c r="P968">
        <f t="shared" si="125"/>
        <v>0</v>
      </c>
      <c r="Q968">
        <f t="shared" si="126"/>
        <v>0</v>
      </c>
      <c r="R968" t="b">
        <v>1</v>
      </c>
      <c r="S968" t="s">
        <v>107</v>
      </c>
      <c r="T968" s="10">
        <v>0.4875</v>
      </c>
      <c r="U968" s="10">
        <v>0.536111111111111</v>
      </c>
      <c r="V968">
        <v>70</v>
      </c>
      <c r="W968" t="b">
        <v>1</v>
      </c>
      <c r="X968" t="s">
        <v>47</v>
      </c>
    </row>
    <row r="969" spans="1:24">
      <c r="A969">
        <v>968</v>
      </c>
      <c r="B969" t="s">
        <v>1294</v>
      </c>
      <c r="C969" t="s">
        <v>16</v>
      </c>
      <c r="D969" s="9">
        <v>40688</v>
      </c>
      <c r="E969" s="9" t="str">
        <f t="shared" si="120"/>
        <v>below 20</v>
      </c>
      <c r="F969">
        <v>13</v>
      </c>
      <c r="G969" t="s">
        <v>21</v>
      </c>
      <c r="H969">
        <v>3</v>
      </c>
      <c r="I969" t="s">
        <v>222</v>
      </c>
      <c r="K969">
        <f t="shared" si="127"/>
        <v>0</v>
      </c>
      <c r="L969">
        <f t="shared" si="121"/>
        <v>1</v>
      </c>
      <c r="M969">
        <f t="shared" si="122"/>
        <v>1</v>
      </c>
      <c r="N969">
        <f t="shared" si="123"/>
        <v>0</v>
      </c>
      <c r="O969">
        <f t="shared" si="124"/>
        <v>0</v>
      </c>
      <c r="P969">
        <f t="shared" si="125"/>
        <v>1</v>
      </c>
      <c r="Q969">
        <f t="shared" si="126"/>
        <v>0</v>
      </c>
      <c r="R969" t="b">
        <v>0</v>
      </c>
      <c r="T969" s="10">
        <v>0.566666666666667</v>
      </c>
      <c r="U969" s="10">
        <v>0.596527777777778</v>
      </c>
      <c r="V969">
        <v>43</v>
      </c>
      <c r="W969" t="b">
        <v>1</v>
      </c>
      <c r="X969" t="s">
        <v>28</v>
      </c>
    </row>
    <row r="970" spans="1:24">
      <c r="A970">
        <v>969</v>
      </c>
      <c r="B970" t="s">
        <v>1295</v>
      </c>
      <c r="C970" t="s">
        <v>25</v>
      </c>
      <c r="D970" s="9">
        <v>36111</v>
      </c>
      <c r="E970" s="9" t="str">
        <f t="shared" si="120"/>
        <v>20-30</v>
      </c>
      <c r="F970">
        <v>25</v>
      </c>
      <c r="G970" t="s">
        <v>21</v>
      </c>
      <c r="H970">
        <v>1</v>
      </c>
      <c r="I970" t="s">
        <v>59</v>
      </c>
      <c r="K970">
        <f t="shared" si="127"/>
        <v>0</v>
      </c>
      <c r="L970">
        <f t="shared" si="121"/>
        <v>0</v>
      </c>
      <c r="M970">
        <f t="shared" si="122"/>
        <v>0</v>
      </c>
      <c r="N970">
        <f t="shared" si="123"/>
        <v>0</v>
      </c>
      <c r="O970">
        <f t="shared" si="124"/>
        <v>0</v>
      </c>
      <c r="P970">
        <f t="shared" si="125"/>
        <v>0</v>
      </c>
      <c r="Q970">
        <f t="shared" si="126"/>
        <v>1</v>
      </c>
      <c r="R970" t="b">
        <v>0</v>
      </c>
      <c r="T970" s="10">
        <v>0.647916666666667</v>
      </c>
      <c r="U970" s="10">
        <v>0.688888888888889</v>
      </c>
      <c r="V970">
        <v>59</v>
      </c>
      <c r="W970" t="b">
        <v>1</v>
      </c>
      <c r="X970" t="s">
        <v>28</v>
      </c>
    </row>
    <row r="971" spans="1:24">
      <c r="A971">
        <v>970</v>
      </c>
      <c r="B971" t="s">
        <v>1296</v>
      </c>
      <c r="C971" t="s">
        <v>25</v>
      </c>
      <c r="D971" s="9">
        <v>28629</v>
      </c>
      <c r="E971" s="9" t="str">
        <f t="shared" si="120"/>
        <v>41-50</v>
      </c>
      <c r="F971">
        <v>46</v>
      </c>
      <c r="G971" t="s">
        <v>17</v>
      </c>
      <c r="H971">
        <v>2</v>
      </c>
      <c r="I971" t="s">
        <v>69</v>
      </c>
      <c r="K971">
        <f t="shared" si="127"/>
        <v>0</v>
      </c>
      <c r="L971">
        <f t="shared" si="121"/>
        <v>0</v>
      </c>
      <c r="M971">
        <f t="shared" si="122"/>
        <v>0</v>
      </c>
      <c r="N971">
        <f t="shared" si="123"/>
        <v>1</v>
      </c>
      <c r="O971">
        <f t="shared" si="124"/>
        <v>0</v>
      </c>
      <c r="P971">
        <f t="shared" si="125"/>
        <v>0</v>
      </c>
      <c r="Q971">
        <f t="shared" si="126"/>
        <v>1</v>
      </c>
      <c r="R971" t="b">
        <v>0</v>
      </c>
      <c r="T971" s="10">
        <v>0.348611111111111</v>
      </c>
      <c r="U971" s="10">
        <v>0.469444444444444</v>
      </c>
      <c r="V971">
        <v>174</v>
      </c>
      <c r="W971" t="b">
        <v>1</v>
      </c>
      <c r="X971" t="s">
        <v>28</v>
      </c>
    </row>
    <row r="972" spans="1:24">
      <c r="A972">
        <v>971</v>
      </c>
      <c r="B972" t="s">
        <v>1297</v>
      </c>
      <c r="C972" t="s">
        <v>16</v>
      </c>
      <c r="D972" s="9">
        <v>37280</v>
      </c>
      <c r="E972" s="9" t="str">
        <f t="shared" si="120"/>
        <v>20-30</v>
      </c>
      <c r="F972">
        <v>22</v>
      </c>
      <c r="G972" t="s">
        <v>17</v>
      </c>
      <c r="H972">
        <v>3</v>
      </c>
      <c r="I972" t="s">
        <v>513</v>
      </c>
      <c r="K972">
        <f t="shared" si="127"/>
        <v>1</v>
      </c>
      <c r="L972">
        <f t="shared" si="121"/>
        <v>0</v>
      </c>
      <c r="M972">
        <f t="shared" si="122"/>
        <v>1</v>
      </c>
      <c r="N972">
        <f t="shared" si="123"/>
        <v>0</v>
      </c>
      <c r="O972">
        <f t="shared" si="124"/>
        <v>0</v>
      </c>
      <c r="P972">
        <f t="shared" si="125"/>
        <v>0</v>
      </c>
      <c r="Q972">
        <f t="shared" si="126"/>
        <v>1</v>
      </c>
      <c r="R972" t="b">
        <v>1</v>
      </c>
      <c r="S972" t="s">
        <v>1298</v>
      </c>
      <c r="T972" s="10">
        <v>0.692361111111111</v>
      </c>
      <c r="U972" s="10">
        <v>0.770138888888889</v>
      </c>
      <c r="V972">
        <v>112</v>
      </c>
      <c r="W972" t="b">
        <v>0</v>
      </c>
    </row>
    <row r="973" spans="1:24">
      <c r="A973">
        <v>972</v>
      </c>
      <c r="B973" t="s">
        <v>840</v>
      </c>
      <c r="C973" t="s">
        <v>25</v>
      </c>
      <c r="D973" s="9">
        <v>34294</v>
      </c>
      <c r="E973" s="9" t="str">
        <f t="shared" si="120"/>
        <v>20-30</v>
      </c>
      <c r="F973">
        <v>30</v>
      </c>
      <c r="G973" t="s">
        <v>17</v>
      </c>
      <c r="H973">
        <v>3</v>
      </c>
      <c r="I973" t="s">
        <v>30</v>
      </c>
      <c r="K973">
        <f t="shared" si="127"/>
        <v>0</v>
      </c>
      <c r="L973">
        <f t="shared" si="121"/>
        <v>0</v>
      </c>
      <c r="M973">
        <f t="shared" si="122"/>
        <v>1</v>
      </c>
      <c r="N973">
        <f t="shared" si="123"/>
        <v>0</v>
      </c>
      <c r="O973">
        <f t="shared" si="124"/>
        <v>0</v>
      </c>
      <c r="P973">
        <f t="shared" si="125"/>
        <v>1</v>
      </c>
      <c r="Q973">
        <f t="shared" si="126"/>
        <v>1</v>
      </c>
      <c r="R973" t="b">
        <v>1</v>
      </c>
      <c r="S973" t="s">
        <v>1299</v>
      </c>
      <c r="T973" s="10">
        <v>0.613888888888889</v>
      </c>
      <c r="U973" s="10">
        <v>0.715277777777778</v>
      </c>
      <c r="V973">
        <v>146</v>
      </c>
      <c r="W973" t="b">
        <v>1</v>
      </c>
      <c r="X973" t="s">
        <v>50</v>
      </c>
    </row>
    <row r="974" spans="1:24">
      <c r="A974">
        <v>973</v>
      </c>
      <c r="B974" t="s">
        <v>1300</v>
      </c>
      <c r="C974" t="s">
        <v>25</v>
      </c>
      <c r="D974" s="9">
        <v>33315</v>
      </c>
      <c r="E974" s="9" t="str">
        <f t="shared" si="120"/>
        <v>31-41</v>
      </c>
      <c r="F974">
        <v>33</v>
      </c>
      <c r="G974" t="s">
        <v>21</v>
      </c>
      <c r="H974">
        <v>1</v>
      </c>
      <c r="I974" t="s">
        <v>81</v>
      </c>
      <c r="K974">
        <f t="shared" si="127"/>
        <v>0</v>
      </c>
      <c r="L974">
        <f t="shared" si="121"/>
        <v>0</v>
      </c>
      <c r="M974">
        <f t="shared" si="122"/>
        <v>0</v>
      </c>
      <c r="N974">
        <f t="shared" si="123"/>
        <v>0</v>
      </c>
      <c r="O974">
        <f t="shared" si="124"/>
        <v>0</v>
      </c>
      <c r="P974">
        <f t="shared" si="125"/>
        <v>1</v>
      </c>
      <c r="Q974">
        <f t="shared" si="126"/>
        <v>0</v>
      </c>
      <c r="R974" t="b">
        <v>1</v>
      </c>
      <c r="S974" t="s">
        <v>528</v>
      </c>
      <c r="T974" s="10">
        <v>0.695138888888889</v>
      </c>
      <c r="U974" s="10">
        <v>0.740972222222222</v>
      </c>
      <c r="V974">
        <v>66</v>
      </c>
      <c r="W974" t="b">
        <v>0</v>
      </c>
    </row>
    <row r="975" spans="1:24">
      <c r="A975">
        <v>974</v>
      </c>
      <c r="B975" t="s">
        <v>1301</v>
      </c>
      <c r="C975" t="s">
        <v>16</v>
      </c>
      <c r="D975" s="9">
        <v>35016</v>
      </c>
      <c r="E975" s="9" t="str">
        <f t="shared" si="120"/>
        <v>20-30</v>
      </c>
      <c r="F975">
        <v>28</v>
      </c>
      <c r="G975" t="s">
        <v>17</v>
      </c>
      <c r="H975">
        <v>4</v>
      </c>
      <c r="I975" t="s">
        <v>1230</v>
      </c>
      <c r="K975">
        <f t="shared" si="127"/>
        <v>1</v>
      </c>
      <c r="L975">
        <f t="shared" si="121"/>
        <v>0</v>
      </c>
      <c r="M975">
        <f t="shared" si="122"/>
        <v>1</v>
      </c>
      <c r="N975">
        <f t="shared" si="123"/>
        <v>1</v>
      </c>
      <c r="O975">
        <f t="shared" si="124"/>
        <v>0</v>
      </c>
      <c r="P975">
        <f t="shared" si="125"/>
        <v>1</v>
      </c>
      <c r="Q975">
        <f t="shared" si="126"/>
        <v>0</v>
      </c>
      <c r="R975" t="b">
        <v>1</v>
      </c>
      <c r="S975" t="s">
        <v>93</v>
      </c>
      <c r="T975" s="10">
        <v>0.465277777777778</v>
      </c>
      <c r="U975" s="10">
        <v>0.50625</v>
      </c>
      <c r="V975">
        <v>59</v>
      </c>
      <c r="W975" t="b">
        <v>1</v>
      </c>
      <c r="X975" t="s">
        <v>28</v>
      </c>
    </row>
    <row r="976" spans="1:24">
      <c r="A976">
        <v>975</v>
      </c>
      <c r="B976" t="s">
        <v>1302</v>
      </c>
      <c r="C976" t="s">
        <v>25</v>
      </c>
      <c r="D976" s="9">
        <v>28041</v>
      </c>
      <c r="E976" s="9" t="str">
        <f t="shared" si="120"/>
        <v>41-50</v>
      </c>
      <c r="F976">
        <v>47</v>
      </c>
      <c r="G976" t="s">
        <v>21</v>
      </c>
      <c r="H976">
        <v>3</v>
      </c>
      <c r="I976" t="s">
        <v>321</v>
      </c>
      <c r="K976">
        <f t="shared" si="127"/>
        <v>0</v>
      </c>
      <c r="L976">
        <f t="shared" si="121"/>
        <v>0</v>
      </c>
      <c r="M976">
        <f t="shared" si="122"/>
        <v>0</v>
      </c>
      <c r="N976">
        <f t="shared" si="123"/>
        <v>1</v>
      </c>
      <c r="O976">
        <f t="shared" si="124"/>
        <v>0</v>
      </c>
      <c r="P976">
        <f t="shared" si="125"/>
        <v>1</v>
      </c>
      <c r="Q976">
        <f t="shared" si="126"/>
        <v>1</v>
      </c>
      <c r="R976" t="b">
        <v>0</v>
      </c>
      <c r="T976" s="10">
        <v>0.463194444444444</v>
      </c>
      <c r="U976" s="10">
        <v>0.511111111111111</v>
      </c>
      <c r="V976">
        <v>69</v>
      </c>
      <c r="W976" t="b">
        <v>1</v>
      </c>
      <c r="X976" t="s">
        <v>50</v>
      </c>
    </row>
    <row r="977" spans="1:24">
      <c r="A977">
        <v>976</v>
      </c>
      <c r="B977" t="s">
        <v>1303</v>
      </c>
      <c r="C977" t="s">
        <v>16</v>
      </c>
      <c r="D977" s="9">
        <v>39734</v>
      </c>
      <c r="E977" s="9" t="str">
        <f t="shared" si="120"/>
        <v>below 20</v>
      </c>
      <c r="F977">
        <v>15</v>
      </c>
      <c r="G977" t="s">
        <v>17</v>
      </c>
      <c r="H977">
        <v>5</v>
      </c>
      <c r="I977" t="s">
        <v>417</v>
      </c>
      <c r="K977">
        <f t="shared" si="127"/>
        <v>1</v>
      </c>
      <c r="L977">
        <f t="shared" si="121"/>
        <v>1</v>
      </c>
      <c r="M977">
        <f t="shared" si="122"/>
        <v>0</v>
      </c>
      <c r="N977">
        <f t="shared" si="123"/>
        <v>1</v>
      </c>
      <c r="O977">
        <f t="shared" si="124"/>
        <v>1</v>
      </c>
      <c r="P977">
        <f t="shared" si="125"/>
        <v>1</v>
      </c>
      <c r="Q977">
        <f t="shared" si="126"/>
        <v>0</v>
      </c>
      <c r="R977" t="b">
        <v>0</v>
      </c>
      <c r="T977" s="10">
        <v>0.69375</v>
      </c>
      <c r="U977" s="10">
        <v>0.7375</v>
      </c>
      <c r="V977">
        <v>63</v>
      </c>
      <c r="W977" t="b">
        <v>0</v>
      </c>
    </row>
    <row r="978" spans="1:24">
      <c r="A978">
        <v>977</v>
      </c>
      <c r="B978" t="s">
        <v>1304</v>
      </c>
      <c r="C978" t="s">
        <v>25</v>
      </c>
      <c r="D978" s="9">
        <v>32475</v>
      </c>
      <c r="E978" s="9" t="str">
        <f t="shared" si="120"/>
        <v>31-41</v>
      </c>
      <c r="F978">
        <v>35</v>
      </c>
      <c r="G978" t="s">
        <v>21</v>
      </c>
      <c r="H978">
        <v>3</v>
      </c>
      <c r="I978" t="s">
        <v>215</v>
      </c>
      <c r="K978">
        <f t="shared" si="127"/>
        <v>1</v>
      </c>
      <c r="L978">
        <f t="shared" si="121"/>
        <v>1</v>
      </c>
      <c r="M978">
        <f t="shared" si="122"/>
        <v>1</v>
      </c>
      <c r="N978">
        <f t="shared" si="123"/>
        <v>0</v>
      </c>
      <c r="O978">
        <f t="shared" si="124"/>
        <v>0</v>
      </c>
      <c r="P978">
        <f t="shared" si="125"/>
        <v>0</v>
      </c>
      <c r="Q978">
        <f t="shared" si="126"/>
        <v>0</v>
      </c>
      <c r="R978" t="b">
        <v>1</v>
      </c>
      <c r="S978" t="s">
        <v>44</v>
      </c>
      <c r="T978" s="10">
        <v>0.441666666666667</v>
      </c>
      <c r="U978" s="10">
        <v>0.534722222222222</v>
      </c>
      <c r="V978">
        <v>134</v>
      </c>
      <c r="W978" t="b">
        <v>1</v>
      </c>
      <c r="X978" t="s">
        <v>28</v>
      </c>
    </row>
    <row r="979" spans="1:24">
      <c r="A979">
        <v>978</v>
      </c>
      <c r="B979" t="s">
        <v>1305</v>
      </c>
      <c r="C979" t="s">
        <v>25</v>
      </c>
      <c r="D979" s="9">
        <v>36805</v>
      </c>
      <c r="E979" s="9" t="str">
        <f t="shared" si="120"/>
        <v>20-30</v>
      </c>
      <c r="F979">
        <v>23</v>
      </c>
      <c r="G979" t="s">
        <v>21</v>
      </c>
      <c r="H979">
        <v>3</v>
      </c>
      <c r="I979" t="s">
        <v>150</v>
      </c>
      <c r="K979">
        <f t="shared" si="127"/>
        <v>0</v>
      </c>
      <c r="L979">
        <f t="shared" si="121"/>
        <v>1</v>
      </c>
      <c r="M979">
        <f t="shared" si="122"/>
        <v>0</v>
      </c>
      <c r="N979">
        <f t="shared" si="123"/>
        <v>1</v>
      </c>
      <c r="O979">
        <f t="shared" si="124"/>
        <v>0</v>
      </c>
      <c r="P979">
        <f t="shared" si="125"/>
        <v>0</v>
      </c>
      <c r="Q979">
        <f t="shared" si="126"/>
        <v>1</v>
      </c>
      <c r="R979" t="b">
        <v>0</v>
      </c>
      <c r="T979" s="10">
        <v>0.791666666666667</v>
      </c>
      <c r="U979" s="10">
        <v>0.819444444444445</v>
      </c>
      <c r="V979">
        <v>40</v>
      </c>
      <c r="W979" t="b">
        <v>0</v>
      </c>
    </row>
    <row r="980" spans="1:24">
      <c r="A980">
        <v>979</v>
      </c>
      <c r="B980" t="s">
        <v>1306</v>
      </c>
      <c r="C980" t="s">
        <v>25</v>
      </c>
      <c r="D980" s="9">
        <v>39570</v>
      </c>
      <c r="E980" s="9" t="str">
        <f t="shared" si="120"/>
        <v>below 20</v>
      </c>
      <c r="F980">
        <v>16</v>
      </c>
      <c r="G980" t="s">
        <v>17</v>
      </c>
      <c r="H980">
        <v>3</v>
      </c>
      <c r="I980" t="s">
        <v>57</v>
      </c>
      <c r="K980">
        <f t="shared" si="127"/>
        <v>1</v>
      </c>
      <c r="L980">
        <f t="shared" si="121"/>
        <v>1</v>
      </c>
      <c r="M980">
        <f t="shared" si="122"/>
        <v>0</v>
      </c>
      <c r="N980">
        <f t="shared" si="123"/>
        <v>1</v>
      </c>
      <c r="O980">
        <f t="shared" si="124"/>
        <v>0</v>
      </c>
      <c r="P980">
        <f t="shared" si="125"/>
        <v>0</v>
      </c>
      <c r="Q980">
        <f t="shared" si="126"/>
        <v>0</v>
      </c>
      <c r="R980" t="b">
        <v>1</v>
      </c>
      <c r="S980" t="s">
        <v>780</v>
      </c>
      <c r="T980" s="10">
        <v>0.5625</v>
      </c>
      <c r="U980" s="10">
        <v>0.620833333333333</v>
      </c>
      <c r="V980">
        <v>84</v>
      </c>
      <c r="W980" t="b">
        <v>0</v>
      </c>
    </row>
    <row r="981" spans="1:24">
      <c r="A981">
        <v>980</v>
      </c>
      <c r="B981" t="s">
        <v>1307</v>
      </c>
      <c r="C981" t="s">
        <v>25</v>
      </c>
      <c r="D981" s="9">
        <v>33742</v>
      </c>
      <c r="E981" s="9" t="str">
        <f t="shared" si="120"/>
        <v>31-41</v>
      </c>
      <c r="F981">
        <v>32</v>
      </c>
      <c r="G981" t="s">
        <v>21</v>
      </c>
      <c r="H981">
        <v>3</v>
      </c>
      <c r="I981" t="s">
        <v>513</v>
      </c>
      <c r="K981">
        <f t="shared" si="127"/>
        <v>1</v>
      </c>
      <c r="L981">
        <f t="shared" si="121"/>
        <v>0</v>
      </c>
      <c r="M981">
        <f t="shared" si="122"/>
        <v>1</v>
      </c>
      <c r="N981">
        <f t="shared" si="123"/>
        <v>0</v>
      </c>
      <c r="O981">
        <f t="shared" si="124"/>
        <v>0</v>
      </c>
      <c r="P981">
        <f t="shared" si="125"/>
        <v>0</v>
      </c>
      <c r="Q981">
        <f t="shared" si="126"/>
        <v>1</v>
      </c>
      <c r="R981" t="b">
        <v>1</v>
      </c>
      <c r="S981" t="s">
        <v>19</v>
      </c>
      <c r="T981" s="10">
        <v>0.740972222222222</v>
      </c>
      <c r="U981" s="10">
        <v>0.804166666666667</v>
      </c>
      <c r="V981">
        <v>91</v>
      </c>
      <c r="W981" t="b">
        <v>0</v>
      </c>
    </row>
    <row r="982" spans="1:24">
      <c r="A982">
        <v>981</v>
      </c>
      <c r="B982" t="s">
        <v>1308</v>
      </c>
      <c r="C982" t="s">
        <v>16</v>
      </c>
      <c r="D982" s="9">
        <v>33625</v>
      </c>
      <c r="E982" s="9" t="str">
        <f t="shared" si="120"/>
        <v>31-41</v>
      </c>
      <c r="F982">
        <v>32</v>
      </c>
      <c r="G982" t="s">
        <v>21</v>
      </c>
      <c r="H982">
        <v>3</v>
      </c>
      <c r="I982" t="s">
        <v>106</v>
      </c>
      <c r="K982">
        <f t="shared" si="127"/>
        <v>1</v>
      </c>
      <c r="L982">
        <f t="shared" si="121"/>
        <v>1</v>
      </c>
      <c r="M982">
        <f t="shared" si="122"/>
        <v>0</v>
      </c>
      <c r="N982">
        <f t="shared" si="123"/>
        <v>0</v>
      </c>
      <c r="O982">
        <f t="shared" si="124"/>
        <v>1</v>
      </c>
      <c r="P982">
        <f t="shared" si="125"/>
        <v>0</v>
      </c>
      <c r="Q982">
        <f t="shared" si="126"/>
        <v>0</v>
      </c>
      <c r="R982" t="b">
        <v>1</v>
      </c>
      <c r="S982" t="s">
        <v>1309</v>
      </c>
      <c r="T982" s="10">
        <v>0.619444444444444</v>
      </c>
      <c r="U982" s="10">
        <v>0.678472222222222</v>
      </c>
      <c r="V982">
        <v>85</v>
      </c>
      <c r="W982" t="b">
        <v>0</v>
      </c>
    </row>
    <row r="983" spans="1:24">
      <c r="A983">
        <v>982</v>
      </c>
      <c r="B983" t="s">
        <v>1310</v>
      </c>
      <c r="C983" t="s">
        <v>16</v>
      </c>
      <c r="D983" s="9">
        <v>37854</v>
      </c>
      <c r="E983" s="9" t="str">
        <f t="shared" si="120"/>
        <v>20-30</v>
      </c>
      <c r="F983">
        <v>21</v>
      </c>
      <c r="G983" t="s">
        <v>21</v>
      </c>
      <c r="H983">
        <v>2</v>
      </c>
      <c r="I983" t="s">
        <v>259</v>
      </c>
      <c r="K983">
        <f t="shared" si="127"/>
        <v>0</v>
      </c>
      <c r="L983">
        <f t="shared" si="121"/>
        <v>1</v>
      </c>
      <c r="M983">
        <f t="shared" si="122"/>
        <v>0</v>
      </c>
      <c r="N983">
        <f t="shared" si="123"/>
        <v>0</v>
      </c>
      <c r="O983">
        <f t="shared" si="124"/>
        <v>1</v>
      </c>
      <c r="P983">
        <f t="shared" si="125"/>
        <v>0</v>
      </c>
      <c r="Q983">
        <f t="shared" si="126"/>
        <v>0</v>
      </c>
      <c r="R983" t="b">
        <v>1</v>
      </c>
      <c r="S983" t="s">
        <v>93</v>
      </c>
      <c r="T983" s="10">
        <v>0.832638888888889</v>
      </c>
      <c r="U983" s="10">
        <v>0.864583333333333</v>
      </c>
      <c r="V983">
        <v>46</v>
      </c>
      <c r="W983" t="b">
        <v>1</v>
      </c>
      <c r="X983" t="s">
        <v>28</v>
      </c>
    </row>
    <row r="984" spans="1:24">
      <c r="A984">
        <v>983</v>
      </c>
      <c r="B984" t="s">
        <v>1311</v>
      </c>
      <c r="C984" t="s">
        <v>25</v>
      </c>
      <c r="D984" s="9">
        <v>32204</v>
      </c>
      <c r="E984" s="9" t="str">
        <f t="shared" si="120"/>
        <v>31-41</v>
      </c>
      <c r="F984">
        <v>36</v>
      </c>
      <c r="G984" t="s">
        <v>17</v>
      </c>
      <c r="H984">
        <v>4</v>
      </c>
      <c r="I984" t="s">
        <v>1084</v>
      </c>
      <c r="K984">
        <f t="shared" si="127"/>
        <v>0</v>
      </c>
      <c r="L984">
        <f t="shared" si="121"/>
        <v>1</v>
      </c>
      <c r="M984">
        <f t="shared" si="122"/>
        <v>1</v>
      </c>
      <c r="N984">
        <f t="shared" si="123"/>
        <v>0</v>
      </c>
      <c r="O984">
        <f t="shared" si="124"/>
        <v>1</v>
      </c>
      <c r="P984">
        <f t="shared" si="125"/>
        <v>0</v>
      </c>
      <c r="Q984">
        <f t="shared" si="126"/>
        <v>1</v>
      </c>
      <c r="R984" t="b">
        <v>1</v>
      </c>
      <c r="S984" t="s">
        <v>1312</v>
      </c>
      <c r="T984" s="10">
        <v>0.806944444444444</v>
      </c>
      <c r="U984" s="10">
        <v>0.880555555555556</v>
      </c>
      <c r="V984">
        <v>106</v>
      </c>
      <c r="W984" t="b">
        <v>1</v>
      </c>
      <c r="X984" t="s">
        <v>28</v>
      </c>
    </row>
    <row r="985" spans="1:24">
      <c r="A985">
        <v>984</v>
      </c>
      <c r="B985" t="s">
        <v>1313</v>
      </c>
      <c r="C985" t="s">
        <v>25</v>
      </c>
      <c r="D985" s="9">
        <v>32053</v>
      </c>
      <c r="E985" s="9" t="str">
        <f t="shared" si="120"/>
        <v>31-41</v>
      </c>
      <c r="F985">
        <v>37</v>
      </c>
      <c r="G985" t="s">
        <v>21</v>
      </c>
      <c r="H985">
        <v>1</v>
      </c>
      <c r="I985" t="s">
        <v>59</v>
      </c>
      <c r="K985">
        <f t="shared" si="127"/>
        <v>0</v>
      </c>
      <c r="L985">
        <f t="shared" si="121"/>
        <v>0</v>
      </c>
      <c r="M985">
        <f t="shared" si="122"/>
        <v>0</v>
      </c>
      <c r="N985">
        <f t="shared" si="123"/>
        <v>0</v>
      </c>
      <c r="O985">
        <f t="shared" si="124"/>
        <v>0</v>
      </c>
      <c r="P985">
        <f t="shared" si="125"/>
        <v>0</v>
      </c>
      <c r="Q985">
        <f t="shared" si="126"/>
        <v>1</v>
      </c>
      <c r="R985" t="b">
        <v>1</v>
      </c>
      <c r="S985" t="s">
        <v>1314</v>
      </c>
      <c r="T985" s="10">
        <v>0.669444444444444</v>
      </c>
      <c r="U985" s="10">
        <v>0.704861111111111</v>
      </c>
      <c r="V985">
        <v>51</v>
      </c>
      <c r="W985" t="b">
        <v>1</v>
      </c>
      <c r="X985" t="s">
        <v>28</v>
      </c>
    </row>
    <row r="986" spans="1:24">
      <c r="A986">
        <v>985</v>
      </c>
      <c r="B986" t="s">
        <v>1315</v>
      </c>
      <c r="C986" t="s">
        <v>16</v>
      </c>
      <c r="D986" s="9">
        <v>27679</v>
      </c>
      <c r="E986" s="9" t="str">
        <f t="shared" si="120"/>
        <v>41-50</v>
      </c>
      <c r="F986">
        <v>48</v>
      </c>
      <c r="G986" t="s">
        <v>17</v>
      </c>
      <c r="H986">
        <v>1</v>
      </c>
      <c r="I986" t="s">
        <v>46</v>
      </c>
      <c r="K986">
        <f t="shared" si="127"/>
        <v>0</v>
      </c>
      <c r="L986">
        <f t="shared" si="121"/>
        <v>1</v>
      </c>
      <c r="M986">
        <f t="shared" si="122"/>
        <v>0</v>
      </c>
      <c r="N986">
        <f t="shared" si="123"/>
        <v>0</v>
      </c>
      <c r="O986">
        <f t="shared" si="124"/>
        <v>0</v>
      </c>
      <c r="P986">
        <f t="shared" si="125"/>
        <v>0</v>
      </c>
      <c r="Q986">
        <f t="shared" si="126"/>
        <v>0</v>
      </c>
      <c r="R986" t="b">
        <v>1</v>
      </c>
      <c r="S986" t="s">
        <v>1316</v>
      </c>
      <c r="T986" s="10">
        <v>0.636805555555556</v>
      </c>
      <c r="U986" s="10">
        <v>0.657638888888889</v>
      </c>
      <c r="V986">
        <v>30</v>
      </c>
      <c r="W986" t="b">
        <v>0</v>
      </c>
    </row>
    <row r="987" spans="1:24">
      <c r="A987">
        <v>986</v>
      </c>
      <c r="B987" t="s">
        <v>1317</v>
      </c>
      <c r="C987" t="s">
        <v>25</v>
      </c>
      <c r="D987" s="9">
        <v>29936</v>
      </c>
      <c r="E987" s="9" t="str">
        <f t="shared" si="120"/>
        <v>41-50</v>
      </c>
      <c r="F987">
        <v>42</v>
      </c>
      <c r="G987" t="s">
        <v>21</v>
      </c>
      <c r="H987">
        <v>1</v>
      </c>
      <c r="I987" t="s">
        <v>81</v>
      </c>
      <c r="K987">
        <f t="shared" si="127"/>
        <v>0</v>
      </c>
      <c r="L987">
        <f t="shared" si="121"/>
        <v>0</v>
      </c>
      <c r="M987">
        <f t="shared" si="122"/>
        <v>0</v>
      </c>
      <c r="N987">
        <f t="shared" si="123"/>
        <v>0</v>
      </c>
      <c r="O987">
        <f t="shared" si="124"/>
        <v>0</v>
      </c>
      <c r="P987">
        <f t="shared" si="125"/>
        <v>1</v>
      </c>
      <c r="Q987">
        <f t="shared" si="126"/>
        <v>0</v>
      </c>
      <c r="R987" t="b">
        <v>1</v>
      </c>
      <c r="S987" t="s">
        <v>230</v>
      </c>
      <c r="T987" s="10">
        <v>0.586805555555556</v>
      </c>
      <c r="U987" s="10">
        <v>0.666666666666667</v>
      </c>
      <c r="V987">
        <v>115</v>
      </c>
      <c r="W987" t="b">
        <v>1</v>
      </c>
      <c r="X987" t="s">
        <v>50</v>
      </c>
    </row>
    <row r="988" spans="1:24">
      <c r="A988">
        <v>987</v>
      </c>
      <c r="B988" t="s">
        <v>1318</v>
      </c>
      <c r="C988" t="s">
        <v>16</v>
      </c>
      <c r="D988" s="9">
        <v>28928</v>
      </c>
      <c r="E988" s="9" t="str">
        <f t="shared" si="120"/>
        <v>41-50</v>
      </c>
      <c r="F988">
        <v>45</v>
      </c>
      <c r="G988" t="s">
        <v>17</v>
      </c>
      <c r="H988">
        <v>5</v>
      </c>
      <c r="I988" t="s">
        <v>289</v>
      </c>
      <c r="K988">
        <f t="shared" si="127"/>
        <v>1</v>
      </c>
      <c r="L988">
        <f t="shared" si="121"/>
        <v>1</v>
      </c>
      <c r="M988">
        <f t="shared" si="122"/>
        <v>1</v>
      </c>
      <c r="N988">
        <f t="shared" si="123"/>
        <v>1</v>
      </c>
      <c r="O988">
        <f t="shared" si="124"/>
        <v>1</v>
      </c>
      <c r="P988">
        <f t="shared" si="125"/>
        <v>0</v>
      </c>
      <c r="Q988">
        <f t="shared" si="126"/>
        <v>0</v>
      </c>
      <c r="R988" t="b">
        <v>0</v>
      </c>
      <c r="T988" s="10">
        <v>0.794444444444444</v>
      </c>
      <c r="U988" s="10">
        <v>0.897222222222222</v>
      </c>
      <c r="V988">
        <v>148</v>
      </c>
      <c r="W988" t="b">
        <v>1</v>
      </c>
      <c r="X988" t="s">
        <v>23</v>
      </c>
    </row>
    <row r="989" spans="1:24">
      <c r="A989">
        <v>988</v>
      </c>
      <c r="B989" t="s">
        <v>1319</v>
      </c>
      <c r="C989" t="s">
        <v>25</v>
      </c>
      <c r="D989" s="9">
        <v>28335</v>
      </c>
      <c r="E989" s="9" t="str">
        <f t="shared" si="120"/>
        <v>41-50</v>
      </c>
      <c r="F989">
        <v>47</v>
      </c>
      <c r="G989" t="s">
        <v>17</v>
      </c>
      <c r="H989">
        <v>3</v>
      </c>
      <c r="I989" t="s">
        <v>74</v>
      </c>
      <c r="K989">
        <f t="shared" si="127"/>
        <v>1</v>
      </c>
      <c r="L989">
        <f t="shared" si="121"/>
        <v>1</v>
      </c>
      <c r="M989">
        <f t="shared" si="122"/>
        <v>0</v>
      </c>
      <c r="N989">
        <f t="shared" si="123"/>
        <v>0</v>
      </c>
      <c r="O989">
        <f t="shared" si="124"/>
        <v>0</v>
      </c>
      <c r="P989">
        <f t="shared" si="125"/>
        <v>1</v>
      </c>
      <c r="Q989">
        <f t="shared" si="126"/>
        <v>0</v>
      </c>
      <c r="R989" t="b">
        <v>0</v>
      </c>
      <c r="T989" s="10">
        <v>0.45</v>
      </c>
      <c r="U989" s="10">
        <v>0.511805555555556</v>
      </c>
      <c r="V989">
        <v>89</v>
      </c>
      <c r="W989" t="b">
        <v>0</v>
      </c>
    </row>
    <row r="990" spans="1:24">
      <c r="A990">
        <v>989</v>
      </c>
      <c r="B990" t="s">
        <v>1320</v>
      </c>
      <c r="C990" t="s">
        <v>16</v>
      </c>
      <c r="D990" s="9">
        <v>32902</v>
      </c>
      <c r="E990" s="9" t="str">
        <f t="shared" si="120"/>
        <v>31-41</v>
      </c>
      <c r="F990">
        <v>34</v>
      </c>
      <c r="G990" t="s">
        <v>21</v>
      </c>
      <c r="H990">
        <v>1</v>
      </c>
      <c r="I990" t="s">
        <v>185</v>
      </c>
      <c r="K990">
        <f t="shared" si="127"/>
        <v>0</v>
      </c>
      <c r="L990">
        <f t="shared" si="121"/>
        <v>0</v>
      </c>
      <c r="M990">
        <f t="shared" si="122"/>
        <v>0</v>
      </c>
      <c r="N990">
        <f t="shared" si="123"/>
        <v>1</v>
      </c>
      <c r="O990">
        <f t="shared" si="124"/>
        <v>0</v>
      </c>
      <c r="P990">
        <f t="shared" si="125"/>
        <v>0</v>
      </c>
      <c r="Q990">
        <f t="shared" si="126"/>
        <v>0</v>
      </c>
      <c r="R990" t="b">
        <v>1</v>
      </c>
      <c r="S990" t="s">
        <v>1321</v>
      </c>
      <c r="T990" s="10">
        <v>0.384722222222222</v>
      </c>
      <c r="U990" s="10">
        <v>0.443055555555556</v>
      </c>
      <c r="V990">
        <v>84</v>
      </c>
      <c r="W990" t="b">
        <v>1</v>
      </c>
      <c r="X990" t="s">
        <v>23</v>
      </c>
    </row>
    <row r="991" spans="1:24">
      <c r="A991">
        <v>990</v>
      </c>
      <c r="B991" t="s">
        <v>1322</v>
      </c>
      <c r="C991" t="s">
        <v>25</v>
      </c>
      <c r="D991" s="9">
        <v>35710</v>
      </c>
      <c r="E991" s="9" t="str">
        <f t="shared" si="120"/>
        <v>20-30</v>
      </c>
      <c r="F991">
        <v>26</v>
      </c>
      <c r="G991" t="s">
        <v>17</v>
      </c>
      <c r="H991">
        <v>3</v>
      </c>
      <c r="I991" t="s">
        <v>161</v>
      </c>
      <c r="K991">
        <f t="shared" si="127"/>
        <v>0</v>
      </c>
      <c r="L991">
        <f t="shared" si="121"/>
        <v>0</v>
      </c>
      <c r="M991">
        <f t="shared" si="122"/>
        <v>0</v>
      </c>
      <c r="N991">
        <f t="shared" si="123"/>
        <v>0</v>
      </c>
      <c r="O991">
        <f t="shared" si="124"/>
        <v>1</v>
      </c>
      <c r="P991">
        <f t="shared" si="125"/>
        <v>1</v>
      </c>
      <c r="Q991">
        <f t="shared" si="126"/>
        <v>1</v>
      </c>
      <c r="R991" t="b">
        <v>0</v>
      </c>
      <c r="T991" s="10">
        <v>0.493055555555556</v>
      </c>
      <c r="U991" s="10">
        <v>0.58125</v>
      </c>
      <c r="V991">
        <v>127</v>
      </c>
      <c r="W991" t="b">
        <v>0</v>
      </c>
    </row>
    <row r="992" spans="1:24">
      <c r="A992">
        <v>991</v>
      </c>
      <c r="B992" t="s">
        <v>1323</v>
      </c>
      <c r="C992" t="s">
        <v>16</v>
      </c>
      <c r="D992" s="9">
        <v>29677</v>
      </c>
      <c r="E992" s="9" t="str">
        <f t="shared" si="120"/>
        <v>41-50</v>
      </c>
      <c r="F992">
        <v>43</v>
      </c>
      <c r="G992" t="s">
        <v>21</v>
      </c>
      <c r="H992">
        <v>3</v>
      </c>
      <c r="I992" t="s">
        <v>43</v>
      </c>
      <c r="K992">
        <f t="shared" si="127"/>
        <v>0</v>
      </c>
      <c r="L992">
        <f t="shared" si="121"/>
        <v>1</v>
      </c>
      <c r="M992">
        <f t="shared" si="122"/>
        <v>1</v>
      </c>
      <c r="N992">
        <f t="shared" si="123"/>
        <v>1</v>
      </c>
      <c r="O992">
        <f t="shared" si="124"/>
        <v>0</v>
      </c>
      <c r="P992">
        <f t="shared" si="125"/>
        <v>0</v>
      </c>
      <c r="Q992">
        <f t="shared" si="126"/>
        <v>0</v>
      </c>
      <c r="R992" t="b">
        <v>0</v>
      </c>
      <c r="T992" s="10">
        <v>0.348611111111111</v>
      </c>
      <c r="U992" s="10">
        <v>0.38125</v>
      </c>
      <c r="V992">
        <v>47</v>
      </c>
      <c r="W992" t="b">
        <v>1</v>
      </c>
      <c r="X992" t="s">
        <v>23</v>
      </c>
    </row>
    <row r="993" spans="1:24">
      <c r="A993">
        <v>992</v>
      </c>
      <c r="B993" t="s">
        <v>1324</v>
      </c>
      <c r="C993" t="s">
        <v>25</v>
      </c>
      <c r="D993" s="9">
        <v>33462</v>
      </c>
      <c r="E993" s="9" t="str">
        <f t="shared" si="120"/>
        <v>31-41</v>
      </c>
      <c r="F993">
        <v>33</v>
      </c>
      <c r="G993" t="s">
        <v>17</v>
      </c>
      <c r="H993">
        <v>3</v>
      </c>
      <c r="I993" t="s">
        <v>325</v>
      </c>
      <c r="K993">
        <f t="shared" si="127"/>
        <v>1</v>
      </c>
      <c r="L993">
        <f t="shared" si="121"/>
        <v>0</v>
      </c>
      <c r="M993">
        <f t="shared" si="122"/>
        <v>0</v>
      </c>
      <c r="N993">
        <f t="shared" si="123"/>
        <v>1</v>
      </c>
      <c r="O993">
        <f t="shared" si="124"/>
        <v>0</v>
      </c>
      <c r="P993">
        <f t="shared" si="125"/>
        <v>0</v>
      </c>
      <c r="Q993">
        <f t="shared" si="126"/>
        <v>1</v>
      </c>
      <c r="R993" t="b">
        <v>1</v>
      </c>
      <c r="S993" t="s">
        <v>628</v>
      </c>
      <c r="T993" s="10">
        <v>0.433333333333333</v>
      </c>
      <c r="U993" s="10">
        <v>0.503472222222222</v>
      </c>
      <c r="V993">
        <v>101</v>
      </c>
      <c r="W993" t="b">
        <v>1</v>
      </c>
      <c r="X993" t="s">
        <v>23</v>
      </c>
    </row>
    <row r="994" spans="1:24">
      <c r="A994">
        <v>993</v>
      </c>
      <c r="B994" t="s">
        <v>1325</v>
      </c>
      <c r="C994" t="s">
        <v>16</v>
      </c>
      <c r="D994" s="9">
        <v>31322</v>
      </c>
      <c r="E994" s="9" t="str">
        <f t="shared" si="120"/>
        <v>31-41</v>
      </c>
      <c r="F994">
        <v>39</v>
      </c>
      <c r="G994" t="s">
        <v>21</v>
      </c>
      <c r="H994">
        <v>5</v>
      </c>
      <c r="I994" t="s">
        <v>863</v>
      </c>
      <c r="K994">
        <f t="shared" si="127"/>
        <v>1</v>
      </c>
      <c r="L994">
        <f t="shared" si="121"/>
        <v>1</v>
      </c>
      <c r="M994">
        <f t="shared" si="122"/>
        <v>1</v>
      </c>
      <c r="N994">
        <f t="shared" si="123"/>
        <v>0</v>
      </c>
      <c r="O994">
        <f t="shared" si="124"/>
        <v>1</v>
      </c>
      <c r="P994">
        <f t="shared" si="125"/>
        <v>0</v>
      </c>
      <c r="Q994">
        <f t="shared" si="126"/>
        <v>1</v>
      </c>
      <c r="R994" t="b">
        <v>1</v>
      </c>
      <c r="S994" t="s">
        <v>217</v>
      </c>
      <c r="T994" s="10">
        <v>0.404166666666667</v>
      </c>
      <c r="U994" s="10">
        <v>0.488194444444444</v>
      </c>
      <c r="V994">
        <v>121</v>
      </c>
      <c r="W994" t="b">
        <v>1</v>
      </c>
      <c r="X994" t="s">
        <v>23</v>
      </c>
    </row>
    <row r="995" spans="1:24">
      <c r="A995">
        <v>994</v>
      </c>
      <c r="B995" t="s">
        <v>1326</v>
      </c>
      <c r="C995" t="s">
        <v>25</v>
      </c>
      <c r="D995" s="9">
        <v>39111</v>
      </c>
      <c r="E995" s="9" t="str">
        <f t="shared" si="120"/>
        <v>below 20</v>
      </c>
      <c r="F995">
        <v>17</v>
      </c>
      <c r="G995" t="s">
        <v>21</v>
      </c>
      <c r="H995">
        <v>4</v>
      </c>
      <c r="I995" t="s">
        <v>637</v>
      </c>
      <c r="K995">
        <f t="shared" si="127"/>
        <v>1</v>
      </c>
      <c r="L995">
        <f t="shared" si="121"/>
        <v>0</v>
      </c>
      <c r="M995">
        <f t="shared" si="122"/>
        <v>0</v>
      </c>
      <c r="N995">
        <f t="shared" si="123"/>
        <v>1</v>
      </c>
      <c r="O995">
        <f t="shared" si="124"/>
        <v>1</v>
      </c>
      <c r="P995">
        <f t="shared" si="125"/>
        <v>0</v>
      </c>
      <c r="Q995">
        <f t="shared" si="126"/>
        <v>1</v>
      </c>
      <c r="R995" t="b">
        <v>1</v>
      </c>
      <c r="S995" t="s">
        <v>666</v>
      </c>
      <c r="T995" s="10">
        <v>0.826388888888889</v>
      </c>
      <c r="U995" s="10">
        <v>0.918055555555556</v>
      </c>
      <c r="V995">
        <v>132</v>
      </c>
      <c r="W995" t="b">
        <v>1</v>
      </c>
      <c r="X995" t="s">
        <v>50</v>
      </c>
    </row>
    <row r="996" spans="1:24">
      <c r="A996">
        <v>995</v>
      </c>
      <c r="B996" t="s">
        <v>1327</v>
      </c>
      <c r="C996" t="s">
        <v>16</v>
      </c>
      <c r="D996" s="9">
        <v>32225</v>
      </c>
      <c r="E996" s="9" t="str">
        <f t="shared" si="120"/>
        <v>31-41</v>
      </c>
      <c r="F996">
        <v>36</v>
      </c>
      <c r="G996" t="s">
        <v>21</v>
      </c>
      <c r="H996">
        <v>2</v>
      </c>
      <c r="I996" t="s">
        <v>101</v>
      </c>
      <c r="K996">
        <f t="shared" si="127"/>
        <v>0</v>
      </c>
      <c r="L996">
        <f t="shared" si="121"/>
        <v>0</v>
      </c>
      <c r="M996">
        <f t="shared" si="122"/>
        <v>0</v>
      </c>
      <c r="N996">
        <f t="shared" si="123"/>
        <v>0</v>
      </c>
      <c r="O996">
        <f t="shared" si="124"/>
        <v>0</v>
      </c>
      <c r="P996">
        <f t="shared" si="125"/>
        <v>1</v>
      </c>
      <c r="Q996">
        <f t="shared" si="126"/>
        <v>1</v>
      </c>
      <c r="R996" t="b">
        <v>0</v>
      </c>
      <c r="T996" s="10">
        <v>0.427777777777778</v>
      </c>
      <c r="U996" s="10">
        <v>0.451388888888889</v>
      </c>
      <c r="V996">
        <v>34</v>
      </c>
      <c r="W996" t="b">
        <v>0</v>
      </c>
    </row>
    <row r="997" spans="1:24">
      <c r="A997">
        <v>996</v>
      </c>
      <c r="B997" t="s">
        <v>1328</v>
      </c>
      <c r="C997" t="s">
        <v>16</v>
      </c>
      <c r="D997" s="9">
        <v>30947</v>
      </c>
      <c r="E997" s="9" t="str">
        <f t="shared" si="120"/>
        <v>31-41</v>
      </c>
      <c r="F997">
        <v>40</v>
      </c>
      <c r="G997" t="s">
        <v>21</v>
      </c>
      <c r="H997">
        <v>3</v>
      </c>
      <c r="I997" t="s">
        <v>57</v>
      </c>
      <c r="K997">
        <f t="shared" si="127"/>
        <v>1</v>
      </c>
      <c r="L997">
        <f t="shared" si="121"/>
        <v>1</v>
      </c>
      <c r="M997">
        <f t="shared" si="122"/>
        <v>0</v>
      </c>
      <c r="N997">
        <f t="shared" si="123"/>
        <v>1</v>
      </c>
      <c r="O997">
        <f t="shared" si="124"/>
        <v>0</v>
      </c>
      <c r="P997">
        <f t="shared" si="125"/>
        <v>0</v>
      </c>
      <c r="Q997">
        <f t="shared" si="126"/>
        <v>0</v>
      </c>
      <c r="R997" t="b">
        <v>0</v>
      </c>
      <c r="T997" s="10">
        <v>0.872222222222222</v>
      </c>
      <c r="U997" s="10">
        <v>0.980555555555556</v>
      </c>
      <c r="V997">
        <v>156</v>
      </c>
      <c r="W997" t="b">
        <v>0</v>
      </c>
    </row>
    <row r="998" spans="1:24">
      <c r="A998">
        <v>997</v>
      </c>
      <c r="B998" t="s">
        <v>1329</v>
      </c>
      <c r="C998" t="s">
        <v>16</v>
      </c>
      <c r="D998" s="9">
        <v>39771</v>
      </c>
      <c r="E998" s="9" t="str">
        <f t="shared" si="120"/>
        <v>below 20</v>
      </c>
      <c r="F998">
        <v>15</v>
      </c>
      <c r="G998" t="s">
        <v>21</v>
      </c>
      <c r="H998">
        <v>3</v>
      </c>
      <c r="I998" t="s">
        <v>164</v>
      </c>
      <c r="K998">
        <f t="shared" si="127"/>
        <v>0</v>
      </c>
      <c r="L998">
        <f t="shared" si="121"/>
        <v>0</v>
      </c>
      <c r="M998">
        <f t="shared" si="122"/>
        <v>1</v>
      </c>
      <c r="N998">
        <f t="shared" si="123"/>
        <v>0</v>
      </c>
      <c r="O998">
        <f t="shared" si="124"/>
        <v>1</v>
      </c>
      <c r="P998">
        <f t="shared" si="125"/>
        <v>1</v>
      </c>
      <c r="Q998">
        <f t="shared" si="126"/>
        <v>0</v>
      </c>
      <c r="R998" t="b">
        <v>1</v>
      </c>
      <c r="S998" t="s">
        <v>193</v>
      </c>
      <c r="T998" s="10">
        <v>0.384722222222222</v>
      </c>
      <c r="U998" s="10">
        <v>0.411805555555556</v>
      </c>
      <c r="V998">
        <v>39</v>
      </c>
      <c r="W998" t="b">
        <v>0</v>
      </c>
    </row>
    <row r="999" spans="1:24">
      <c r="A999">
        <v>998</v>
      </c>
      <c r="B999" t="s">
        <v>1330</v>
      </c>
      <c r="C999" t="s">
        <v>25</v>
      </c>
      <c r="D999" s="9">
        <v>30960</v>
      </c>
      <c r="E999" s="9" t="str">
        <f t="shared" si="120"/>
        <v>31-41</v>
      </c>
      <c r="F999">
        <v>39</v>
      </c>
      <c r="G999" t="s">
        <v>21</v>
      </c>
      <c r="H999">
        <v>2</v>
      </c>
      <c r="I999" t="s">
        <v>210</v>
      </c>
      <c r="K999">
        <f t="shared" si="127"/>
        <v>0</v>
      </c>
      <c r="L999">
        <f t="shared" si="121"/>
        <v>1</v>
      </c>
      <c r="M999">
        <f t="shared" si="122"/>
        <v>0</v>
      </c>
      <c r="N999">
        <f t="shared" si="123"/>
        <v>0</v>
      </c>
      <c r="O999">
        <f t="shared" si="124"/>
        <v>0</v>
      </c>
      <c r="P999">
        <f t="shared" si="125"/>
        <v>1</v>
      </c>
      <c r="Q999">
        <f t="shared" si="126"/>
        <v>0</v>
      </c>
      <c r="R999" t="b">
        <v>0</v>
      </c>
      <c r="T999" s="10">
        <v>0.722916666666667</v>
      </c>
      <c r="U999" s="10">
        <v>0.794444444444444</v>
      </c>
      <c r="V999">
        <v>103</v>
      </c>
      <c r="W999" t="b">
        <v>1</v>
      </c>
      <c r="X999" t="s">
        <v>47</v>
      </c>
    </row>
    <row r="1000" spans="1:24">
      <c r="A1000">
        <v>999</v>
      </c>
      <c r="B1000" t="s">
        <v>1331</v>
      </c>
      <c r="C1000" t="s">
        <v>25</v>
      </c>
      <c r="D1000" s="9">
        <v>36944</v>
      </c>
      <c r="E1000" s="9" t="str">
        <f t="shared" si="120"/>
        <v>20-30</v>
      </c>
      <c r="F1000">
        <v>23</v>
      </c>
      <c r="G1000" t="s">
        <v>21</v>
      </c>
      <c r="H1000">
        <v>4</v>
      </c>
      <c r="I1000" t="s">
        <v>342</v>
      </c>
      <c r="K1000">
        <f t="shared" si="127"/>
        <v>0</v>
      </c>
      <c r="L1000">
        <f t="shared" si="121"/>
        <v>1</v>
      </c>
      <c r="M1000">
        <f t="shared" si="122"/>
        <v>1</v>
      </c>
      <c r="N1000">
        <f t="shared" si="123"/>
        <v>0</v>
      </c>
      <c r="O1000">
        <f t="shared" si="124"/>
        <v>0</v>
      </c>
      <c r="P1000">
        <f t="shared" si="125"/>
        <v>1</v>
      </c>
      <c r="Q1000">
        <f t="shared" si="126"/>
        <v>1</v>
      </c>
      <c r="R1000" t="b">
        <v>1</v>
      </c>
      <c r="S1000" t="s">
        <v>1194</v>
      </c>
      <c r="T1000" s="10">
        <v>0.432638888888889</v>
      </c>
      <c r="U1000" s="10">
        <v>0.552083333333333</v>
      </c>
      <c r="V1000">
        <v>172</v>
      </c>
      <c r="W1000" t="b">
        <v>1</v>
      </c>
      <c r="X1000" t="s">
        <v>47</v>
      </c>
    </row>
    <row r="1001" spans="1:24">
      <c r="A1001">
        <v>1000</v>
      </c>
      <c r="B1001" t="s">
        <v>1332</v>
      </c>
      <c r="C1001" t="s">
        <v>16</v>
      </c>
      <c r="D1001" s="9">
        <v>38844</v>
      </c>
      <c r="E1001" s="9" t="str">
        <f t="shared" si="120"/>
        <v>below 20</v>
      </c>
      <c r="F1001">
        <v>18</v>
      </c>
      <c r="G1001" t="s">
        <v>17</v>
      </c>
      <c r="H1001">
        <v>2</v>
      </c>
      <c r="I1001" t="s">
        <v>133</v>
      </c>
      <c r="K1001">
        <f t="shared" si="127"/>
        <v>1</v>
      </c>
      <c r="L1001">
        <f t="shared" si="121"/>
        <v>0</v>
      </c>
      <c r="M1001">
        <f t="shared" si="122"/>
        <v>1</v>
      </c>
      <c r="N1001">
        <f t="shared" si="123"/>
        <v>0</v>
      </c>
      <c r="O1001">
        <f t="shared" si="124"/>
        <v>0</v>
      </c>
      <c r="P1001">
        <f t="shared" si="125"/>
        <v>0</v>
      </c>
      <c r="Q1001">
        <f t="shared" si="126"/>
        <v>0</v>
      </c>
      <c r="R1001" t="b">
        <v>0</v>
      </c>
      <c r="T1001" s="10">
        <v>0.695138888888889</v>
      </c>
      <c r="U1001" s="10">
        <v>0.800694444444444</v>
      </c>
      <c r="V1001">
        <v>152</v>
      </c>
      <c r="W1001" t="b">
        <v>0</v>
      </c>
    </row>
  </sheetData>
  <conditionalFormatting sqref="A1:A1001">
    <cfRule type="duplicateValues" dxfId="20" priority="1"/>
  </conditionalFormatting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95"/>
  <sheetViews>
    <sheetView zoomScale="120" zoomScaleNormal="120" topLeftCell="A76" workbookViewId="0">
      <selection activeCell="F87" sqref="F87"/>
    </sheetView>
  </sheetViews>
  <sheetFormatPr defaultColWidth="9.14285714285714" defaultRowHeight="15"/>
  <cols>
    <col min="1" max="1" width="12.2857142857143"/>
    <col min="2" max="2" width="13.4285714285714"/>
    <col min="3" max="3" width="5.71428571428571"/>
    <col min="4" max="4" width="5.57142857142857"/>
    <col min="5" max="5" width="5.85714285714286"/>
    <col min="6" max="6" width="4.85714285714286"/>
    <col min="7" max="7" width="3.85714285714286"/>
    <col min="8" max="8" width="4.28571428571429"/>
    <col min="9" max="9" width="9"/>
    <col min="10" max="10" width="13"/>
    <col min="11" max="11" width="17.8571428571429"/>
    <col min="12" max="13" width="22.7142857142857"/>
    <col min="14" max="14" width="23.8571428571429"/>
    <col min="15" max="15" width="17.8571428571429"/>
    <col min="16" max="16" width="22.7142857142857"/>
    <col min="17" max="17" width="23.8571428571429"/>
    <col min="18" max="18" width="17.8571428571429"/>
    <col min="19" max="19" width="23.8571428571429"/>
    <col min="20" max="20" width="19"/>
    <col min="21" max="21" width="13.7142857142857"/>
    <col min="22" max="22" width="18.5714285714286"/>
    <col min="23" max="23" width="23.2857142857143"/>
    <col min="24" max="24" width="24.4285714285714"/>
    <col min="25" max="25" width="18.5714285714286"/>
    <col min="26" max="26" width="24.4285714285714"/>
    <col min="27" max="27" width="19.5714285714286"/>
    <col min="28" max="28" width="13.7142857142857"/>
    <col min="29" max="29" width="18.5714285714286"/>
    <col min="30" max="30" width="24.4285714285714"/>
    <col min="31" max="31" width="19.5714285714286"/>
    <col min="32" max="32" width="13.7142857142857"/>
    <col min="33" max="33" width="19.5714285714286"/>
    <col min="34" max="34" width="14.8571428571429"/>
    <col min="35" max="35" width="7.57142857142857"/>
    <col min="36" max="36" width="12.1428571428571"/>
    <col min="37" max="37" width="16.8571428571429"/>
    <col min="38" max="38" width="21.7142857142857"/>
    <col min="39" max="39" width="22.8571428571429"/>
    <col min="40" max="40" width="16.8571428571429"/>
    <col min="41" max="41" width="22.8571428571429"/>
    <col min="42" max="42" width="12.1428571428571"/>
    <col min="43" max="43" width="16.8571428571429"/>
    <col min="44" max="44" width="22.8571428571429"/>
    <col min="45" max="45" width="18"/>
    <col min="46" max="46" width="12.1428571428571"/>
    <col min="47" max="47" width="18"/>
    <col min="48" max="48" width="13.1428571428571"/>
    <col min="49" max="49" width="8.14285714285714"/>
    <col min="50" max="50" width="12.7142857142857"/>
    <col min="51" max="51" width="17.5714285714286"/>
    <col min="52" max="52" width="23.4285714285714"/>
    <col min="53" max="53" width="18.7142857142857"/>
    <col min="54" max="54" width="12.7142857142857"/>
    <col min="55" max="55" width="18.7142857142857"/>
    <col min="56" max="56" width="13.8571428571429"/>
    <col min="57" max="57" width="8.14285714285714"/>
    <col min="58" max="58" width="12.7142857142857"/>
    <col min="59" max="59" width="18.7142857142857"/>
    <col min="60" max="60" width="13.8571428571429"/>
    <col min="61" max="61" width="8.14285714285714"/>
    <col min="62" max="62" width="13.8571428571429"/>
    <col min="64" max="64" width="9.42857142857143"/>
    <col min="65" max="65" width="14.1428571428571"/>
    <col min="66" max="66" width="23.8571428571429"/>
    <col min="67" max="67" width="25"/>
    <col min="68" max="68" width="19"/>
    <col min="69" max="69" width="25"/>
    <col min="70" max="70" width="20.1428571428571"/>
    <col min="71" max="71" width="14.1428571428571"/>
    <col min="72" max="72" width="19"/>
    <col min="73" max="73" width="25"/>
    <col min="74" max="74" width="20.1428571428571"/>
    <col min="75" max="75" width="14.1428571428571"/>
    <col min="76" max="76" width="20.1428571428571"/>
    <col min="77" max="77" width="15.2857142857143"/>
    <col min="78" max="78" width="10"/>
    <col min="79" max="79" width="14.8571428571429"/>
    <col min="80" max="80" width="19.5714285714286"/>
    <col min="81" max="81" width="25.5714285714286"/>
    <col min="82" max="82" width="20.7142857142857"/>
    <col min="83" max="83" width="14.8571428571429"/>
    <col min="84" max="84" width="20.7142857142857"/>
    <col min="85" max="85" width="16"/>
    <col min="86" max="86" width="10"/>
    <col min="87" max="87" width="14.8571428571429"/>
    <col min="88" max="88" width="20.7142857142857"/>
    <col min="89" max="89" width="16"/>
    <col min="90" max="90" width="10"/>
    <col min="91" max="91" width="16"/>
    <col min="92" max="92" width="11.1428571428571"/>
    <col min="93" max="93" width="8.57142857142857"/>
    <col min="94" max="94" width="13.1428571428571"/>
    <col min="95" max="95" width="18"/>
    <col min="96" max="96" width="24"/>
    <col min="97" max="97" width="19.1428571428571"/>
    <col min="98" max="98" width="13.1428571428571"/>
    <col min="99" max="99" width="19.1428571428571"/>
    <col min="100" max="100" width="14.2857142857143"/>
    <col min="101" max="101" width="8.57142857142857"/>
    <col min="102" max="102" width="13.1428571428571"/>
    <col min="103" max="103" width="19.1428571428571"/>
    <col min="104" max="104" width="14.2857142857143"/>
    <col min="105" max="105" width="8.57142857142857"/>
    <col min="106" max="106" width="14.2857142857143"/>
    <col min="107" max="107" width="9.57142857142857"/>
    <col min="109" max="109" width="13.8571428571429"/>
    <col min="110" max="110" width="19.8571428571429"/>
    <col min="111" max="111" width="15"/>
    <col min="113" max="113" width="15"/>
    <col min="114" max="114" width="10.1428571428571"/>
    <col min="116" max="116" width="15"/>
    <col min="117" max="118" width="10.1428571428571"/>
    <col min="119" max="119" width="7.85714285714286"/>
    <col min="120" max="120" width="12.1428571428571"/>
  </cols>
  <sheetData>
    <row r="2" ht="15.75" spans="1:9">
      <c r="A2" s="2" t="s">
        <v>1341</v>
      </c>
      <c r="B2" s="3"/>
    </row>
    <row r="3" spans="1:9">
      <c r="A3" s="4" t="s">
        <v>5</v>
      </c>
      <c r="B3" s="4" t="s">
        <v>1342</v>
      </c>
    </row>
    <row r="4" spans="1:9">
      <c r="A4" s="4" t="s">
        <v>17</v>
      </c>
      <c r="B4" s="4">
        <v>493</v>
      </c>
    </row>
    <row r="5" spans="1:9">
      <c r="A5" s="4" t="s">
        <v>21</v>
      </c>
      <c r="B5" s="4">
        <v>507</v>
      </c>
    </row>
    <row r="6" spans="1:9">
      <c r="A6" s="4" t="s">
        <v>1343</v>
      </c>
      <c r="B6" s="4">
        <v>1000</v>
      </c>
      <c r="I6" s="5"/>
    </row>
    <row r="9" ht="15.75" spans="1:9">
      <c r="A9" s="2" t="s">
        <v>1344</v>
      </c>
      <c r="B9" s="3"/>
    </row>
    <row r="10" spans="1:9">
      <c r="A10" s="6" t="s">
        <v>2</v>
      </c>
      <c r="B10" s="6" t="s">
        <v>1345</v>
      </c>
    </row>
    <row r="11" spans="1:9">
      <c r="A11" s="6" t="s">
        <v>16</v>
      </c>
      <c r="B11" s="6">
        <v>503</v>
      </c>
    </row>
    <row r="12" spans="1:9">
      <c r="A12" s="6" t="s">
        <v>25</v>
      </c>
      <c r="B12" s="6">
        <v>497</v>
      </c>
    </row>
    <row r="13" spans="1:9">
      <c r="A13" s="6" t="s">
        <v>1343</v>
      </c>
      <c r="B13" s="6">
        <v>1000</v>
      </c>
    </row>
    <row r="17" ht="15.75" spans="1:2">
      <c r="A17" s="2" t="s">
        <v>1346</v>
      </c>
      <c r="B17" s="3"/>
    </row>
    <row r="18" spans="1:2">
      <c r="A18" s="6" t="s">
        <v>5</v>
      </c>
      <c r="B18" s="6" t="s">
        <v>1347</v>
      </c>
    </row>
    <row r="19" spans="1:2">
      <c r="A19" s="6" t="s">
        <v>17</v>
      </c>
      <c r="B19" s="6">
        <v>2.68356997971602</v>
      </c>
    </row>
    <row r="20" spans="1:2">
      <c r="A20" s="6" t="s">
        <v>21</v>
      </c>
      <c r="B20" s="6">
        <v>2.68047337278107</v>
      </c>
    </row>
    <row r="21" spans="1:2">
      <c r="A21" s="6" t="s">
        <v>1343</v>
      </c>
      <c r="B21" s="6">
        <v>2.682</v>
      </c>
    </row>
    <row r="25" ht="15.75" spans="1:2">
      <c r="A25" s="2" t="s">
        <v>1348</v>
      </c>
      <c r="B25" s="3"/>
    </row>
    <row r="26" spans="1:2">
      <c r="A26" s="6" t="s">
        <v>1333</v>
      </c>
      <c r="B26" s="6" t="s">
        <v>1349</v>
      </c>
    </row>
    <row r="27" spans="1:2">
      <c r="A27" s="6" t="s">
        <v>1350</v>
      </c>
      <c r="B27" s="6">
        <v>6</v>
      </c>
    </row>
    <row r="28" spans="1:2">
      <c r="A28" s="6" t="s">
        <v>1351</v>
      </c>
      <c r="B28" s="6">
        <v>6</v>
      </c>
    </row>
    <row r="29" spans="1:2">
      <c r="A29" s="6" t="s">
        <v>1352</v>
      </c>
      <c r="B29" s="6">
        <v>3</v>
      </c>
    </row>
    <row r="30" spans="1:2">
      <c r="A30" s="6" t="s">
        <v>1353</v>
      </c>
      <c r="B30" s="6">
        <v>2</v>
      </c>
    </row>
    <row r="31" spans="1:2">
      <c r="A31" s="6" t="s">
        <v>1343</v>
      </c>
      <c r="B31" s="6">
        <v>17</v>
      </c>
    </row>
    <row r="33" ht="15.75" spans="1:2">
      <c r="A33" s="2" t="s">
        <v>1354</v>
      </c>
      <c r="B33" s="3"/>
    </row>
    <row r="34" spans="1:2">
      <c r="A34" s="6" t="s">
        <v>8</v>
      </c>
      <c r="B34" s="6" t="s">
        <v>1355</v>
      </c>
    </row>
    <row r="35" spans="1:2">
      <c r="A35" s="6" t="b">
        <v>0</v>
      </c>
      <c r="B35" s="6">
        <v>10</v>
      </c>
    </row>
    <row r="36" spans="1:2">
      <c r="A36" s="6" t="b">
        <v>1</v>
      </c>
      <c r="B36" s="6">
        <v>7</v>
      </c>
    </row>
    <row r="37" spans="1:2">
      <c r="A37" s="6" t="s">
        <v>1343</v>
      </c>
      <c r="B37" s="6">
        <v>17</v>
      </c>
    </row>
    <row r="40" ht="15.75" spans="1:2">
      <c r="A40" s="2" t="s">
        <v>1356</v>
      </c>
      <c r="B40" s="3"/>
    </row>
    <row r="41" spans="1:2">
      <c r="A41" s="6" t="s">
        <v>9</v>
      </c>
      <c r="B41" s="6" t="s">
        <v>1357</v>
      </c>
    </row>
    <row r="42" spans="1:2">
      <c r="A42" s="6" t="s">
        <v>83</v>
      </c>
      <c r="B42" s="6">
        <v>2</v>
      </c>
    </row>
    <row r="43" spans="1:2">
      <c r="A43" s="6" t="s">
        <v>1247</v>
      </c>
      <c r="B43" s="6">
        <v>2</v>
      </c>
    </row>
    <row r="44" spans="1:2">
      <c r="A44" s="6" t="s">
        <v>44</v>
      </c>
      <c r="B44" s="6">
        <v>2</v>
      </c>
    </row>
    <row r="45" spans="1:2">
      <c r="A45" s="6" t="s">
        <v>114</v>
      </c>
      <c r="B45" s="6">
        <v>2</v>
      </c>
    </row>
    <row r="46" spans="1:2">
      <c r="A46" s="6" t="s">
        <v>845</v>
      </c>
      <c r="B46" s="6">
        <v>2</v>
      </c>
    </row>
    <row r="47" spans="1:2">
      <c r="A47" s="6" t="s">
        <v>67</v>
      </c>
      <c r="B47" s="6">
        <v>2</v>
      </c>
    </row>
    <row r="48" spans="1:2">
      <c r="A48" s="6" t="s">
        <v>502</v>
      </c>
      <c r="B48" s="6">
        <v>2</v>
      </c>
    </row>
    <row r="49" spans="1:2">
      <c r="A49" s="6" t="s">
        <v>1358</v>
      </c>
      <c r="B49" s="6">
        <v>1</v>
      </c>
    </row>
    <row r="50" spans="1:2">
      <c r="A50" s="6" t="s">
        <v>1343</v>
      </c>
      <c r="B50" s="6"/>
    </row>
    <row r="56" spans="1:2">
      <c r="A56" s="6" t="s">
        <v>13</v>
      </c>
      <c r="B56" s="6" t="s">
        <v>1357</v>
      </c>
    </row>
    <row r="57" spans="1:2">
      <c r="A57" s="6" t="b">
        <v>0</v>
      </c>
      <c r="B57" s="6">
        <v>10</v>
      </c>
    </row>
    <row r="58" spans="1:2">
      <c r="A58" s="6" t="b">
        <v>1</v>
      </c>
      <c r="B58" s="6">
        <v>7</v>
      </c>
    </row>
    <row r="59" spans="1:2">
      <c r="A59" s="6" t="s">
        <v>1343</v>
      </c>
      <c r="B59" s="6">
        <v>17</v>
      </c>
    </row>
    <row r="61" ht="15.75" spans="1:2">
      <c r="A61" s="2" t="s">
        <v>1359</v>
      </c>
      <c r="B61" s="3"/>
    </row>
    <row r="62" spans="1:2">
      <c r="A62" s="6" t="s">
        <v>14</v>
      </c>
      <c r="B62" s="6" t="s">
        <v>1357</v>
      </c>
    </row>
    <row r="63" spans="1:2">
      <c r="A63" s="6" t="s">
        <v>23</v>
      </c>
      <c r="B63" s="6">
        <v>1</v>
      </c>
    </row>
    <row r="64" spans="1:2">
      <c r="A64" s="6" t="s">
        <v>50</v>
      </c>
      <c r="B64" s="6">
        <v>1</v>
      </c>
    </row>
    <row r="65" spans="1:2">
      <c r="A65" s="6" t="s">
        <v>47</v>
      </c>
      <c r="B65" s="6">
        <v>1</v>
      </c>
    </row>
    <row r="66" spans="1:2">
      <c r="A66" s="6" t="s">
        <v>28</v>
      </c>
      <c r="B66" s="6">
        <v>4</v>
      </c>
    </row>
    <row r="67" spans="1:2">
      <c r="A67" s="6" t="s">
        <v>1343</v>
      </c>
      <c r="B67" s="6">
        <v>7</v>
      </c>
    </row>
    <row r="69" ht="15.75" spans="1:2">
      <c r="A69" s="2" t="s">
        <v>1360</v>
      </c>
      <c r="B69" s="3"/>
    </row>
    <row r="70" spans="1:2">
      <c r="A70" s="6" t="s">
        <v>5</v>
      </c>
      <c r="B70" s="6" t="s">
        <v>1361</v>
      </c>
    </row>
    <row r="71" spans="1:2">
      <c r="A71" s="6" t="s">
        <v>17</v>
      </c>
      <c r="B71" s="6">
        <v>75.8571428571429</v>
      </c>
    </row>
    <row r="72" spans="1:2">
      <c r="A72" s="6" t="s">
        <v>21</v>
      </c>
      <c r="B72" s="6">
        <v>99.9</v>
      </c>
    </row>
    <row r="73" spans="1:2">
      <c r="A73" s="6" t="s">
        <v>1343</v>
      </c>
      <c r="B73" s="6">
        <v>90</v>
      </c>
    </row>
    <row r="75" ht="15.75" spans="1:2">
      <c r="A75" s="7" t="s">
        <v>1362</v>
      </c>
      <c r="B75" s="7"/>
    </row>
    <row r="76" spans="1:2">
      <c r="A76" s="6" t="s">
        <v>1363</v>
      </c>
      <c r="B76" s="6"/>
    </row>
    <row r="77" spans="1:2">
      <c r="A77" s="8" t="s">
        <v>1364</v>
      </c>
      <c r="B77" s="6">
        <v>0</v>
      </c>
    </row>
    <row r="78" spans="1:2">
      <c r="A78" s="8" t="s">
        <v>1365</v>
      </c>
      <c r="B78" s="6">
        <v>0</v>
      </c>
    </row>
    <row r="79" spans="1:2">
      <c r="A79" s="8" t="s">
        <v>1366</v>
      </c>
      <c r="B79" s="6">
        <v>0</v>
      </c>
    </row>
    <row r="80" spans="1:2">
      <c r="A80" s="8" t="s">
        <v>1367</v>
      </c>
      <c r="B80" s="6">
        <v>0</v>
      </c>
    </row>
    <row r="81" spans="1:2">
      <c r="A81" s="8" t="s">
        <v>1368</v>
      </c>
      <c r="B81" s="6">
        <v>17</v>
      </c>
    </row>
    <row r="82" spans="1:2">
      <c r="A82" s="8" t="s">
        <v>1369</v>
      </c>
      <c r="B82" s="6">
        <v>0</v>
      </c>
    </row>
    <row r="83" spans="1:2">
      <c r="A83" s="8" t="s">
        <v>1370</v>
      </c>
      <c r="B83" s="6">
        <v>0</v>
      </c>
    </row>
    <row r="191" ht="15.75" spans="1:2">
      <c r="A191" s="2" t="s">
        <v>1371</v>
      </c>
      <c r="B191" s="3"/>
    </row>
    <row r="192" spans="1:2">
      <c r="A192" s="6" t="s">
        <v>5</v>
      </c>
      <c r="B192" s="6" t="s">
        <v>1361</v>
      </c>
    </row>
    <row r="193" spans="1:2">
      <c r="A193" s="6" t="s">
        <v>17</v>
      </c>
      <c r="B193" s="6">
        <v>75.8571428571429</v>
      </c>
    </row>
    <row r="194" spans="1:2">
      <c r="A194" s="6" t="s">
        <v>21</v>
      </c>
      <c r="B194" s="6">
        <v>99.9</v>
      </c>
    </row>
    <row r="195" spans="1:2">
      <c r="A195" s="6" t="s">
        <v>1343</v>
      </c>
      <c r="B195" s="6">
        <v>90</v>
      </c>
    </row>
  </sheetData>
  <mergeCells count="10">
    <mergeCell ref="A2:B2"/>
    <mergeCell ref="A9:B9"/>
    <mergeCell ref="A17:B17"/>
    <mergeCell ref="A25:B25"/>
    <mergeCell ref="A33:B33"/>
    <mergeCell ref="A40:B40"/>
    <mergeCell ref="A61:B61"/>
    <mergeCell ref="A69:B69"/>
    <mergeCell ref="A75:B75"/>
    <mergeCell ref="A191:B191"/>
  </mergeCells>
  <pageMargins left="0.75" right="0.75" top="1" bottom="1" header="0.5" footer="0.5"/>
  <headerFooter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0" zoomScaleNormal="50" workbookViewId="0">
      <selection activeCell="AE33" sqref="AE33"/>
    </sheetView>
  </sheetViews>
  <sheetFormatPr defaultColWidth="9.14285714285714" defaultRowHeight="15"/>
  <cols>
    <col min="8" max="8" width="9.14285714285714" style="1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Gym Membership Dataset</vt:lpstr>
      <vt:lpstr>Gym Membership Dataset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</dc:creator>
  <cp:lastModifiedBy>Santhosh S</cp:lastModifiedBy>
  <dcterms:created xsi:type="dcterms:W3CDTF">2024-10-12T12:06:00Z</dcterms:created>
  <dcterms:modified xsi:type="dcterms:W3CDTF">2026-10-08T10:30:16Z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9A8966E829BC41B590C3BD66DF2765D2_12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